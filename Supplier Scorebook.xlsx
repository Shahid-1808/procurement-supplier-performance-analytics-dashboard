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upplier Scoreboard Project\"/>
    </mc:Choice>
  </mc:AlternateContent>
  <xr:revisionPtr revIDLastSave="0" documentId="13_ncr:1_{69C3DD5E-F57D-4F92-9B4E-DA05142AC1F6}" xr6:coauthVersionLast="47" xr6:coauthVersionMax="47" xr10:uidLastSave="{00000000-0000-0000-0000-000000000000}"/>
  <bookViews>
    <workbookView xWindow="-108" yWindow="-108" windowWidth="23256" windowHeight="13896" firstSheet="1" activeTab="2" xr2:uid="{7721D1A3-5CD6-49DA-A9A6-C8B2D8CA6999}"/>
  </bookViews>
  <sheets>
    <sheet name="KPI Framework" sheetId="3" r:id="rId1"/>
    <sheet name="Scoring Configuration" sheetId="2" r:id="rId2"/>
    <sheet name="Supplier Scorecard" sheetId="1" r:id="rId3"/>
    <sheet name="Product_Master" sheetId="4" r:id="rId4"/>
    <sheet name="Purchase_Orders" sheetId="5" r:id="rId5"/>
    <sheet name="Supplier_Master" sheetId="7" r:id="rId6"/>
    <sheet name="Supplier_Performance_Targets" sheetId="8" r:id="rId7"/>
    <sheet name="Quality_Inspection" sheetId="9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/>
  <c r="L2" i="5"/>
  <c r="M2" i="5"/>
  <c r="K3" i="5"/>
  <c r="L3" i="5"/>
  <c r="M3" i="5"/>
  <c r="K4" i="5"/>
  <c r="L4" i="5"/>
  <c r="M4" i="5"/>
  <c r="N11" i="1" s="1"/>
  <c r="K5" i="5"/>
  <c r="L5" i="5"/>
  <c r="L5" i="1" s="1"/>
  <c r="M5" i="5"/>
  <c r="K6" i="5"/>
  <c r="L6" i="5"/>
  <c r="M6" i="5"/>
  <c r="K7" i="5"/>
  <c r="L7" i="5"/>
  <c r="M7" i="5"/>
  <c r="K8" i="5"/>
  <c r="L8" i="5"/>
  <c r="M8" i="5"/>
  <c r="N4" i="1" s="1"/>
  <c r="K9" i="5"/>
  <c r="L9" i="5"/>
  <c r="M9" i="5"/>
  <c r="K10" i="5"/>
  <c r="L10" i="5"/>
  <c r="M10" i="5"/>
  <c r="K11" i="5"/>
  <c r="L11" i="5"/>
  <c r="M11" i="5"/>
  <c r="K12" i="5"/>
  <c r="L12" i="5"/>
  <c r="M12" i="5"/>
  <c r="K13" i="5"/>
  <c r="L13" i="5"/>
  <c r="M13" i="5"/>
  <c r="K14" i="5"/>
  <c r="L14" i="5"/>
  <c r="M14" i="5"/>
  <c r="K15" i="5"/>
  <c r="L15" i="5"/>
  <c r="M15" i="5"/>
  <c r="K16" i="5"/>
  <c r="L16" i="5"/>
  <c r="M16" i="5"/>
  <c r="K17" i="5"/>
  <c r="L17" i="5"/>
  <c r="M17" i="5"/>
  <c r="K18" i="5"/>
  <c r="L18" i="5"/>
  <c r="M18" i="5"/>
  <c r="K19" i="5"/>
  <c r="L19" i="5"/>
  <c r="M19" i="5"/>
  <c r="K20" i="5"/>
  <c r="L20" i="5"/>
  <c r="M20" i="5"/>
  <c r="K21" i="5"/>
  <c r="L21" i="5"/>
  <c r="M21" i="5"/>
  <c r="K22" i="5"/>
  <c r="L22" i="5"/>
  <c r="M22" i="5"/>
  <c r="K23" i="5"/>
  <c r="L23" i="5"/>
  <c r="M23" i="5"/>
  <c r="K24" i="5"/>
  <c r="L24" i="5"/>
  <c r="M24" i="5"/>
  <c r="K25" i="5"/>
  <c r="L25" i="5"/>
  <c r="M25" i="5"/>
  <c r="K26" i="5"/>
  <c r="L26" i="5"/>
  <c r="M26" i="5"/>
  <c r="K27" i="5"/>
  <c r="L27" i="5"/>
  <c r="L23" i="1" s="1"/>
  <c r="M27" i="5"/>
  <c r="K28" i="5"/>
  <c r="L28" i="5"/>
  <c r="M28" i="5"/>
  <c r="K29" i="5"/>
  <c r="L29" i="5"/>
  <c r="M29" i="5"/>
  <c r="K30" i="5"/>
  <c r="L30" i="5"/>
  <c r="M30" i="5"/>
  <c r="K31" i="5"/>
  <c r="L31" i="5"/>
  <c r="M31" i="5"/>
  <c r="K32" i="5"/>
  <c r="L32" i="5"/>
  <c r="M32" i="5"/>
  <c r="N3" i="1" s="1"/>
  <c r="K33" i="5"/>
  <c r="L33" i="5"/>
  <c r="M33" i="5"/>
  <c r="K34" i="5"/>
  <c r="L34" i="5"/>
  <c r="M34" i="5"/>
  <c r="K35" i="5"/>
  <c r="L35" i="5"/>
  <c r="M35" i="5"/>
  <c r="K36" i="5"/>
  <c r="L36" i="5"/>
  <c r="M36" i="5"/>
  <c r="K37" i="5"/>
  <c r="L37" i="5"/>
  <c r="M37" i="5"/>
  <c r="K38" i="5"/>
  <c r="L38" i="5"/>
  <c r="M38" i="5"/>
  <c r="K39" i="5"/>
  <c r="L39" i="5"/>
  <c r="M39" i="5"/>
  <c r="K40" i="5"/>
  <c r="L40" i="5"/>
  <c r="L8" i="1" s="1"/>
  <c r="M40" i="5"/>
  <c r="K41" i="5"/>
  <c r="L41" i="5"/>
  <c r="M41" i="5"/>
  <c r="K42" i="5"/>
  <c r="L42" i="5"/>
  <c r="M42" i="5"/>
  <c r="K43" i="5"/>
  <c r="L43" i="5"/>
  <c r="M43" i="5"/>
  <c r="K44" i="5"/>
  <c r="L44" i="5"/>
  <c r="M44" i="5"/>
  <c r="N15" i="1" s="1"/>
  <c r="K45" i="5"/>
  <c r="L45" i="5"/>
  <c r="M45" i="5"/>
  <c r="K46" i="5"/>
  <c r="L46" i="5"/>
  <c r="M46" i="5"/>
  <c r="K47" i="5"/>
  <c r="L47" i="5"/>
  <c r="M47" i="5"/>
  <c r="K48" i="5"/>
  <c r="L48" i="5"/>
  <c r="M48" i="5"/>
  <c r="K49" i="5"/>
  <c r="L49" i="5"/>
  <c r="M49" i="5"/>
  <c r="K50" i="5"/>
  <c r="L50" i="5"/>
  <c r="M50" i="5"/>
  <c r="K51" i="5"/>
  <c r="L51" i="5"/>
  <c r="M51" i="5"/>
  <c r="K52" i="5"/>
  <c r="L52" i="5"/>
  <c r="M52" i="5"/>
  <c r="K53" i="5"/>
  <c r="L53" i="5"/>
  <c r="M53" i="5"/>
  <c r="K54" i="5"/>
  <c r="L54" i="5"/>
  <c r="M54" i="5"/>
  <c r="K55" i="5"/>
  <c r="L55" i="5"/>
  <c r="M55" i="5"/>
  <c r="K56" i="5"/>
  <c r="L56" i="5"/>
  <c r="L27" i="1" s="1"/>
  <c r="M56" i="5"/>
  <c r="N27" i="1" s="1"/>
  <c r="K57" i="5"/>
  <c r="L57" i="5"/>
  <c r="M57" i="5"/>
  <c r="K58" i="5"/>
  <c r="L58" i="5"/>
  <c r="M58" i="5"/>
  <c r="K59" i="5"/>
  <c r="L59" i="5"/>
  <c r="M59" i="5"/>
  <c r="K60" i="5"/>
  <c r="L60" i="5"/>
  <c r="M60" i="5"/>
  <c r="K61" i="5"/>
  <c r="L61" i="5"/>
  <c r="M61" i="5"/>
  <c r="K62" i="5"/>
  <c r="L62" i="5"/>
  <c r="M62" i="5"/>
  <c r="K63" i="5"/>
  <c r="L63" i="5"/>
  <c r="M63" i="5"/>
  <c r="K64" i="5"/>
  <c r="L64" i="5"/>
  <c r="M64" i="5"/>
  <c r="N28" i="1" s="1"/>
  <c r="K65" i="5"/>
  <c r="L65" i="5"/>
  <c r="M65" i="5"/>
  <c r="K66" i="5"/>
  <c r="L66" i="5"/>
  <c r="M66" i="5"/>
  <c r="K67" i="5"/>
  <c r="L67" i="5"/>
  <c r="M67" i="5"/>
  <c r="K68" i="5"/>
  <c r="L68" i="5"/>
  <c r="M68" i="5"/>
  <c r="K69" i="5"/>
  <c r="L69" i="5"/>
  <c r="M69" i="5"/>
  <c r="K70" i="5"/>
  <c r="L70" i="5"/>
  <c r="M70" i="5"/>
  <c r="K71" i="5"/>
  <c r="L71" i="5"/>
  <c r="M71" i="5"/>
  <c r="K72" i="5"/>
  <c r="L72" i="5"/>
  <c r="M72" i="5"/>
  <c r="K73" i="5"/>
  <c r="L73" i="5"/>
  <c r="M73" i="5"/>
  <c r="K74" i="5"/>
  <c r="L74" i="5"/>
  <c r="M74" i="5"/>
  <c r="K75" i="5"/>
  <c r="L75" i="5"/>
  <c r="M75" i="5"/>
  <c r="K76" i="5"/>
  <c r="L76" i="5"/>
  <c r="M76" i="5"/>
  <c r="K77" i="5"/>
  <c r="L77" i="5"/>
  <c r="M77" i="5"/>
  <c r="K78" i="5"/>
  <c r="L78" i="5"/>
  <c r="M78" i="5"/>
  <c r="K79" i="5"/>
  <c r="L79" i="5"/>
  <c r="M79" i="5"/>
  <c r="K80" i="5"/>
  <c r="L80" i="5"/>
  <c r="M80" i="5"/>
  <c r="N16" i="1" s="1"/>
  <c r="K81" i="5"/>
  <c r="L81" i="5"/>
  <c r="M81" i="5"/>
  <c r="K82" i="5"/>
  <c r="J6" i="1" s="1"/>
  <c r="L82" i="5"/>
  <c r="M82" i="5"/>
  <c r="K83" i="5"/>
  <c r="L83" i="5"/>
  <c r="M83" i="5"/>
  <c r="K84" i="5"/>
  <c r="L84" i="5"/>
  <c r="M84" i="5"/>
  <c r="K85" i="5"/>
  <c r="L85" i="5"/>
  <c r="M85" i="5"/>
  <c r="K86" i="5"/>
  <c r="L86" i="5"/>
  <c r="M86" i="5"/>
  <c r="K87" i="5"/>
  <c r="L87" i="5"/>
  <c r="M87" i="5"/>
  <c r="K88" i="5"/>
  <c r="L88" i="5"/>
  <c r="M88" i="5"/>
  <c r="K89" i="5"/>
  <c r="L89" i="5"/>
  <c r="M89" i="5"/>
  <c r="K90" i="5"/>
  <c r="L90" i="5"/>
  <c r="M90" i="5"/>
  <c r="K91" i="5"/>
  <c r="L91" i="5"/>
  <c r="M91" i="5"/>
  <c r="K92" i="5"/>
  <c r="L92" i="5"/>
  <c r="M92" i="5"/>
  <c r="K93" i="5"/>
  <c r="L93" i="5"/>
  <c r="M93" i="5"/>
  <c r="K94" i="5"/>
  <c r="L94" i="5"/>
  <c r="M94" i="5"/>
  <c r="K95" i="5"/>
  <c r="L95" i="5"/>
  <c r="M95" i="5"/>
  <c r="K96" i="5"/>
  <c r="L96" i="5"/>
  <c r="M96" i="5"/>
  <c r="K97" i="5"/>
  <c r="L97" i="5"/>
  <c r="M97" i="5"/>
  <c r="K98" i="5"/>
  <c r="L98" i="5"/>
  <c r="M98" i="5"/>
  <c r="K99" i="5"/>
  <c r="L99" i="5"/>
  <c r="M99" i="5"/>
  <c r="K100" i="5"/>
  <c r="L100" i="5"/>
  <c r="M100" i="5"/>
  <c r="K101" i="5"/>
  <c r="L101" i="5"/>
  <c r="M101" i="5"/>
  <c r="K102" i="5"/>
  <c r="L102" i="5"/>
  <c r="M102" i="5"/>
  <c r="K103" i="5"/>
  <c r="L103" i="5"/>
  <c r="M103" i="5"/>
  <c r="K104" i="5"/>
  <c r="L104" i="5"/>
  <c r="M104" i="5"/>
  <c r="K105" i="5"/>
  <c r="L105" i="5"/>
  <c r="M105" i="5"/>
  <c r="K106" i="5"/>
  <c r="L106" i="5"/>
  <c r="M106" i="5"/>
  <c r="K107" i="5"/>
  <c r="L107" i="5"/>
  <c r="M107" i="5"/>
  <c r="K108" i="5"/>
  <c r="L108" i="5"/>
  <c r="M108" i="5"/>
  <c r="K109" i="5"/>
  <c r="L109" i="5"/>
  <c r="M109" i="5"/>
  <c r="K110" i="5"/>
  <c r="L110" i="5"/>
  <c r="M110" i="5"/>
  <c r="K111" i="5"/>
  <c r="L111" i="5"/>
  <c r="M111" i="5"/>
  <c r="K112" i="5"/>
  <c r="L112" i="5"/>
  <c r="M112" i="5"/>
  <c r="K113" i="5"/>
  <c r="L113" i="5"/>
  <c r="M113" i="5"/>
  <c r="K114" i="5"/>
  <c r="L114" i="5"/>
  <c r="M114" i="5"/>
  <c r="K115" i="5"/>
  <c r="L115" i="5"/>
  <c r="M115" i="5"/>
  <c r="K116" i="5"/>
  <c r="L116" i="5"/>
  <c r="M116" i="5"/>
  <c r="K117" i="5"/>
  <c r="L117" i="5"/>
  <c r="M117" i="5"/>
  <c r="K118" i="5"/>
  <c r="L118" i="5"/>
  <c r="M118" i="5"/>
  <c r="K119" i="5"/>
  <c r="L119" i="5"/>
  <c r="M119" i="5"/>
  <c r="K120" i="5"/>
  <c r="L120" i="5"/>
  <c r="M120" i="5"/>
  <c r="K121" i="5"/>
  <c r="L121" i="5"/>
  <c r="M121" i="5"/>
  <c r="K122" i="5"/>
  <c r="L122" i="5"/>
  <c r="M122" i="5"/>
  <c r="K123" i="5"/>
  <c r="L123" i="5"/>
  <c r="M123" i="5"/>
  <c r="K124" i="5"/>
  <c r="L124" i="5"/>
  <c r="M124" i="5"/>
  <c r="K125" i="5"/>
  <c r="L125" i="5"/>
  <c r="M125" i="5"/>
  <c r="K126" i="5"/>
  <c r="L126" i="5"/>
  <c r="M126" i="5"/>
  <c r="K127" i="5"/>
  <c r="L127" i="5"/>
  <c r="L21" i="1" s="1"/>
  <c r="M127" i="5"/>
  <c r="K128" i="5"/>
  <c r="L128" i="5"/>
  <c r="M128" i="5"/>
  <c r="K129" i="5"/>
  <c r="L129" i="5"/>
  <c r="M129" i="5"/>
  <c r="K130" i="5"/>
  <c r="L130" i="5"/>
  <c r="M130" i="5"/>
  <c r="K131" i="5"/>
  <c r="L131" i="5"/>
  <c r="M131" i="5"/>
  <c r="K132" i="5"/>
  <c r="L132" i="5"/>
  <c r="M132" i="5"/>
  <c r="K133" i="5"/>
  <c r="L133" i="5"/>
  <c r="M133" i="5"/>
  <c r="K134" i="5"/>
  <c r="L134" i="5"/>
  <c r="M134" i="5"/>
  <c r="K135" i="5"/>
  <c r="L135" i="5"/>
  <c r="M135" i="5"/>
  <c r="K136" i="5"/>
  <c r="L136" i="5"/>
  <c r="L29" i="1" s="1"/>
  <c r="M136" i="5"/>
  <c r="K137" i="5"/>
  <c r="L137" i="5"/>
  <c r="M137" i="5"/>
  <c r="K138" i="5"/>
  <c r="L138" i="5"/>
  <c r="M138" i="5"/>
  <c r="K139" i="5"/>
  <c r="L139" i="5"/>
  <c r="M139" i="5"/>
  <c r="K140" i="5"/>
  <c r="L140" i="5"/>
  <c r="M140" i="5"/>
  <c r="K141" i="5"/>
  <c r="L141" i="5"/>
  <c r="M141" i="5"/>
  <c r="K142" i="5"/>
  <c r="L142" i="5"/>
  <c r="M142" i="5"/>
  <c r="K143" i="5"/>
  <c r="L143" i="5"/>
  <c r="M143" i="5"/>
  <c r="K144" i="5"/>
  <c r="L144" i="5"/>
  <c r="M144" i="5"/>
  <c r="K145" i="5"/>
  <c r="L145" i="5"/>
  <c r="M145" i="5"/>
  <c r="K146" i="5"/>
  <c r="L146" i="5"/>
  <c r="M146" i="5"/>
  <c r="K147" i="5"/>
  <c r="L147" i="5"/>
  <c r="M147" i="5"/>
  <c r="K148" i="5"/>
  <c r="L148" i="5"/>
  <c r="M148" i="5"/>
  <c r="K149" i="5"/>
  <c r="L149" i="5"/>
  <c r="M149" i="5"/>
  <c r="K150" i="5"/>
  <c r="L150" i="5"/>
  <c r="M150" i="5"/>
  <c r="K151" i="5"/>
  <c r="L151" i="5"/>
  <c r="M151" i="5"/>
  <c r="K152" i="5"/>
  <c r="L152" i="5"/>
  <c r="M152" i="5"/>
  <c r="K153" i="5"/>
  <c r="L153" i="5"/>
  <c r="M153" i="5"/>
  <c r="K154" i="5"/>
  <c r="L154" i="5"/>
  <c r="M154" i="5"/>
  <c r="K155" i="5"/>
  <c r="L155" i="5"/>
  <c r="M155" i="5"/>
  <c r="K156" i="5"/>
  <c r="L156" i="5"/>
  <c r="M156" i="5"/>
  <c r="K157" i="5"/>
  <c r="L157" i="5"/>
  <c r="M157" i="5"/>
  <c r="K158" i="5"/>
  <c r="L158" i="5"/>
  <c r="M158" i="5"/>
  <c r="K159" i="5"/>
  <c r="L159" i="5"/>
  <c r="M159" i="5"/>
  <c r="K160" i="5"/>
  <c r="L160" i="5"/>
  <c r="M160" i="5"/>
  <c r="K161" i="5"/>
  <c r="L161" i="5"/>
  <c r="M161" i="5"/>
  <c r="K162" i="5"/>
  <c r="L162" i="5"/>
  <c r="M162" i="5"/>
  <c r="K163" i="5"/>
  <c r="L163" i="5"/>
  <c r="M163" i="5"/>
  <c r="K164" i="5"/>
  <c r="L164" i="5"/>
  <c r="M164" i="5"/>
  <c r="K165" i="5"/>
  <c r="L165" i="5"/>
  <c r="M165" i="5"/>
  <c r="K166" i="5"/>
  <c r="L166" i="5"/>
  <c r="M166" i="5"/>
  <c r="K167" i="5"/>
  <c r="L167" i="5"/>
  <c r="M167" i="5"/>
  <c r="K168" i="5"/>
  <c r="L168" i="5"/>
  <c r="M168" i="5"/>
  <c r="K169" i="5"/>
  <c r="L169" i="5"/>
  <c r="M169" i="5"/>
  <c r="K170" i="5"/>
  <c r="L170" i="5"/>
  <c r="M170" i="5"/>
  <c r="K171" i="5"/>
  <c r="L171" i="5"/>
  <c r="M171" i="5"/>
  <c r="K172" i="5"/>
  <c r="L172" i="5"/>
  <c r="M172" i="5"/>
  <c r="K173" i="5"/>
  <c r="L173" i="5"/>
  <c r="M173" i="5"/>
  <c r="K174" i="5"/>
  <c r="L174" i="5"/>
  <c r="M174" i="5"/>
  <c r="K175" i="5"/>
  <c r="L175" i="5"/>
  <c r="M175" i="5"/>
  <c r="K176" i="5"/>
  <c r="L176" i="5"/>
  <c r="M176" i="5"/>
  <c r="K177" i="5"/>
  <c r="L177" i="5"/>
  <c r="M177" i="5"/>
  <c r="K178" i="5"/>
  <c r="L178" i="5"/>
  <c r="M178" i="5"/>
  <c r="K179" i="5"/>
  <c r="L179" i="5"/>
  <c r="M179" i="5"/>
  <c r="K180" i="5"/>
  <c r="L180" i="5"/>
  <c r="M180" i="5"/>
  <c r="K181" i="5"/>
  <c r="L181" i="5"/>
  <c r="M181" i="5"/>
  <c r="K182" i="5"/>
  <c r="L182" i="5"/>
  <c r="M182" i="5"/>
  <c r="K183" i="5"/>
  <c r="L183" i="5"/>
  <c r="M183" i="5"/>
  <c r="K184" i="5"/>
  <c r="L184" i="5"/>
  <c r="M184" i="5"/>
  <c r="K185" i="5"/>
  <c r="L185" i="5"/>
  <c r="M185" i="5"/>
  <c r="K186" i="5"/>
  <c r="L186" i="5"/>
  <c r="M186" i="5"/>
  <c r="K187" i="5"/>
  <c r="L187" i="5"/>
  <c r="M187" i="5"/>
  <c r="K188" i="5"/>
  <c r="L188" i="5"/>
  <c r="M188" i="5"/>
  <c r="K189" i="5"/>
  <c r="L189" i="5"/>
  <c r="M189" i="5"/>
  <c r="K190" i="5"/>
  <c r="L190" i="5"/>
  <c r="M190" i="5"/>
  <c r="K191" i="5"/>
  <c r="L191" i="5"/>
  <c r="M191" i="5"/>
  <c r="K192" i="5"/>
  <c r="L192" i="5"/>
  <c r="M192" i="5"/>
  <c r="K193" i="5"/>
  <c r="L193" i="5"/>
  <c r="M193" i="5"/>
  <c r="K194" i="5"/>
  <c r="L194" i="5"/>
  <c r="M194" i="5"/>
  <c r="K195" i="5"/>
  <c r="L195" i="5"/>
  <c r="M195" i="5"/>
  <c r="K196" i="5"/>
  <c r="L196" i="5"/>
  <c r="M196" i="5"/>
  <c r="K197" i="5"/>
  <c r="L197" i="5"/>
  <c r="M197" i="5"/>
  <c r="K198" i="5"/>
  <c r="L198" i="5"/>
  <c r="M198" i="5"/>
  <c r="K199" i="5"/>
  <c r="L199" i="5"/>
  <c r="M199" i="5"/>
  <c r="K200" i="5"/>
  <c r="L200" i="5"/>
  <c r="M200" i="5"/>
  <c r="K201" i="5"/>
  <c r="L201" i="5"/>
  <c r="M201" i="5"/>
  <c r="K202" i="5"/>
  <c r="L202" i="5"/>
  <c r="M202" i="5"/>
  <c r="K203" i="5"/>
  <c r="L203" i="5"/>
  <c r="M203" i="5"/>
  <c r="K204" i="5"/>
  <c r="L204" i="5"/>
  <c r="M204" i="5"/>
  <c r="K205" i="5"/>
  <c r="L205" i="5"/>
  <c r="M205" i="5"/>
  <c r="K206" i="5"/>
  <c r="L206" i="5"/>
  <c r="M206" i="5"/>
  <c r="K207" i="5"/>
  <c r="L207" i="5"/>
  <c r="M207" i="5"/>
  <c r="K208" i="5"/>
  <c r="L208" i="5"/>
  <c r="M208" i="5"/>
  <c r="K209" i="5"/>
  <c r="L209" i="5"/>
  <c r="M209" i="5"/>
  <c r="K210" i="5"/>
  <c r="L210" i="5"/>
  <c r="M210" i="5"/>
  <c r="K211" i="5"/>
  <c r="L211" i="5"/>
  <c r="L30" i="1" s="1"/>
  <c r="M211" i="5"/>
  <c r="K212" i="5"/>
  <c r="L212" i="5"/>
  <c r="M212" i="5"/>
  <c r="K213" i="5"/>
  <c r="L213" i="5"/>
  <c r="M213" i="5"/>
  <c r="K214" i="5"/>
  <c r="L214" i="5"/>
  <c r="M214" i="5"/>
  <c r="K215" i="5"/>
  <c r="L215" i="5"/>
  <c r="M215" i="5"/>
  <c r="K216" i="5"/>
  <c r="L216" i="5"/>
  <c r="M216" i="5"/>
  <c r="K217" i="5"/>
  <c r="L217" i="5"/>
  <c r="M217" i="5"/>
  <c r="K218" i="5"/>
  <c r="L218" i="5"/>
  <c r="M218" i="5"/>
  <c r="K219" i="5"/>
  <c r="L219" i="5"/>
  <c r="M219" i="5"/>
  <c r="K220" i="5"/>
  <c r="L220" i="5"/>
  <c r="M220" i="5"/>
  <c r="K221" i="5"/>
  <c r="L221" i="5"/>
  <c r="M221" i="5"/>
  <c r="K222" i="5"/>
  <c r="L222" i="5"/>
  <c r="M222" i="5"/>
  <c r="K223" i="5"/>
  <c r="L223" i="5"/>
  <c r="M223" i="5"/>
  <c r="K224" i="5"/>
  <c r="L224" i="5"/>
  <c r="M224" i="5"/>
  <c r="K225" i="5"/>
  <c r="L225" i="5"/>
  <c r="M225" i="5"/>
  <c r="K226" i="5"/>
  <c r="L226" i="5"/>
  <c r="M226" i="5"/>
  <c r="K227" i="5"/>
  <c r="L227" i="5"/>
  <c r="M227" i="5"/>
  <c r="K228" i="5"/>
  <c r="L228" i="5"/>
  <c r="M228" i="5"/>
  <c r="K229" i="5"/>
  <c r="L229" i="5"/>
  <c r="M229" i="5"/>
  <c r="K230" i="5"/>
  <c r="L230" i="5"/>
  <c r="M230" i="5"/>
  <c r="K231" i="5"/>
  <c r="L231" i="5"/>
  <c r="M231" i="5"/>
  <c r="K232" i="5"/>
  <c r="L232" i="5"/>
  <c r="M232" i="5"/>
  <c r="K233" i="5"/>
  <c r="L233" i="5"/>
  <c r="M233" i="5"/>
  <c r="K234" i="5"/>
  <c r="L234" i="5"/>
  <c r="M234" i="5"/>
  <c r="K235" i="5"/>
  <c r="L235" i="5"/>
  <c r="M235" i="5"/>
  <c r="K236" i="5"/>
  <c r="L236" i="5"/>
  <c r="M236" i="5"/>
  <c r="K237" i="5"/>
  <c r="L237" i="5"/>
  <c r="M237" i="5"/>
  <c r="K238" i="5"/>
  <c r="L238" i="5"/>
  <c r="M238" i="5"/>
  <c r="K239" i="5"/>
  <c r="L239" i="5"/>
  <c r="M239" i="5"/>
  <c r="K240" i="5"/>
  <c r="L240" i="5"/>
  <c r="M240" i="5"/>
  <c r="K241" i="5"/>
  <c r="L241" i="5"/>
  <c r="M241" i="5"/>
  <c r="K242" i="5"/>
  <c r="L242" i="5"/>
  <c r="M242" i="5"/>
  <c r="K243" i="5"/>
  <c r="L243" i="5"/>
  <c r="M243" i="5"/>
  <c r="K244" i="5"/>
  <c r="L244" i="5"/>
  <c r="M244" i="5"/>
  <c r="K245" i="5"/>
  <c r="L245" i="5"/>
  <c r="M245" i="5"/>
  <c r="K246" i="5"/>
  <c r="L246" i="5"/>
  <c r="M246" i="5"/>
  <c r="K247" i="5"/>
  <c r="L247" i="5"/>
  <c r="M247" i="5"/>
  <c r="K248" i="5"/>
  <c r="L248" i="5"/>
  <c r="M248" i="5"/>
  <c r="K249" i="5"/>
  <c r="L249" i="5"/>
  <c r="M249" i="5"/>
  <c r="K250" i="5"/>
  <c r="L250" i="5"/>
  <c r="M250" i="5"/>
  <c r="K251" i="5"/>
  <c r="L251" i="5"/>
  <c r="M251" i="5"/>
  <c r="K252" i="5"/>
  <c r="L252" i="5"/>
  <c r="M252" i="5"/>
  <c r="K253" i="5"/>
  <c r="L253" i="5"/>
  <c r="M253" i="5"/>
  <c r="K254" i="5"/>
  <c r="L254" i="5"/>
  <c r="M254" i="5"/>
  <c r="K255" i="5"/>
  <c r="L255" i="5"/>
  <c r="M255" i="5"/>
  <c r="K256" i="5"/>
  <c r="L256" i="5"/>
  <c r="M256" i="5"/>
  <c r="K257" i="5"/>
  <c r="L257" i="5"/>
  <c r="M257" i="5"/>
  <c r="K258" i="5"/>
  <c r="L258" i="5"/>
  <c r="M258" i="5"/>
  <c r="K259" i="5"/>
  <c r="L259" i="5"/>
  <c r="M259" i="5"/>
  <c r="K260" i="5"/>
  <c r="L260" i="5"/>
  <c r="M260" i="5"/>
  <c r="K261" i="5"/>
  <c r="L261" i="5"/>
  <c r="M261" i="5"/>
  <c r="K262" i="5"/>
  <c r="L262" i="5"/>
  <c r="M262" i="5"/>
  <c r="K263" i="5"/>
  <c r="L263" i="5"/>
  <c r="M263" i="5"/>
  <c r="K264" i="5"/>
  <c r="L264" i="5"/>
  <c r="M264" i="5"/>
  <c r="K265" i="5"/>
  <c r="L265" i="5"/>
  <c r="M265" i="5"/>
  <c r="K266" i="5"/>
  <c r="L266" i="5"/>
  <c r="M266" i="5"/>
  <c r="K267" i="5"/>
  <c r="L267" i="5"/>
  <c r="M267" i="5"/>
  <c r="K268" i="5"/>
  <c r="L268" i="5"/>
  <c r="M268" i="5"/>
  <c r="K269" i="5"/>
  <c r="L269" i="5"/>
  <c r="M269" i="5"/>
  <c r="K270" i="5"/>
  <c r="L270" i="5"/>
  <c r="M270" i="5"/>
  <c r="K271" i="5"/>
  <c r="L271" i="5"/>
  <c r="M271" i="5"/>
  <c r="K272" i="5"/>
  <c r="L272" i="5"/>
  <c r="M272" i="5"/>
  <c r="K273" i="5"/>
  <c r="L273" i="5"/>
  <c r="M273" i="5"/>
  <c r="K274" i="5"/>
  <c r="L274" i="5"/>
  <c r="M274" i="5"/>
  <c r="K275" i="5"/>
  <c r="L275" i="5"/>
  <c r="M275" i="5"/>
  <c r="K276" i="5"/>
  <c r="L276" i="5"/>
  <c r="M276" i="5"/>
  <c r="K277" i="5"/>
  <c r="L277" i="5"/>
  <c r="M277" i="5"/>
  <c r="K278" i="5"/>
  <c r="L278" i="5"/>
  <c r="M278" i="5"/>
  <c r="K279" i="5"/>
  <c r="L279" i="5"/>
  <c r="M279" i="5"/>
  <c r="K280" i="5"/>
  <c r="L280" i="5"/>
  <c r="M280" i="5"/>
  <c r="K281" i="5"/>
  <c r="L281" i="5"/>
  <c r="M281" i="5"/>
  <c r="K282" i="5"/>
  <c r="L282" i="5"/>
  <c r="M282" i="5"/>
  <c r="K283" i="5"/>
  <c r="L283" i="5"/>
  <c r="M283" i="5"/>
  <c r="K284" i="5"/>
  <c r="L284" i="5"/>
  <c r="M284" i="5"/>
  <c r="K285" i="5"/>
  <c r="L285" i="5"/>
  <c r="M285" i="5"/>
  <c r="K286" i="5"/>
  <c r="L286" i="5"/>
  <c r="M286" i="5"/>
  <c r="K287" i="5"/>
  <c r="L287" i="5"/>
  <c r="M287" i="5"/>
  <c r="K288" i="5"/>
  <c r="L288" i="5"/>
  <c r="M288" i="5"/>
  <c r="K289" i="5"/>
  <c r="L289" i="5"/>
  <c r="M289" i="5"/>
  <c r="K290" i="5"/>
  <c r="L290" i="5"/>
  <c r="M290" i="5"/>
  <c r="K291" i="5"/>
  <c r="L291" i="5"/>
  <c r="M291" i="5"/>
  <c r="K292" i="5"/>
  <c r="L292" i="5"/>
  <c r="M292" i="5"/>
  <c r="K293" i="5"/>
  <c r="L293" i="5"/>
  <c r="M293" i="5"/>
  <c r="K294" i="5"/>
  <c r="L294" i="5"/>
  <c r="M294" i="5"/>
  <c r="K295" i="5"/>
  <c r="L295" i="5"/>
  <c r="M295" i="5"/>
  <c r="K296" i="5"/>
  <c r="L296" i="5"/>
  <c r="M296" i="5"/>
  <c r="K297" i="5"/>
  <c r="L297" i="5"/>
  <c r="M297" i="5"/>
  <c r="K298" i="5"/>
  <c r="L298" i="5"/>
  <c r="M298" i="5"/>
  <c r="K299" i="5"/>
  <c r="L299" i="5"/>
  <c r="M299" i="5"/>
  <c r="K300" i="5"/>
  <c r="L300" i="5"/>
  <c r="M300" i="5"/>
  <c r="K301" i="5"/>
  <c r="L301" i="5"/>
  <c r="M301" i="5"/>
  <c r="K302" i="5"/>
  <c r="L302" i="5"/>
  <c r="M302" i="5"/>
  <c r="K303" i="5"/>
  <c r="L303" i="5"/>
  <c r="M303" i="5"/>
  <c r="K304" i="5"/>
  <c r="L304" i="5"/>
  <c r="M304" i="5"/>
  <c r="K305" i="5"/>
  <c r="L305" i="5"/>
  <c r="M305" i="5"/>
  <c r="K306" i="5"/>
  <c r="L306" i="5"/>
  <c r="M306" i="5"/>
  <c r="K307" i="5"/>
  <c r="L307" i="5"/>
  <c r="M307" i="5"/>
  <c r="K308" i="5"/>
  <c r="L308" i="5"/>
  <c r="M308" i="5"/>
  <c r="K309" i="5"/>
  <c r="L309" i="5"/>
  <c r="M309" i="5"/>
  <c r="K310" i="5"/>
  <c r="L310" i="5"/>
  <c r="M310" i="5"/>
  <c r="K311" i="5"/>
  <c r="L311" i="5"/>
  <c r="M311" i="5"/>
  <c r="K312" i="5"/>
  <c r="L312" i="5"/>
  <c r="M312" i="5"/>
  <c r="K313" i="5"/>
  <c r="L313" i="5"/>
  <c r="M313" i="5"/>
  <c r="K314" i="5"/>
  <c r="L314" i="5"/>
  <c r="M314" i="5"/>
  <c r="K315" i="5"/>
  <c r="L315" i="5"/>
  <c r="M315" i="5"/>
  <c r="K316" i="5"/>
  <c r="L316" i="5"/>
  <c r="M316" i="5"/>
  <c r="K317" i="5"/>
  <c r="L317" i="5"/>
  <c r="M317" i="5"/>
  <c r="K318" i="5"/>
  <c r="L318" i="5"/>
  <c r="M318" i="5"/>
  <c r="K319" i="5"/>
  <c r="L319" i="5"/>
  <c r="M319" i="5"/>
  <c r="K320" i="5"/>
  <c r="L320" i="5"/>
  <c r="M320" i="5"/>
  <c r="K321" i="5"/>
  <c r="L321" i="5"/>
  <c r="M321" i="5"/>
  <c r="K322" i="5"/>
  <c r="L322" i="5"/>
  <c r="M322" i="5"/>
  <c r="K323" i="5"/>
  <c r="L323" i="5"/>
  <c r="M323" i="5"/>
  <c r="K324" i="5"/>
  <c r="L324" i="5"/>
  <c r="M324" i="5"/>
  <c r="K325" i="5"/>
  <c r="L325" i="5"/>
  <c r="M325" i="5"/>
  <c r="K326" i="5"/>
  <c r="L326" i="5"/>
  <c r="M326" i="5"/>
  <c r="K327" i="5"/>
  <c r="L327" i="5"/>
  <c r="M327" i="5"/>
  <c r="K328" i="5"/>
  <c r="L328" i="5"/>
  <c r="M328" i="5"/>
  <c r="K329" i="5"/>
  <c r="L329" i="5"/>
  <c r="M329" i="5"/>
  <c r="K330" i="5"/>
  <c r="L330" i="5"/>
  <c r="M330" i="5"/>
  <c r="K331" i="5"/>
  <c r="L331" i="5"/>
  <c r="M331" i="5"/>
  <c r="K332" i="5"/>
  <c r="L332" i="5"/>
  <c r="M332" i="5"/>
  <c r="K333" i="5"/>
  <c r="L333" i="5"/>
  <c r="M333" i="5"/>
  <c r="K334" i="5"/>
  <c r="L334" i="5"/>
  <c r="M334" i="5"/>
  <c r="K335" i="5"/>
  <c r="L335" i="5"/>
  <c r="M335" i="5"/>
  <c r="K336" i="5"/>
  <c r="L336" i="5"/>
  <c r="M336" i="5"/>
  <c r="K337" i="5"/>
  <c r="L337" i="5"/>
  <c r="M337" i="5"/>
  <c r="K338" i="5"/>
  <c r="L338" i="5"/>
  <c r="M338" i="5"/>
  <c r="K339" i="5"/>
  <c r="L339" i="5"/>
  <c r="M339" i="5"/>
  <c r="K340" i="5"/>
  <c r="J30" i="1" s="1"/>
  <c r="L340" i="5"/>
  <c r="M340" i="5"/>
  <c r="K341" i="5"/>
  <c r="L341" i="5"/>
  <c r="M341" i="5"/>
  <c r="K342" i="5"/>
  <c r="L342" i="5"/>
  <c r="M342" i="5"/>
  <c r="K343" i="5"/>
  <c r="L343" i="5"/>
  <c r="M343" i="5"/>
  <c r="K344" i="5"/>
  <c r="L344" i="5"/>
  <c r="M344" i="5"/>
  <c r="K345" i="5"/>
  <c r="L345" i="5"/>
  <c r="M345" i="5"/>
  <c r="K346" i="5"/>
  <c r="L346" i="5"/>
  <c r="M346" i="5"/>
  <c r="K347" i="5"/>
  <c r="L347" i="5"/>
  <c r="M347" i="5"/>
  <c r="K348" i="5"/>
  <c r="L348" i="5"/>
  <c r="M348" i="5"/>
  <c r="K349" i="5"/>
  <c r="L349" i="5"/>
  <c r="M349" i="5"/>
  <c r="K350" i="5"/>
  <c r="L350" i="5"/>
  <c r="M350" i="5"/>
  <c r="K351" i="5"/>
  <c r="L351" i="5"/>
  <c r="M351" i="5"/>
  <c r="K352" i="5"/>
  <c r="L352" i="5"/>
  <c r="M352" i="5"/>
  <c r="K353" i="5"/>
  <c r="L353" i="5"/>
  <c r="M353" i="5"/>
  <c r="K354" i="5"/>
  <c r="L354" i="5"/>
  <c r="M354" i="5"/>
  <c r="K355" i="5"/>
  <c r="L355" i="5"/>
  <c r="M355" i="5"/>
  <c r="K356" i="5"/>
  <c r="L356" i="5"/>
  <c r="M356" i="5"/>
  <c r="K357" i="5"/>
  <c r="L357" i="5"/>
  <c r="M357" i="5"/>
  <c r="K358" i="5"/>
  <c r="L358" i="5"/>
  <c r="M358" i="5"/>
  <c r="K359" i="5"/>
  <c r="L359" i="5"/>
  <c r="M359" i="5"/>
  <c r="K360" i="5"/>
  <c r="L360" i="5"/>
  <c r="M360" i="5"/>
  <c r="K361" i="5"/>
  <c r="L361" i="5"/>
  <c r="M361" i="5"/>
  <c r="K362" i="5"/>
  <c r="L362" i="5"/>
  <c r="M362" i="5"/>
  <c r="K363" i="5"/>
  <c r="L363" i="5"/>
  <c r="M363" i="5"/>
  <c r="K364" i="5"/>
  <c r="L364" i="5"/>
  <c r="M364" i="5"/>
  <c r="K365" i="5"/>
  <c r="L365" i="5"/>
  <c r="M365" i="5"/>
  <c r="K366" i="5"/>
  <c r="L366" i="5"/>
  <c r="M366" i="5"/>
  <c r="K367" i="5"/>
  <c r="L367" i="5"/>
  <c r="M367" i="5"/>
  <c r="K368" i="5"/>
  <c r="L368" i="5"/>
  <c r="M368" i="5"/>
  <c r="K369" i="5"/>
  <c r="L369" i="5"/>
  <c r="M369" i="5"/>
  <c r="K370" i="5"/>
  <c r="L370" i="5"/>
  <c r="M370" i="5"/>
  <c r="K371" i="5"/>
  <c r="L371" i="5"/>
  <c r="M371" i="5"/>
  <c r="K372" i="5"/>
  <c r="L372" i="5"/>
  <c r="M372" i="5"/>
  <c r="K373" i="5"/>
  <c r="L373" i="5"/>
  <c r="M373" i="5"/>
  <c r="K374" i="5"/>
  <c r="L374" i="5"/>
  <c r="M374" i="5"/>
  <c r="K375" i="5"/>
  <c r="L375" i="5"/>
  <c r="M375" i="5"/>
  <c r="K376" i="5"/>
  <c r="L376" i="5"/>
  <c r="M376" i="5"/>
  <c r="K377" i="5"/>
  <c r="L377" i="5"/>
  <c r="M377" i="5"/>
  <c r="K378" i="5"/>
  <c r="L378" i="5"/>
  <c r="M378" i="5"/>
  <c r="K379" i="5"/>
  <c r="L379" i="5"/>
  <c r="M379" i="5"/>
  <c r="K380" i="5"/>
  <c r="L380" i="5"/>
  <c r="M380" i="5"/>
  <c r="K381" i="5"/>
  <c r="L381" i="5"/>
  <c r="M381" i="5"/>
  <c r="K382" i="5"/>
  <c r="L382" i="5"/>
  <c r="M382" i="5"/>
  <c r="K383" i="5"/>
  <c r="L383" i="5"/>
  <c r="M383" i="5"/>
  <c r="K384" i="5"/>
  <c r="L384" i="5"/>
  <c r="M384" i="5"/>
  <c r="K385" i="5"/>
  <c r="L385" i="5"/>
  <c r="M385" i="5"/>
  <c r="K386" i="5"/>
  <c r="L386" i="5"/>
  <c r="M386" i="5"/>
  <c r="K387" i="5"/>
  <c r="L387" i="5"/>
  <c r="M387" i="5"/>
  <c r="K388" i="5"/>
  <c r="L388" i="5"/>
  <c r="M388" i="5"/>
  <c r="K389" i="5"/>
  <c r="L389" i="5"/>
  <c r="M389" i="5"/>
  <c r="K390" i="5"/>
  <c r="L390" i="5"/>
  <c r="M390" i="5"/>
  <c r="K391" i="5"/>
  <c r="L391" i="5"/>
  <c r="M391" i="5"/>
  <c r="K392" i="5"/>
  <c r="L392" i="5"/>
  <c r="M392" i="5"/>
  <c r="K393" i="5"/>
  <c r="L393" i="5"/>
  <c r="M393" i="5"/>
  <c r="K394" i="5"/>
  <c r="L394" i="5"/>
  <c r="M394" i="5"/>
  <c r="K395" i="5"/>
  <c r="L395" i="5"/>
  <c r="M395" i="5"/>
  <c r="K396" i="5"/>
  <c r="L396" i="5"/>
  <c r="M396" i="5"/>
  <c r="K397" i="5"/>
  <c r="L397" i="5"/>
  <c r="M397" i="5"/>
  <c r="K398" i="5"/>
  <c r="L398" i="5"/>
  <c r="M398" i="5"/>
  <c r="K399" i="5"/>
  <c r="L399" i="5"/>
  <c r="M399" i="5"/>
  <c r="K400" i="5"/>
  <c r="L400" i="5"/>
  <c r="M400" i="5"/>
  <c r="K401" i="5"/>
  <c r="L401" i="5"/>
  <c r="M401" i="5"/>
  <c r="K402" i="5"/>
  <c r="L402" i="5"/>
  <c r="M402" i="5"/>
  <c r="K403" i="5"/>
  <c r="L403" i="5"/>
  <c r="M403" i="5"/>
  <c r="K404" i="5"/>
  <c r="L404" i="5"/>
  <c r="M404" i="5"/>
  <c r="K405" i="5"/>
  <c r="L405" i="5"/>
  <c r="M405" i="5"/>
  <c r="K406" i="5"/>
  <c r="L406" i="5"/>
  <c r="M406" i="5"/>
  <c r="K407" i="5"/>
  <c r="L407" i="5"/>
  <c r="M407" i="5"/>
  <c r="K408" i="5"/>
  <c r="L408" i="5"/>
  <c r="M408" i="5"/>
  <c r="K409" i="5"/>
  <c r="L409" i="5"/>
  <c r="M409" i="5"/>
  <c r="K410" i="5"/>
  <c r="L410" i="5"/>
  <c r="M410" i="5"/>
  <c r="K411" i="5"/>
  <c r="L411" i="5"/>
  <c r="M411" i="5"/>
  <c r="K412" i="5"/>
  <c r="L412" i="5"/>
  <c r="M412" i="5"/>
  <c r="K413" i="5"/>
  <c r="L413" i="5"/>
  <c r="M413" i="5"/>
  <c r="K414" i="5"/>
  <c r="L414" i="5"/>
  <c r="M414" i="5"/>
  <c r="K415" i="5"/>
  <c r="L415" i="5"/>
  <c r="M415" i="5"/>
  <c r="K416" i="5"/>
  <c r="L416" i="5"/>
  <c r="M416" i="5"/>
  <c r="K417" i="5"/>
  <c r="L417" i="5"/>
  <c r="M417" i="5"/>
  <c r="K418" i="5"/>
  <c r="L418" i="5"/>
  <c r="M418" i="5"/>
  <c r="K419" i="5"/>
  <c r="L419" i="5"/>
  <c r="M419" i="5"/>
  <c r="K420" i="5"/>
  <c r="L420" i="5"/>
  <c r="M420" i="5"/>
  <c r="K421" i="5"/>
  <c r="L421" i="5"/>
  <c r="M421" i="5"/>
  <c r="K422" i="5"/>
  <c r="L422" i="5"/>
  <c r="M422" i="5"/>
  <c r="K423" i="5"/>
  <c r="L423" i="5"/>
  <c r="M423" i="5"/>
  <c r="K424" i="5"/>
  <c r="L424" i="5"/>
  <c r="M424" i="5"/>
  <c r="K425" i="5"/>
  <c r="L425" i="5"/>
  <c r="M425" i="5"/>
  <c r="K426" i="5"/>
  <c r="L426" i="5"/>
  <c r="M426" i="5"/>
  <c r="K427" i="5"/>
  <c r="L427" i="5"/>
  <c r="M427" i="5"/>
  <c r="K428" i="5"/>
  <c r="L428" i="5"/>
  <c r="M428" i="5"/>
  <c r="K429" i="5"/>
  <c r="L429" i="5"/>
  <c r="M429" i="5"/>
  <c r="K430" i="5"/>
  <c r="L430" i="5"/>
  <c r="M430" i="5"/>
  <c r="K431" i="5"/>
  <c r="L431" i="5"/>
  <c r="M431" i="5"/>
  <c r="K432" i="5"/>
  <c r="L432" i="5"/>
  <c r="M432" i="5"/>
  <c r="K433" i="5"/>
  <c r="L433" i="5"/>
  <c r="M433" i="5"/>
  <c r="K434" i="5"/>
  <c r="L434" i="5"/>
  <c r="M434" i="5"/>
  <c r="K435" i="5"/>
  <c r="L435" i="5"/>
  <c r="M435" i="5"/>
  <c r="K436" i="5"/>
  <c r="L436" i="5"/>
  <c r="M436" i="5"/>
  <c r="K437" i="5"/>
  <c r="L437" i="5"/>
  <c r="M437" i="5"/>
  <c r="K438" i="5"/>
  <c r="L438" i="5"/>
  <c r="M438" i="5"/>
  <c r="K439" i="5"/>
  <c r="L439" i="5"/>
  <c r="M439" i="5"/>
  <c r="K440" i="5"/>
  <c r="L440" i="5"/>
  <c r="M440" i="5"/>
  <c r="K441" i="5"/>
  <c r="L441" i="5"/>
  <c r="M441" i="5"/>
  <c r="K442" i="5"/>
  <c r="L442" i="5"/>
  <c r="M442" i="5"/>
  <c r="K443" i="5"/>
  <c r="L443" i="5"/>
  <c r="M443" i="5"/>
  <c r="K444" i="5"/>
  <c r="L444" i="5"/>
  <c r="M444" i="5"/>
  <c r="K445" i="5"/>
  <c r="L445" i="5"/>
  <c r="M445" i="5"/>
  <c r="K446" i="5"/>
  <c r="L446" i="5"/>
  <c r="M446" i="5"/>
  <c r="K447" i="5"/>
  <c r="L447" i="5"/>
  <c r="M447" i="5"/>
  <c r="K448" i="5"/>
  <c r="L448" i="5"/>
  <c r="M448" i="5"/>
  <c r="K449" i="5"/>
  <c r="L449" i="5"/>
  <c r="M449" i="5"/>
  <c r="K450" i="5"/>
  <c r="L450" i="5"/>
  <c r="M450" i="5"/>
  <c r="K451" i="5"/>
  <c r="L451" i="5"/>
  <c r="M451" i="5"/>
  <c r="K452" i="5"/>
  <c r="L452" i="5"/>
  <c r="M452" i="5"/>
  <c r="K453" i="5"/>
  <c r="L453" i="5"/>
  <c r="M453" i="5"/>
  <c r="K454" i="5"/>
  <c r="L454" i="5"/>
  <c r="M454" i="5"/>
  <c r="K455" i="5"/>
  <c r="L455" i="5"/>
  <c r="M455" i="5"/>
  <c r="K456" i="5"/>
  <c r="L456" i="5"/>
  <c r="M456" i="5"/>
  <c r="K457" i="5"/>
  <c r="L457" i="5"/>
  <c r="M457" i="5"/>
  <c r="K458" i="5"/>
  <c r="L458" i="5"/>
  <c r="M458" i="5"/>
  <c r="K459" i="5"/>
  <c r="L459" i="5"/>
  <c r="M459" i="5"/>
  <c r="K460" i="5"/>
  <c r="L460" i="5"/>
  <c r="M460" i="5"/>
  <c r="K461" i="5"/>
  <c r="L461" i="5"/>
  <c r="M461" i="5"/>
  <c r="K462" i="5"/>
  <c r="L462" i="5"/>
  <c r="M462" i="5"/>
  <c r="K463" i="5"/>
  <c r="L463" i="5"/>
  <c r="M463" i="5"/>
  <c r="K464" i="5"/>
  <c r="L464" i="5"/>
  <c r="M464" i="5"/>
  <c r="K465" i="5"/>
  <c r="L465" i="5"/>
  <c r="M465" i="5"/>
  <c r="K466" i="5"/>
  <c r="L466" i="5"/>
  <c r="M466" i="5"/>
  <c r="K467" i="5"/>
  <c r="L467" i="5"/>
  <c r="M467" i="5"/>
  <c r="K468" i="5"/>
  <c r="L468" i="5"/>
  <c r="M468" i="5"/>
  <c r="K469" i="5"/>
  <c r="L469" i="5"/>
  <c r="M469" i="5"/>
  <c r="K470" i="5"/>
  <c r="L470" i="5"/>
  <c r="M470" i="5"/>
  <c r="K471" i="5"/>
  <c r="L471" i="5"/>
  <c r="M471" i="5"/>
  <c r="K472" i="5"/>
  <c r="L472" i="5"/>
  <c r="M472" i="5"/>
  <c r="K473" i="5"/>
  <c r="L473" i="5"/>
  <c r="M473" i="5"/>
  <c r="K474" i="5"/>
  <c r="L474" i="5"/>
  <c r="M474" i="5"/>
  <c r="K475" i="5"/>
  <c r="L475" i="5"/>
  <c r="M475" i="5"/>
  <c r="K476" i="5"/>
  <c r="L476" i="5"/>
  <c r="M476" i="5"/>
  <c r="K477" i="5"/>
  <c r="L477" i="5"/>
  <c r="M477" i="5"/>
  <c r="K478" i="5"/>
  <c r="L478" i="5"/>
  <c r="M478" i="5"/>
  <c r="K479" i="5"/>
  <c r="L479" i="5"/>
  <c r="M479" i="5"/>
  <c r="K480" i="5"/>
  <c r="L480" i="5"/>
  <c r="M480" i="5"/>
  <c r="K481" i="5"/>
  <c r="L481" i="5"/>
  <c r="M481" i="5"/>
  <c r="K482" i="5"/>
  <c r="L482" i="5"/>
  <c r="M482" i="5"/>
  <c r="K483" i="5"/>
  <c r="L483" i="5"/>
  <c r="M483" i="5"/>
  <c r="K484" i="5"/>
  <c r="L484" i="5"/>
  <c r="M484" i="5"/>
  <c r="K485" i="5"/>
  <c r="L485" i="5"/>
  <c r="M485" i="5"/>
  <c r="K486" i="5"/>
  <c r="L486" i="5"/>
  <c r="M486" i="5"/>
  <c r="K487" i="5"/>
  <c r="L487" i="5"/>
  <c r="M487" i="5"/>
  <c r="K488" i="5"/>
  <c r="L488" i="5"/>
  <c r="M488" i="5"/>
  <c r="K489" i="5"/>
  <c r="L489" i="5"/>
  <c r="M489" i="5"/>
  <c r="K490" i="5"/>
  <c r="L490" i="5"/>
  <c r="M490" i="5"/>
  <c r="K491" i="5"/>
  <c r="L491" i="5"/>
  <c r="M491" i="5"/>
  <c r="K492" i="5"/>
  <c r="L492" i="5"/>
  <c r="M492" i="5"/>
  <c r="K493" i="5"/>
  <c r="L493" i="5"/>
  <c r="M493" i="5"/>
  <c r="K494" i="5"/>
  <c r="L494" i="5"/>
  <c r="M494" i="5"/>
  <c r="K495" i="5"/>
  <c r="L495" i="5"/>
  <c r="M495" i="5"/>
  <c r="K496" i="5"/>
  <c r="L496" i="5"/>
  <c r="M496" i="5"/>
  <c r="K497" i="5"/>
  <c r="L497" i="5"/>
  <c r="M497" i="5"/>
  <c r="K498" i="5"/>
  <c r="L498" i="5"/>
  <c r="M498" i="5"/>
  <c r="K499" i="5"/>
  <c r="L499" i="5"/>
  <c r="M499" i="5"/>
  <c r="K500" i="5"/>
  <c r="L500" i="5"/>
  <c r="M500" i="5"/>
  <c r="K501" i="5"/>
  <c r="L501" i="5"/>
  <c r="M501" i="5"/>
  <c r="K502" i="5"/>
  <c r="L502" i="5"/>
  <c r="M502" i="5"/>
  <c r="K503" i="5"/>
  <c r="L503" i="5"/>
  <c r="M503" i="5"/>
  <c r="K504" i="5"/>
  <c r="L504" i="5"/>
  <c r="M504" i="5"/>
  <c r="K505" i="5"/>
  <c r="L505" i="5"/>
  <c r="M505" i="5"/>
  <c r="K506" i="5"/>
  <c r="L506" i="5"/>
  <c r="M506" i="5"/>
  <c r="K507" i="5"/>
  <c r="L507" i="5"/>
  <c r="M507" i="5"/>
  <c r="K508" i="5"/>
  <c r="L508" i="5"/>
  <c r="M508" i="5"/>
  <c r="K509" i="5"/>
  <c r="L509" i="5"/>
  <c r="M509" i="5"/>
  <c r="K510" i="5"/>
  <c r="L510" i="5"/>
  <c r="M510" i="5"/>
  <c r="K511" i="5"/>
  <c r="L511" i="5"/>
  <c r="M511" i="5"/>
  <c r="K512" i="5"/>
  <c r="L512" i="5"/>
  <c r="M512" i="5"/>
  <c r="K513" i="5"/>
  <c r="L513" i="5"/>
  <c r="M513" i="5"/>
  <c r="K514" i="5"/>
  <c r="L514" i="5"/>
  <c r="M514" i="5"/>
  <c r="K515" i="5"/>
  <c r="L515" i="5"/>
  <c r="M515" i="5"/>
  <c r="K516" i="5"/>
  <c r="L516" i="5"/>
  <c r="M516" i="5"/>
  <c r="K517" i="5"/>
  <c r="L517" i="5"/>
  <c r="M517" i="5"/>
  <c r="K518" i="5"/>
  <c r="L518" i="5"/>
  <c r="M518" i="5"/>
  <c r="K519" i="5"/>
  <c r="L519" i="5"/>
  <c r="M519" i="5"/>
  <c r="K520" i="5"/>
  <c r="L520" i="5"/>
  <c r="M520" i="5"/>
  <c r="K521" i="5"/>
  <c r="L521" i="5"/>
  <c r="M521" i="5"/>
  <c r="K522" i="5"/>
  <c r="L522" i="5"/>
  <c r="M522" i="5"/>
  <c r="K523" i="5"/>
  <c r="L523" i="5"/>
  <c r="M523" i="5"/>
  <c r="K524" i="5"/>
  <c r="L524" i="5"/>
  <c r="M524" i="5"/>
  <c r="K525" i="5"/>
  <c r="L525" i="5"/>
  <c r="M525" i="5"/>
  <c r="K526" i="5"/>
  <c r="L526" i="5"/>
  <c r="M526" i="5"/>
  <c r="K527" i="5"/>
  <c r="L527" i="5"/>
  <c r="M527" i="5"/>
  <c r="K528" i="5"/>
  <c r="L528" i="5"/>
  <c r="M528" i="5"/>
  <c r="K529" i="5"/>
  <c r="L529" i="5"/>
  <c r="M529" i="5"/>
  <c r="K530" i="5"/>
  <c r="L530" i="5"/>
  <c r="M530" i="5"/>
  <c r="K531" i="5"/>
  <c r="L531" i="5"/>
  <c r="M531" i="5"/>
  <c r="K532" i="5"/>
  <c r="L532" i="5"/>
  <c r="M532" i="5"/>
  <c r="K533" i="5"/>
  <c r="L533" i="5"/>
  <c r="M533" i="5"/>
  <c r="K534" i="5"/>
  <c r="L534" i="5"/>
  <c r="M534" i="5"/>
  <c r="K535" i="5"/>
  <c r="L535" i="5"/>
  <c r="M535" i="5"/>
  <c r="K536" i="5"/>
  <c r="L536" i="5"/>
  <c r="M536" i="5"/>
  <c r="K537" i="5"/>
  <c r="L537" i="5"/>
  <c r="M537" i="5"/>
  <c r="K538" i="5"/>
  <c r="L538" i="5"/>
  <c r="M538" i="5"/>
  <c r="K539" i="5"/>
  <c r="L539" i="5"/>
  <c r="M539" i="5"/>
  <c r="K540" i="5"/>
  <c r="L540" i="5"/>
  <c r="M540" i="5"/>
  <c r="K541" i="5"/>
  <c r="L541" i="5"/>
  <c r="M541" i="5"/>
  <c r="K542" i="5"/>
  <c r="L542" i="5"/>
  <c r="M542" i="5"/>
  <c r="K543" i="5"/>
  <c r="L543" i="5"/>
  <c r="M543" i="5"/>
  <c r="K544" i="5"/>
  <c r="L544" i="5"/>
  <c r="M544" i="5"/>
  <c r="K545" i="5"/>
  <c r="L545" i="5"/>
  <c r="M545" i="5"/>
  <c r="K546" i="5"/>
  <c r="L546" i="5"/>
  <c r="M546" i="5"/>
  <c r="K547" i="5"/>
  <c r="L547" i="5"/>
  <c r="M547" i="5"/>
  <c r="K548" i="5"/>
  <c r="L548" i="5"/>
  <c r="M548" i="5"/>
  <c r="K549" i="5"/>
  <c r="L549" i="5"/>
  <c r="M549" i="5"/>
  <c r="K550" i="5"/>
  <c r="L550" i="5"/>
  <c r="M550" i="5"/>
  <c r="K551" i="5"/>
  <c r="L551" i="5"/>
  <c r="M551" i="5"/>
  <c r="K552" i="5"/>
  <c r="L552" i="5"/>
  <c r="M552" i="5"/>
  <c r="K553" i="5"/>
  <c r="L553" i="5"/>
  <c r="M553" i="5"/>
  <c r="K554" i="5"/>
  <c r="L554" i="5"/>
  <c r="M554" i="5"/>
  <c r="K555" i="5"/>
  <c r="L555" i="5"/>
  <c r="M555" i="5"/>
  <c r="K556" i="5"/>
  <c r="L556" i="5"/>
  <c r="M556" i="5"/>
  <c r="K557" i="5"/>
  <c r="L557" i="5"/>
  <c r="M557" i="5"/>
  <c r="K558" i="5"/>
  <c r="L558" i="5"/>
  <c r="M558" i="5"/>
  <c r="K559" i="5"/>
  <c r="L559" i="5"/>
  <c r="M559" i="5"/>
  <c r="K560" i="5"/>
  <c r="L560" i="5"/>
  <c r="M560" i="5"/>
  <c r="K561" i="5"/>
  <c r="L561" i="5"/>
  <c r="M561" i="5"/>
  <c r="K562" i="5"/>
  <c r="L562" i="5"/>
  <c r="M562" i="5"/>
  <c r="K563" i="5"/>
  <c r="L563" i="5"/>
  <c r="M563" i="5"/>
  <c r="K564" i="5"/>
  <c r="L564" i="5"/>
  <c r="M564" i="5"/>
  <c r="K565" i="5"/>
  <c r="L565" i="5"/>
  <c r="M565" i="5"/>
  <c r="K566" i="5"/>
  <c r="L566" i="5"/>
  <c r="M566" i="5"/>
  <c r="K567" i="5"/>
  <c r="L567" i="5"/>
  <c r="M567" i="5"/>
  <c r="K568" i="5"/>
  <c r="L568" i="5"/>
  <c r="M568" i="5"/>
  <c r="K569" i="5"/>
  <c r="L569" i="5"/>
  <c r="M569" i="5"/>
  <c r="K570" i="5"/>
  <c r="L570" i="5"/>
  <c r="M570" i="5"/>
  <c r="K571" i="5"/>
  <c r="L571" i="5"/>
  <c r="M571" i="5"/>
  <c r="K572" i="5"/>
  <c r="L572" i="5"/>
  <c r="M572" i="5"/>
  <c r="K573" i="5"/>
  <c r="L573" i="5"/>
  <c r="M573" i="5"/>
  <c r="K574" i="5"/>
  <c r="L574" i="5"/>
  <c r="M574" i="5"/>
  <c r="K575" i="5"/>
  <c r="L575" i="5"/>
  <c r="M575" i="5"/>
  <c r="K576" i="5"/>
  <c r="L576" i="5"/>
  <c r="M576" i="5"/>
  <c r="K577" i="5"/>
  <c r="L577" i="5"/>
  <c r="M577" i="5"/>
  <c r="K578" i="5"/>
  <c r="L578" i="5"/>
  <c r="M578" i="5"/>
  <c r="K579" i="5"/>
  <c r="L579" i="5"/>
  <c r="M579" i="5"/>
  <c r="K580" i="5"/>
  <c r="L580" i="5"/>
  <c r="M580" i="5"/>
  <c r="K581" i="5"/>
  <c r="L581" i="5"/>
  <c r="M581" i="5"/>
  <c r="K582" i="5"/>
  <c r="L582" i="5"/>
  <c r="M582" i="5"/>
  <c r="K583" i="5"/>
  <c r="L583" i="5"/>
  <c r="M583" i="5"/>
  <c r="K584" i="5"/>
  <c r="L584" i="5"/>
  <c r="M584" i="5"/>
  <c r="K585" i="5"/>
  <c r="L585" i="5"/>
  <c r="M585" i="5"/>
  <c r="K586" i="5"/>
  <c r="L586" i="5"/>
  <c r="M586" i="5"/>
  <c r="K587" i="5"/>
  <c r="L587" i="5"/>
  <c r="M587" i="5"/>
  <c r="K588" i="5"/>
  <c r="L588" i="5"/>
  <c r="M588" i="5"/>
  <c r="K589" i="5"/>
  <c r="L589" i="5"/>
  <c r="M589" i="5"/>
  <c r="K590" i="5"/>
  <c r="L590" i="5"/>
  <c r="M590" i="5"/>
  <c r="K591" i="5"/>
  <c r="L591" i="5"/>
  <c r="M591" i="5"/>
  <c r="K592" i="5"/>
  <c r="L592" i="5"/>
  <c r="M592" i="5"/>
  <c r="K593" i="5"/>
  <c r="L593" i="5"/>
  <c r="M593" i="5"/>
  <c r="K594" i="5"/>
  <c r="L594" i="5"/>
  <c r="M594" i="5"/>
  <c r="K595" i="5"/>
  <c r="L595" i="5"/>
  <c r="M595" i="5"/>
  <c r="K596" i="5"/>
  <c r="L596" i="5"/>
  <c r="M596" i="5"/>
  <c r="K597" i="5"/>
  <c r="L597" i="5"/>
  <c r="M597" i="5"/>
  <c r="K598" i="5"/>
  <c r="L598" i="5"/>
  <c r="M598" i="5"/>
  <c r="K599" i="5"/>
  <c r="L599" i="5"/>
  <c r="M599" i="5"/>
  <c r="K600" i="5"/>
  <c r="L600" i="5"/>
  <c r="M600" i="5"/>
  <c r="K601" i="5"/>
  <c r="L601" i="5"/>
  <c r="M601" i="5"/>
  <c r="K602" i="5"/>
  <c r="L602" i="5"/>
  <c r="M602" i="5"/>
  <c r="K603" i="5"/>
  <c r="L603" i="5"/>
  <c r="M603" i="5"/>
  <c r="K604" i="5"/>
  <c r="L604" i="5"/>
  <c r="M604" i="5"/>
  <c r="K605" i="5"/>
  <c r="L605" i="5"/>
  <c r="M605" i="5"/>
  <c r="K606" i="5"/>
  <c r="L606" i="5"/>
  <c r="M606" i="5"/>
  <c r="K607" i="5"/>
  <c r="L607" i="5"/>
  <c r="M607" i="5"/>
  <c r="K608" i="5"/>
  <c r="L608" i="5"/>
  <c r="M608" i="5"/>
  <c r="K609" i="5"/>
  <c r="L609" i="5"/>
  <c r="M609" i="5"/>
  <c r="K610" i="5"/>
  <c r="L610" i="5"/>
  <c r="M610" i="5"/>
  <c r="K611" i="5"/>
  <c r="L611" i="5"/>
  <c r="M611" i="5"/>
  <c r="K612" i="5"/>
  <c r="L612" i="5"/>
  <c r="M612" i="5"/>
  <c r="K613" i="5"/>
  <c r="L613" i="5"/>
  <c r="M613" i="5"/>
  <c r="K614" i="5"/>
  <c r="L614" i="5"/>
  <c r="M614" i="5"/>
  <c r="K615" i="5"/>
  <c r="L615" i="5"/>
  <c r="M615" i="5"/>
  <c r="K616" i="5"/>
  <c r="L616" i="5"/>
  <c r="M616" i="5"/>
  <c r="K617" i="5"/>
  <c r="L617" i="5"/>
  <c r="M617" i="5"/>
  <c r="K618" i="5"/>
  <c r="L618" i="5"/>
  <c r="M618" i="5"/>
  <c r="K619" i="5"/>
  <c r="L619" i="5"/>
  <c r="M619" i="5"/>
  <c r="K620" i="5"/>
  <c r="L620" i="5"/>
  <c r="M620" i="5"/>
  <c r="K621" i="5"/>
  <c r="L621" i="5"/>
  <c r="M621" i="5"/>
  <c r="K622" i="5"/>
  <c r="L622" i="5"/>
  <c r="M622" i="5"/>
  <c r="K623" i="5"/>
  <c r="L623" i="5"/>
  <c r="M623" i="5"/>
  <c r="K624" i="5"/>
  <c r="L624" i="5"/>
  <c r="M624" i="5"/>
  <c r="K625" i="5"/>
  <c r="L625" i="5"/>
  <c r="M625" i="5"/>
  <c r="K626" i="5"/>
  <c r="L626" i="5"/>
  <c r="M626" i="5"/>
  <c r="K627" i="5"/>
  <c r="L627" i="5"/>
  <c r="M627" i="5"/>
  <c r="K628" i="5"/>
  <c r="L628" i="5"/>
  <c r="M628" i="5"/>
  <c r="K629" i="5"/>
  <c r="L629" i="5"/>
  <c r="M629" i="5"/>
  <c r="K630" i="5"/>
  <c r="L630" i="5"/>
  <c r="M630" i="5"/>
  <c r="K631" i="5"/>
  <c r="L631" i="5"/>
  <c r="M631" i="5"/>
  <c r="K632" i="5"/>
  <c r="L632" i="5"/>
  <c r="M632" i="5"/>
  <c r="K633" i="5"/>
  <c r="L633" i="5"/>
  <c r="M633" i="5"/>
  <c r="K634" i="5"/>
  <c r="L634" i="5"/>
  <c r="M634" i="5"/>
  <c r="K635" i="5"/>
  <c r="L635" i="5"/>
  <c r="M635" i="5"/>
  <c r="K636" i="5"/>
  <c r="L636" i="5"/>
  <c r="M636" i="5"/>
  <c r="K637" i="5"/>
  <c r="L637" i="5"/>
  <c r="M637" i="5"/>
  <c r="K638" i="5"/>
  <c r="L638" i="5"/>
  <c r="M638" i="5"/>
  <c r="K639" i="5"/>
  <c r="L639" i="5"/>
  <c r="M639" i="5"/>
  <c r="K640" i="5"/>
  <c r="L640" i="5"/>
  <c r="M640" i="5"/>
  <c r="K641" i="5"/>
  <c r="L641" i="5"/>
  <c r="M641" i="5"/>
  <c r="K642" i="5"/>
  <c r="L642" i="5"/>
  <c r="M642" i="5"/>
  <c r="K643" i="5"/>
  <c r="L643" i="5"/>
  <c r="M643" i="5"/>
  <c r="K644" i="5"/>
  <c r="L644" i="5"/>
  <c r="M644" i="5"/>
  <c r="K645" i="5"/>
  <c r="L645" i="5"/>
  <c r="M645" i="5"/>
  <c r="K646" i="5"/>
  <c r="L646" i="5"/>
  <c r="M646" i="5"/>
  <c r="K647" i="5"/>
  <c r="L647" i="5"/>
  <c r="M647" i="5"/>
  <c r="K648" i="5"/>
  <c r="L648" i="5"/>
  <c r="M648" i="5"/>
  <c r="K649" i="5"/>
  <c r="L649" i="5"/>
  <c r="M649" i="5"/>
  <c r="K650" i="5"/>
  <c r="L650" i="5"/>
  <c r="M650" i="5"/>
  <c r="K651" i="5"/>
  <c r="L651" i="5"/>
  <c r="M651" i="5"/>
  <c r="K652" i="5"/>
  <c r="L652" i="5"/>
  <c r="M652" i="5"/>
  <c r="K653" i="5"/>
  <c r="L653" i="5"/>
  <c r="M653" i="5"/>
  <c r="K654" i="5"/>
  <c r="L654" i="5"/>
  <c r="M654" i="5"/>
  <c r="K655" i="5"/>
  <c r="L655" i="5"/>
  <c r="M655" i="5"/>
  <c r="K656" i="5"/>
  <c r="L656" i="5"/>
  <c r="M656" i="5"/>
  <c r="K657" i="5"/>
  <c r="L657" i="5"/>
  <c r="M657" i="5"/>
  <c r="K658" i="5"/>
  <c r="L658" i="5"/>
  <c r="M658" i="5"/>
  <c r="K659" i="5"/>
  <c r="L659" i="5"/>
  <c r="M659" i="5"/>
  <c r="K660" i="5"/>
  <c r="L660" i="5"/>
  <c r="M660" i="5"/>
  <c r="K661" i="5"/>
  <c r="L661" i="5"/>
  <c r="M661" i="5"/>
  <c r="K662" i="5"/>
  <c r="L662" i="5"/>
  <c r="M662" i="5"/>
  <c r="K663" i="5"/>
  <c r="L663" i="5"/>
  <c r="M663" i="5"/>
  <c r="K664" i="5"/>
  <c r="L664" i="5"/>
  <c r="M664" i="5"/>
  <c r="K665" i="5"/>
  <c r="L665" i="5"/>
  <c r="M665" i="5"/>
  <c r="K666" i="5"/>
  <c r="L666" i="5"/>
  <c r="M666" i="5"/>
  <c r="K667" i="5"/>
  <c r="L667" i="5"/>
  <c r="M667" i="5"/>
  <c r="K668" i="5"/>
  <c r="L668" i="5"/>
  <c r="M668" i="5"/>
  <c r="K669" i="5"/>
  <c r="L669" i="5"/>
  <c r="M669" i="5"/>
  <c r="K670" i="5"/>
  <c r="L670" i="5"/>
  <c r="M670" i="5"/>
  <c r="K671" i="5"/>
  <c r="L671" i="5"/>
  <c r="M671" i="5"/>
  <c r="K672" i="5"/>
  <c r="L672" i="5"/>
  <c r="M672" i="5"/>
  <c r="K673" i="5"/>
  <c r="L673" i="5"/>
  <c r="M673" i="5"/>
  <c r="K674" i="5"/>
  <c r="L674" i="5"/>
  <c r="M674" i="5"/>
  <c r="K675" i="5"/>
  <c r="L675" i="5"/>
  <c r="M675" i="5"/>
  <c r="K676" i="5"/>
  <c r="L676" i="5"/>
  <c r="M676" i="5"/>
  <c r="K677" i="5"/>
  <c r="L677" i="5"/>
  <c r="M677" i="5"/>
  <c r="K678" i="5"/>
  <c r="L678" i="5"/>
  <c r="M678" i="5"/>
  <c r="K679" i="5"/>
  <c r="L679" i="5"/>
  <c r="M679" i="5"/>
  <c r="K680" i="5"/>
  <c r="L680" i="5"/>
  <c r="M680" i="5"/>
  <c r="K681" i="5"/>
  <c r="L681" i="5"/>
  <c r="M681" i="5"/>
  <c r="K682" i="5"/>
  <c r="L682" i="5"/>
  <c r="M682" i="5"/>
  <c r="K683" i="5"/>
  <c r="L683" i="5"/>
  <c r="M683" i="5"/>
  <c r="K684" i="5"/>
  <c r="L684" i="5"/>
  <c r="M684" i="5"/>
  <c r="K685" i="5"/>
  <c r="L685" i="5"/>
  <c r="M685" i="5"/>
  <c r="K686" i="5"/>
  <c r="L686" i="5"/>
  <c r="M686" i="5"/>
  <c r="K687" i="5"/>
  <c r="L687" i="5"/>
  <c r="M687" i="5"/>
  <c r="K688" i="5"/>
  <c r="L688" i="5"/>
  <c r="M688" i="5"/>
  <c r="K689" i="5"/>
  <c r="L689" i="5"/>
  <c r="M689" i="5"/>
  <c r="K690" i="5"/>
  <c r="L690" i="5"/>
  <c r="M690" i="5"/>
  <c r="K691" i="5"/>
  <c r="L691" i="5"/>
  <c r="M691" i="5"/>
  <c r="K692" i="5"/>
  <c r="L692" i="5"/>
  <c r="M692" i="5"/>
  <c r="K693" i="5"/>
  <c r="L693" i="5"/>
  <c r="M693" i="5"/>
  <c r="K694" i="5"/>
  <c r="L694" i="5"/>
  <c r="M694" i="5"/>
  <c r="K695" i="5"/>
  <c r="L695" i="5"/>
  <c r="M695" i="5"/>
  <c r="K696" i="5"/>
  <c r="L696" i="5"/>
  <c r="M696" i="5"/>
  <c r="K697" i="5"/>
  <c r="L697" i="5"/>
  <c r="M697" i="5"/>
  <c r="K698" i="5"/>
  <c r="L698" i="5"/>
  <c r="M698" i="5"/>
  <c r="K699" i="5"/>
  <c r="L699" i="5"/>
  <c r="M699" i="5"/>
  <c r="K700" i="5"/>
  <c r="L700" i="5"/>
  <c r="M700" i="5"/>
  <c r="K701" i="5"/>
  <c r="L701" i="5"/>
  <c r="M701" i="5"/>
  <c r="K702" i="5"/>
  <c r="L702" i="5"/>
  <c r="M702" i="5"/>
  <c r="K703" i="5"/>
  <c r="L703" i="5"/>
  <c r="M703" i="5"/>
  <c r="K704" i="5"/>
  <c r="L704" i="5"/>
  <c r="M704" i="5"/>
  <c r="K705" i="5"/>
  <c r="L705" i="5"/>
  <c r="M705" i="5"/>
  <c r="K706" i="5"/>
  <c r="L706" i="5"/>
  <c r="M706" i="5"/>
  <c r="K707" i="5"/>
  <c r="L707" i="5"/>
  <c r="M707" i="5"/>
  <c r="K708" i="5"/>
  <c r="L708" i="5"/>
  <c r="M708" i="5"/>
  <c r="K709" i="5"/>
  <c r="L709" i="5"/>
  <c r="M709" i="5"/>
  <c r="K710" i="5"/>
  <c r="L710" i="5"/>
  <c r="M710" i="5"/>
  <c r="K711" i="5"/>
  <c r="L711" i="5"/>
  <c r="M711" i="5"/>
  <c r="K712" i="5"/>
  <c r="L712" i="5"/>
  <c r="M712" i="5"/>
  <c r="K713" i="5"/>
  <c r="L713" i="5"/>
  <c r="M713" i="5"/>
  <c r="K714" i="5"/>
  <c r="L714" i="5"/>
  <c r="M714" i="5"/>
  <c r="K715" i="5"/>
  <c r="L715" i="5"/>
  <c r="M715" i="5"/>
  <c r="K716" i="5"/>
  <c r="L716" i="5"/>
  <c r="M716" i="5"/>
  <c r="K717" i="5"/>
  <c r="L717" i="5"/>
  <c r="M717" i="5"/>
  <c r="K718" i="5"/>
  <c r="L718" i="5"/>
  <c r="M718" i="5"/>
  <c r="K719" i="5"/>
  <c r="L719" i="5"/>
  <c r="M719" i="5"/>
  <c r="K720" i="5"/>
  <c r="L720" i="5"/>
  <c r="M720" i="5"/>
  <c r="K721" i="5"/>
  <c r="L721" i="5"/>
  <c r="M721" i="5"/>
  <c r="K722" i="5"/>
  <c r="L722" i="5"/>
  <c r="M722" i="5"/>
  <c r="K723" i="5"/>
  <c r="L723" i="5"/>
  <c r="M723" i="5"/>
  <c r="K724" i="5"/>
  <c r="L724" i="5"/>
  <c r="M724" i="5"/>
  <c r="K725" i="5"/>
  <c r="L725" i="5"/>
  <c r="M725" i="5"/>
  <c r="K726" i="5"/>
  <c r="L726" i="5"/>
  <c r="M726" i="5"/>
  <c r="K727" i="5"/>
  <c r="L727" i="5"/>
  <c r="M727" i="5"/>
  <c r="K728" i="5"/>
  <c r="L728" i="5"/>
  <c r="M728" i="5"/>
  <c r="K729" i="5"/>
  <c r="L729" i="5"/>
  <c r="M729" i="5"/>
  <c r="K730" i="5"/>
  <c r="L730" i="5"/>
  <c r="M730" i="5"/>
  <c r="K731" i="5"/>
  <c r="L731" i="5"/>
  <c r="M731" i="5"/>
  <c r="K732" i="5"/>
  <c r="L732" i="5"/>
  <c r="M732" i="5"/>
  <c r="K733" i="5"/>
  <c r="L733" i="5"/>
  <c r="M733" i="5"/>
  <c r="K734" i="5"/>
  <c r="L734" i="5"/>
  <c r="M734" i="5"/>
  <c r="K735" i="5"/>
  <c r="L735" i="5"/>
  <c r="M735" i="5"/>
  <c r="K736" i="5"/>
  <c r="L736" i="5"/>
  <c r="M736" i="5"/>
  <c r="K737" i="5"/>
  <c r="L737" i="5"/>
  <c r="M737" i="5"/>
  <c r="K738" i="5"/>
  <c r="L738" i="5"/>
  <c r="M738" i="5"/>
  <c r="K739" i="5"/>
  <c r="L739" i="5"/>
  <c r="M739" i="5"/>
  <c r="K740" i="5"/>
  <c r="L740" i="5"/>
  <c r="M740" i="5"/>
  <c r="K741" i="5"/>
  <c r="L741" i="5"/>
  <c r="M741" i="5"/>
  <c r="K742" i="5"/>
  <c r="L742" i="5"/>
  <c r="M742" i="5"/>
  <c r="K743" i="5"/>
  <c r="L743" i="5"/>
  <c r="M743" i="5"/>
  <c r="K744" i="5"/>
  <c r="L744" i="5"/>
  <c r="M744" i="5"/>
  <c r="K745" i="5"/>
  <c r="L745" i="5"/>
  <c r="M745" i="5"/>
  <c r="K746" i="5"/>
  <c r="L746" i="5"/>
  <c r="M746" i="5"/>
  <c r="K747" i="5"/>
  <c r="L747" i="5"/>
  <c r="M747" i="5"/>
  <c r="K748" i="5"/>
  <c r="L748" i="5"/>
  <c r="M748" i="5"/>
  <c r="K749" i="5"/>
  <c r="L749" i="5"/>
  <c r="M749" i="5"/>
  <c r="K750" i="5"/>
  <c r="L750" i="5"/>
  <c r="M750" i="5"/>
  <c r="K751" i="5"/>
  <c r="L751" i="5"/>
  <c r="M751" i="5"/>
  <c r="K752" i="5"/>
  <c r="L752" i="5"/>
  <c r="M752" i="5"/>
  <c r="K753" i="5"/>
  <c r="L753" i="5"/>
  <c r="M753" i="5"/>
  <c r="K754" i="5"/>
  <c r="L754" i="5"/>
  <c r="M754" i="5"/>
  <c r="K755" i="5"/>
  <c r="L755" i="5"/>
  <c r="M755" i="5"/>
  <c r="K756" i="5"/>
  <c r="L756" i="5"/>
  <c r="M756" i="5"/>
  <c r="K757" i="5"/>
  <c r="L757" i="5"/>
  <c r="M757" i="5"/>
  <c r="K758" i="5"/>
  <c r="L758" i="5"/>
  <c r="M758" i="5"/>
  <c r="K759" i="5"/>
  <c r="L759" i="5"/>
  <c r="M759" i="5"/>
  <c r="K760" i="5"/>
  <c r="L760" i="5"/>
  <c r="M760" i="5"/>
  <c r="K761" i="5"/>
  <c r="L761" i="5"/>
  <c r="M761" i="5"/>
  <c r="K762" i="5"/>
  <c r="L762" i="5"/>
  <c r="M762" i="5"/>
  <c r="K763" i="5"/>
  <c r="L763" i="5"/>
  <c r="M763" i="5"/>
  <c r="K764" i="5"/>
  <c r="L764" i="5"/>
  <c r="M764" i="5"/>
  <c r="K765" i="5"/>
  <c r="L765" i="5"/>
  <c r="M765" i="5"/>
  <c r="K766" i="5"/>
  <c r="L766" i="5"/>
  <c r="M766" i="5"/>
  <c r="K767" i="5"/>
  <c r="L767" i="5"/>
  <c r="M767" i="5"/>
  <c r="K768" i="5"/>
  <c r="L768" i="5"/>
  <c r="M768" i="5"/>
  <c r="K769" i="5"/>
  <c r="L769" i="5"/>
  <c r="M769" i="5"/>
  <c r="K770" i="5"/>
  <c r="L770" i="5"/>
  <c r="M770" i="5"/>
  <c r="K771" i="5"/>
  <c r="L771" i="5"/>
  <c r="M771" i="5"/>
  <c r="K772" i="5"/>
  <c r="L772" i="5"/>
  <c r="M772" i="5"/>
  <c r="K773" i="5"/>
  <c r="L773" i="5"/>
  <c r="M773" i="5"/>
  <c r="K774" i="5"/>
  <c r="L774" i="5"/>
  <c r="M774" i="5"/>
  <c r="K775" i="5"/>
  <c r="L775" i="5"/>
  <c r="M775" i="5"/>
  <c r="K776" i="5"/>
  <c r="L776" i="5"/>
  <c r="M776" i="5"/>
  <c r="K777" i="5"/>
  <c r="L777" i="5"/>
  <c r="M777" i="5"/>
  <c r="K778" i="5"/>
  <c r="L778" i="5"/>
  <c r="M778" i="5"/>
  <c r="K779" i="5"/>
  <c r="L779" i="5"/>
  <c r="M779" i="5"/>
  <c r="K780" i="5"/>
  <c r="L780" i="5"/>
  <c r="M780" i="5"/>
  <c r="K781" i="5"/>
  <c r="L781" i="5"/>
  <c r="M781" i="5"/>
  <c r="K782" i="5"/>
  <c r="L782" i="5"/>
  <c r="M782" i="5"/>
  <c r="K783" i="5"/>
  <c r="L783" i="5"/>
  <c r="M783" i="5"/>
  <c r="K784" i="5"/>
  <c r="L784" i="5"/>
  <c r="M784" i="5"/>
  <c r="K785" i="5"/>
  <c r="L785" i="5"/>
  <c r="M785" i="5"/>
  <c r="K786" i="5"/>
  <c r="L786" i="5"/>
  <c r="M786" i="5"/>
  <c r="K787" i="5"/>
  <c r="L787" i="5"/>
  <c r="M787" i="5"/>
  <c r="K788" i="5"/>
  <c r="L788" i="5"/>
  <c r="M788" i="5"/>
  <c r="K789" i="5"/>
  <c r="L789" i="5"/>
  <c r="M789" i="5"/>
  <c r="K790" i="5"/>
  <c r="L790" i="5"/>
  <c r="M790" i="5"/>
  <c r="K791" i="5"/>
  <c r="L791" i="5"/>
  <c r="M791" i="5"/>
  <c r="K792" i="5"/>
  <c r="L792" i="5"/>
  <c r="M792" i="5"/>
  <c r="K793" i="5"/>
  <c r="L793" i="5"/>
  <c r="M793" i="5"/>
  <c r="K794" i="5"/>
  <c r="L794" i="5"/>
  <c r="M794" i="5"/>
  <c r="K795" i="5"/>
  <c r="L795" i="5"/>
  <c r="M795" i="5"/>
  <c r="K796" i="5"/>
  <c r="L796" i="5"/>
  <c r="M796" i="5"/>
  <c r="K797" i="5"/>
  <c r="L797" i="5"/>
  <c r="M797" i="5"/>
  <c r="K798" i="5"/>
  <c r="L798" i="5"/>
  <c r="M798" i="5"/>
  <c r="K799" i="5"/>
  <c r="L799" i="5"/>
  <c r="M799" i="5"/>
  <c r="K800" i="5"/>
  <c r="L800" i="5"/>
  <c r="M800" i="5"/>
  <c r="K801" i="5"/>
  <c r="L801" i="5"/>
  <c r="M801" i="5"/>
  <c r="K802" i="5"/>
  <c r="L802" i="5"/>
  <c r="M802" i="5"/>
  <c r="K803" i="5"/>
  <c r="L803" i="5"/>
  <c r="M803" i="5"/>
  <c r="K804" i="5"/>
  <c r="L804" i="5"/>
  <c r="M804" i="5"/>
  <c r="K805" i="5"/>
  <c r="L805" i="5"/>
  <c r="M805" i="5"/>
  <c r="K806" i="5"/>
  <c r="L806" i="5"/>
  <c r="M806" i="5"/>
  <c r="K807" i="5"/>
  <c r="L807" i="5"/>
  <c r="M807" i="5"/>
  <c r="K808" i="5"/>
  <c r="L808" i="5"/>
  <c r="M808" i="5"/>
  <c r="K809" i="5"/>
  <c r="L809" i="5"/>
  <c r="M809" i="5"/>
  <c r="K810" i="5"/>
  <c r="L810" i="5"/>
  <c r="M810" i="5"/>
  <c r="K811" i="5"/>
  <c r="L811" i="5"/>
  <c r="M811" i="5"/>
  <c r="K812" i="5"/>
  <c r="L812" i="5"/>
  <c r="M812" i="5"/>
  <c r="K813" i="5"/>
  <c r="L813" i="5"/>
  <c r="M813" i="5"/>
  <c r="K814" i="5"/>
  <c r="L814" i="5"/>
  <c r="M814" i="5"/>
  <c r="K815" i="5"/>
  <c r="L815" i="5"/>
  <c r="M815" i="5"/>
  <c r="K816" i="5"/>
  <c r="L816" i="5"/>
  <c r="M816" i="5"/>
  <c r="K817" i="5"/>
  <c r="L817" i="5"/>
  <c r="M817" i="5"/>
  <c r="K818" i="5"/>
  <c r="L818" i="5"/>
  <c r="M818" i="5"/>
  <c r="K819" i="5"/>
  <c r="L819" i="5"/>
  <c r="M819" i="5"/>
  <c r="K820" i="5"/>
  <c r="L820" i="5"/>
  <c r="M820" i="5"/>
  <c r="K821" i="5"/>
  <c r="L821" i="5"/>
  <c r="M821" i="5"/>
  <c r="K822" i="5"/>
  <c r="L822" i="5"/>
  <c r="M822" i="5"/>
  <c r="K823" i="5"/>
  <c r="L823" i="5"/>
  <c r="M823" i="5"/>
  <c r="K824" i="5"/>
  <c r="L824" i="5"/>
  <c r="M824" i="5"/>
  <c r="K825" i="5"/>
  <c r="L825" i="5"/>
  <c r="M825" i="5"/>
  <c r="K826" i="5"/>
  <c r="L826" i="5"/>
  <c r="M826" i="5"/>
  <c r="K827" i="5"/>
  <c r="L827" i="5"/>
  <c r="M827" i="5"/>
  <c r="K828" i="5"/>
  <c r="L828" i="5"/>
  <c r="M828" i="5"/>
  <c r="K829" i="5"/>
  <c r="L829" i="5"/>
  <c r="M829" i="5"/>
  <c r="K830" i="5"/>
  <c r="L830" i="5"/>
  <c r="M830" i="5"/>
  <c r="K831" i="5"/>
  <c r="L831" i="5"/>
  <c r="M831" i="5"/>
  <c r="K832" i="5"/>
  <c r="L832" i="5"/>
  <c r="M832" i="5"/>
  <c r="K833" i="5"/>
  <c r="L833" i="5"/>
  <c r="M833" i="5"/>
  <c r="K834" i="5"/>
  <c r="L834" i="5"/>
  <c r="M834" i="5"/>
  <c r="K835" i="5"/>
  <c r="L835" i="5"/>
  <c r="M835" i="5"/>
  <c r="K836" i="5"/>
  <c r="L836" i="5"/>
  <c r="M836" i="5"/>
  <c r="K837" i="5"/>
  <c r="L837" i="5"/>
  <c r="M837" i="5"/>
  <c r="K838" i="5"/>
  <c r="L838" i="5"/>
  <c r="M838" i="5"/>
  <c r="K839" i="5"/>
  <c r="L839" i="5"/>
  <c r="M839" i="5"/>
  <c r="K840" i="5"/>
  <c r="L840" i="5"/>
  <c r="M840" i="5"/>
  <c r="K841" i="5"/>
  <c r="L841" i="5"/>
  <c r="M841" i="5"/>
  <c r="K842" i="5"/>
  <c r="L842" i="5"/>
  <c r="M842" i="5"/>
  <c r="K843" i="5"/>
  <c r="L843" i="5"/>
  <c r="M843" i="5"/>
  <c r="K844" i="5"/>
  <c r="L844" i="5"/>
  <c r="M844" i="5"/>
  <c r="K845" i="5"/>
  <c r="L845" i="5"/>
  <c r="M845" i="5"/>
  <c r="K846" i="5"/>
  <c r="L846" i="5"/>
  <c r="M846" i="5"/>
  <c r="K847" i="5"/>
  <c r="L847" i="5"/>
  <c r="M847" i="5"/>
  <c r="K848" i="5"/>
  <c r="L848" i="5"/>
  <c r="M848" i="5"/>
  <c r="K849" i="5"/>
  <c r="L849" i="5"/>
  <c r="M849" i="5"/>
  <c r="K850" i="5"/>
  <c r="L850" i="5"/>
  <c r="M850" i="5"/>
  <c r="K851" i="5"/>
  <c r="L851" i="5"/>
  <c r="M851" i="5"/>
  <c r="K852" i="5"/>
  <c r="L852" i="5"/>
  <c r="M852" i="5"/>
  <c r="K853" i="5"/>
  <c r="L853" i="5"/>
  <c r="M853" i="5"/>
  <c r="K854" i="5"/>
  <c r="L854" i="5"/>
  <c r="M854" i="5"/>
  <c r="K855" i="5"/>
  <c r="L855" i="5"/>
  <c r="M855" i="5"/>
  <c r="K856" i="5"/>
  <c r="L856" i="5"/>
  <c r="M856" i="5"/>
  <c r="K857" i="5"/>
  <c r="L857" i="5"/>
  <c r="M857" i="5"/>
  <c r="K858" i="5"/>
  <c r="L858" i="5"/>
  <c r="M858" i="5"/>
  <c r="K859" i="5"/>
  <c r="L859" i="5"/>
  <c r="M859" i="5"/>
  <c r="K860" i="5"/>
  <c r="L860" i="5"/>
  <c r="M860" i="5"/>
  <c r="K861" i="5"/>
  <c r="L861" i="5"/>
  <c r="M861" i="5"/>
  <c r="K862" i="5"/>
  <c r="L862" i="5"/>
  <c r="M862" i="5"/>
  <c r="K863" i="5"/>
  <c r="L863" i="5"/>
  <c r="M863" i="5"/>
  <c r="K864" i="5"/>
  <c r="L864" i="5"/>
  <c r="M864" i="5"/>
  <c r="K865" i="5"/>
  <c r="L865" i="5"/>
  <c r="M865" i="5"/>
  <c r="K866" i="5"/>
  <c r="L866" i="5"/>
  <c r="M866" i="5"/>
  <c r="K867" i="5"/>
  <c r="L867" i="5"/>
  <c r="M867" i="5"/>
  <c r="K868" i="5"/>
  <c r="L868" i="5"/>
  <c r="M868" i="5"/>
  <c r="K869" i="5"/>
  <c r="L869" i="5"/>
  <c r="M869" i="5"/>
  <c r="K870" i="5"/>
  <c r="L870" i="5"/>
  <c r="M870" i="5"/>
  <c r="K871" i="5"/>
  <c r="L871" i="5"/>
  <c r="M871" i="5"/>
  <c r="K872" i="5"/>
  <c r="L872" i="5"/>
  <c r="M872" i="5"/>
  <c r="K873" i="5"/>
  <c r="L873" i="5"/>
  <c r="M873" i="5"/>
  <c r="K874" i="5"/>
  <c r="L874" i="5"/>
  <c r="M874" i="5"/>
  <c r="K875" i="5"/>
  <c r="L875" i="5"/>
  <c r="M875" i="5"/>
  <c r="K876" i="5"/>
  <c r="L876" i="5"/>
  <c r="M876" i="5"/>
  <c r="K877" i="5"/>
  <c r="L877" i="5"/>
  <c r="M877" i="5"/>
  <c r="K878" i="5"/>
  <c r="L878" i="5"/>
  <c r="M878" i="5"/>
  <c r="K879" i="5"/>
  <c r="L879" i="5"/>
  <c r="M879" i="5"/>
  <c r="K880" i="5"/>
  <c r="L880" i="5"/>
  <c r="M880" i="5"/>
  <c r="K881" i="5"/>
  <c r="L881" i="5"/>
  <c r="M881" i="5"/>
  <c r="K882" i="5"/>
  <c r="L882" i="5"/>
  <c r="M882" i="5"/>
  <c r="K883" i="5"/>
  <c r="L883" i="5"/>
  <c r="M883" i="5"/>
  <c r="K884" i="5"/>
  <c r="L884" i="5"/>
  <c r="M884" i="5"/>
  <c r="K885" i="5"/>
  <c r="L885" i="5"/>
  <c r="M885" i="5"/>
  <c r="K886" i="5"/>
  <c r="L886" i="5"/>
  <c r="M886" i="5"/>
  <c r="K887" i="5"/>
  <c r="L887" i="5"/>
  <c r="M887" i="5"/>
  <c r="K888" i="5"/>
  <c r="L888" i="5"/>
  <c r="M888" i="5"/>
  <c r="K889" i="5"/>
  <c r="L889" i="5"/>
  <c r="M889" i="5"/>
  <c r="K890" i="5"/>
  <c r="L890" i="5"/>
  <c r="M890" i="5"/>
  <c r="K891" i="5"/>
  <c r="L891" i="5"/>
  <c r="M891" i="5"/>
  <c r="K892" i="5"/>
  <c r="L892" i="5"/>
  <c r="M892" i="5"/>
  <c r="K893" i="5"/>
  <c r="L893" i="5"/>
  <c r="M893" i="5"/>
  <c r="K894" i="5"/>
  <c r="L894" i="5"/>
  <c r="M894" i="5"/>
  <c r="K895" i="5"/>
  <c r="L895" i="5"/>
  <c r="M895" i="5"/>
  <c r="K896" i="5"/>
  <c r="L896" i="5"/>
  <c r="M896" i="5"/>
  <c r="K897" i="5"/>
  <c r="L897" i="5"/>
  <c r="M897" i="5"/>
  <c r="K898" i="5"/>
  <c r="L898" i="5"/>
  <c r="M898" i="5"/>
  <c r="K899" i="5"/>
  <c r="L899" i="5"/>
  <c r="M899" i="5"/>
  <c r="K900" i="5"/>
  <c r="L900" i="5"/>
  <c r="M900" i="5"/>
  <c r="K901" i="5"/>
  <c r="L901" i="5"/>
  <c r="M901" i="5"/>
  <c r="K902" i="5"/>
  <c r="L902" i="5"/>
  <c r="M902" i="5"/>
  <c r="K903" i="5"/>
  <c r="L903" i="5"/>
  <c r="M903" i="5"/>
  <c r="K904" i="5"/>
  <c r="L904" i="5"/>
  <c r="M904" i="5"/>
  <c r="K905" i="5"/>
  <c r="L905" i="5"/>
  <c r="M905" i="5"/>
  <c r="K906" i="5"/>
  <c r="L906" i="5"/>
  <c r="M906" i="5"/>
  <c r="K907" i="5"/>
  <c r="L907" i="5"/>
  <c r="M907" i="5"/>
  <c r="K908" i="5"/>
  <c r="L908" i="5"/>
  <c r="M908" i="5"/>
  <c r="K909" i="5"/>
  <c r="L909" i="5"/>
  <c r="M909" i="5"/>
  <c r="K910" i="5"/>
  <c r="L910" i="5"/>
  <c r="M910" i="5"/>
  <c r="K911" i="5"/>
  <c r="L911" i="5"/>
  <c r="M911" i="5"/>
  <c r="K912" i="5"/>
  <c r="L912" i="5"/>
  <c r="M912" i="5"/>
  <c r="K913" i="5"/>
  <c r="L913" i="5"/>
  <c r="M913" i="5"/>
  <c r="K914" i="5"/>
  <c r="L914" i="5"/>
  <c r="M914" i="5"/>
  <c r="K915" i="5"/>
  <c r="L915" i="5"/>
  <c r="M915" i="5"/>
  <c r="K916" i="5"/>
  <c r="L916" i="5"/>
  <c r="M916" i="5"/>
  <c r="K917" i="5"/>
  <c r="L917" i="5"/>
  <c r="M917" i="5"/>
  <c r="K918" i="5"/>
  <c r="L918" i="5"/>
  <c r="M918" i="5"/>
  <c r="K919" i="5"/>
  <c r="L919" i="5"/>
  <c r="M919" i="5"/>
  <c r="K920" i="5"/>
  <c r="L920" i="5"/>
  <c r="M920" i="5"/>
  <c r="K921" i="5"/>
  <c r="L921" i="5"/>
  <c r="M921" i="5"/>
  <c r="K922" i="5"/>
  <c r="L922" i="5"/>
  <c r="M922" i="5"/>
  <c r="K923" i="5"/>
  <c r="L923" i="5"/>
  <c r="M923" i="5"/>
  <c r="K924" i="5"/>
  <c r="L924" i="5"/>
  <c r="M924" i="5"/>
  <c r="K925" i="5"/>
  <c r="L925" i="5"/>
  <c r="M925" i="5"/>
  <c r="K926" i="5"/>
  <c r="L926" i="5"/>
  <c r="M926" i="5"/>
  <c r="K927" i="5"/>
  <c r="L927" i="5"/>
  <c r="M927" i="5"/>
  <c r="K928" i="5"/>
  <c r="L928" i="5"/>
  <c r="M928" i="5"/>
  <c r="K929" i="5"/>
  <c r="L929" i="5"/>
  <c r="M929" i="5"/>
  <c r="K930" i="5"/>
  <c r="L930" i="5"/>
  <c r="M930" i="5"/>
  <c r="K931" i="5"/>
  <c r="L931" i="5"/>
  <c r="M931" i="5"/>
  <c r="K932" i="5"/>
  <c r="L932" i="5"/>
  <c r="M932" i="5"/>
  <c r="K933" i="5"/>
  <c r="L933" i="5"/>
  <c r="M933" i="5"/>
  <c r="K934" i="5"/>
  <c r="L934" i="5"/>
  <c r="M934" i="5"/>
  <c r="K935" i="5"/>
  <c r="L935" i="5"/>
  <c r="M935" i="5"/>
  <c r="K936" i="5"/>
  <c r="L936" i="5"/>
  <c r="M936" i="5"/>
  <c r="K937" i="5"/>
  <c r="L937" i="5"/>
  <c r="M937" i="5"/>
  <c r="K938" i="5"/>
  <c r="L938" i="5"/>
  <c r="M938" i="5"/>
  <c r="K939" i="5"/>
  <c r="L939" i="5"/>
  <c r="M939" i="5"/>
  <c r="K940" i="5"/>
  <c r="L940" i="5"/>
  <c r="M940" i="5"/>
  <c r="K941" i="5"/>
  <c r="L941" i="5"/>
  <c r="M941" i="5"/>
  <c r="K942" i="5"/>
  <c r="L942" i="5"/>
  <c r="M942" i="5"/>
  <c r="K943" i="5"/>
  <c r="L943" i="5"/>
  <c r="M943" i="5"/>
  <c r="K944" i="5"/>
  <c r="L944" i="5"/>
  <c r="M944" i="5"/>
  <c r="K945" i="5"/>
  <c r="L945" i="5"/>
  <c r="M945" i="5"/>
  <c r="K946" i="5"/>
  <c r="L946" i="5"/>
  <c r="M946" i="5"/>
  <c r="K947" i="5"/>
  <c r="L947" i="5"/>
  <c r="M947" i="5"/>
  <c r="K948" i="5"/>
  <c r="L948" i="5"/>
  <c r="M948" i="5"/>
  <c r="K949" i="5"/>
  <c r="L949" i="5"/>
  <c r="M949" i="5"/>
  <c r="K950" i="5"/>
  <c r="L950" i="5"/>
  <c r="M950" i="5"/>
  <c r="K951" i="5"/>
  <c r="L951" i="5"/>
  <c r="M951" i="5"/>
  <c r="K952" i="5"/>
  <c r="L952" i="5"/>
  <c r="M952" i="5"/>
  <c r="K953" i="5"/>
  <c r="L953" i="5"/>
  <c r="M953" i="5"/>
  <c r="K954" i="5"/>
  <c r="L954" i="5"/>
  <c r="M954" i="5"/>
  <c r="K955" i="5"/>
  <c r="L955" i="5"/>
  <c r="M955" i="5"/>
  <c r="K956" i="5"/>
  <c r="L956" i="5"/>
  <c r="M956" i="5"/>
  <c r="K957" i="5"/>
  <c r="L957" i="5"/>
  <c r="M957" i="5"/>
  <c r="K958" i="5"/>
  <c r="L958" i="5"/>
  <c r="M958" i="5"/>
  <c r="K959" i="5"/>
  <c r="L959" i="5"/>
  <c r="M959" i="5"/>
  <c r="K960" i="5"/>
  <c r="L960" i="5"/>
  <c r="M960" i="5"/>
  <c r="K961" i="5"/>
  <c r="L961" i="5"/>
  <c r="M961" i="5"/>
  <c r="K962" i="5"/>
  <c r="L962" i="5"/>
  <c r="M962" i="5"/>
  <c r="K963" i="5"/>
  <c r="L963" i="5"/>
  <c r="M963" i="5"/>
  <c r="K964" i="5"/>
  <c r="L964" i="5"/>
  <c r="M964" i="5"/>
  <c r="K965" i="5"/>
  <c r="L965" i="5"/>
  <c r="M965" i="5"/>
  <c r="K966" i="5"/>
  <c r="L966" i="5"/>
  <c r="M966" i="5"/>
  <c r="K967" i="5"/>
  <c r="L967" i="5"/>
  <c r="M967" i="5"/>
  <c r="K968" i="5"/>
  <c r="L968" i="5"/>
  <c r="M968" i="5"/>
  <c r="K969" i="5"/>
  <c r="L969" i="5"/>
  <c r="M969" i="5"/>
  <c r="K970" i="5"/>
  <c r="L970" i="5"/>
  <c r="M970" i="5"/>
  <c r="K971" i="5"/>
  <c r="L971" i="5"/>
  <c r="M971" i="5"/>
  <c r="K972" i="5"/>
  <c r="L972" i="5"/>
  <c r="M972" i="5"/>
  <c r="K973" i="5"/>
  <c r="L973" i="5"/>
  <c r="M973" i="5"/>
  <c r="K974" i="5"/>
  <c r="L974" i="5"/>
  <c r="M974" i="5"/>
  <c r="K975" i="5"/>
  <c r="L975" i="5"/>
  <c r="M975" i="5"/>
  <c r="K976" i="5"/>
  <c r="L976" i="5"/>
  <c r="M976" i="5"/>
  <c r="K977" i="5"/>
  <c r="L977" i="5"/>
  <c r="M977" i="5"/>
  <c r="K978" i="5"/>
  <c r="L978" i="5"/>
  <c r="M978" i="5"/>
  <c r="K979" i="5"/>
  <c r="L979" i="5"/>
  <c r="M979" i="5"/>
  <c r="K980" i="5"/>
  <c r="L980" i="5"/>
  <c r="M980" i="5"/>
  <c r="K981" i="5"/>
  <c r="L981" i="5"/>
  <c r="M981" i="5"/>
  <c r="K982" i="5"/>
  <c r="L982" i="5"/>
  <c r="M982" i="5"/>
  <c r="K983" i="5"/>
  <c r="L983" i="5"/>
  <c r="M983" i="5"/>
  <c r="K984" i="5"/>
  <c r="L984" i="5"/>
  <c r="M984" i="5"/>
  <c r="K985" i="5"/>
  <c r="L985" i="5"/>
  <c r="M985" i="5"/>
  <c r="K986" i="5"/>
  <c r="L986" i="5"/>
  <c r="M986" i="5"/>
  <c r="K987" i="5"/>
  <c r="L987" i="5"/>
  <c r="M987" i="5"/>
  <c r="K988" i="5"/>
  <c r="L988" i="5"/>
  <c r="M988" i="5"/>
  <c r="K989" i="5"/>
  <c r="L989" i="5"/>
  <c r="M989" i="5"/>
  <c r="K990" i="5"/>
  <c r="L990" i="5"/>
  <c r="M990" i="5"/>
  <c r="K991" i="5"/>
  <c r="L991" i="5"/>
  <c r="M991" i="5"/>
  <c r="K992" i="5"/>
  <c r="L992" i="5"/>
  <c r="M992" i="5"/>
  <c r="K993" i="5"/>
  <c r="L993" i="5"/>
  <c r="M993" i="5"/>
  <c r="K994" i="5"/>
  <c r="L994" i="5"/>
  <c r="M994" i="5"/>
  <c r="K995" i="5"/>
  <c r="L995" i="5"/>
  <c r="M995" i="5"/>
  <c r="K996" i="5"/>
  <c r="L996" i="5"/>
  <c r="M996" i="5"/>
  <c r="K997" i="5"/>
  <c r="L997" i="5"/>
  <c r="M997" i="5"/>
  <c r="K998" i="5"/>
  <c r="L998" i="5"/>
  <c r="M998" i="5"/>
  <c r="K999" i="5"/>
  <c r="L999" i="5"/>
  <c r="M999" i="5"/>
  <c r="K1000" i="5"/>
  <c r="L1000" i="5"/>
  <c r="M1000" i="5"/>
  <c r="K1001" i="5"/>
  <c r="L1001" i="5"/>
  <c r="M1001" i="5"/>
  <c r="K1002" i="5"/>
  <c r="L1002" i="5"/>
  <c r="M1002" i="5"/>
  <c r="K1003" i="5"/>
  <c r="L1003" i="5"/>
  <c r="M1003" i="5"/>
  <c r="K1004" i="5"/>
  <c r="L1004" i="5"/>
  <c r="M1004" i="5"/>
  <c r="K1005" i="5"/>
  <c r="L1005" i="5"/>
  <c r="M1005" i="5"/>
  <c r="K1006" i="5"/>
  <c r="L1006" i="5"/>
  <c r="M1006" i="5"/>
  <c r="K1007" i="5"/>
  <c r="L1007" i="5"/>
  <c r="M1007" i="5"/>
  <c r="K1008" i="5"/>
  <c r="L1008" i="5"/>
  <c r="M1008" i="5"/>
  <c r="K1009" i="5"/>
  <c r="L1009" i="5"/>
  <c r="M1009" i="5"/>
  <c r="K1010" i="5"/>
  <c r="L1010" i="5"/>
  <c r="M1010" i="5"/>
  <c r="K1011" i="5"/>
  <c r="L1011" i="5"/>
  <c r="M1011" i="5"/>
  <c r="K1012" i="5"/>
  <c r="L1012" i="5"/>
  <c r="M1012" i="5"/>
  <c r="K1013" i="5"/>
  <c r="L1013" i="5"/>
  <c r="M1013" i="5"/>
  <c r="K1014" i="5"/>
  <c r="L1014" i="5"/>
  <c r="M1014" i="5"/>
  <c r="K1015" i="5"/>
  <c r="L1015" i="5"/>
  <c r="M1015" i="5"/>
  <c r="K1016" i="5"/>
  <c r="L1016" i="5"/>
  <c r="M1016" i="5"/>
  <c r="K1017" i="5"/>
  <c r="L1017" i="5"/>
  <c r="M1017" i="5"/>
  <c r="K1018" i="5"/>
  <c r="L1018" i="5"/>
  <c r="M1018" i="5"/>
  <c r="K1019" i="5"/>
  <c r="L1019" i="5"/>
  <c r="M1019" i="5"/>
  <c r="K1020" i="5"/>
  <c r="L1020" i="5"/>
  <c r="M1020" i="5"/>
  <c r="K1021" i="5"/>
  <c r="L1021" i="5"/>
  <c r="M1021" i="5"/>
  <c r="K1022" i="5"/>
  <c r="L1022" i="5"/>
  <c r="M1022" i="5"/>
  <c r="K1023" i="5"/>
  <c r="L1023" i="5"/>
  <c r="M1023" i="5"/>
  <c r="K1024" i="5"/>
  <c r="L1024" i="5"/>
  <c r="M1024" i="5"/>
  <c r="K1025" i="5"/>
  <c r="L1025" i="5"/>
  <c r="M1025" i="5"/>
  <c r="K1026" i="5"/>
  <c r="L1026" i="5"/>
  <c r="M1026" i="5"/>
  <c r="K1027" i="5"/>
  <c r="L1027" i="5"/>
  <c r="M1027" i="5"/>
  <c r="K1028" i="5"/>
  <c r="L1028" i="5"/>
  <c r="M1028" i="5"/>
  <c r="K1029" i="5"/>
  <c r="L1029" i="5"/>
  <c r="M1029" i="5"/>
  <c r="K1030" i="5"/>
  <c r="L1030" i="5"/>
  <c r="M1030" i="5"/>
  <c r="K1031" i="5"/>
  <c r="L1031" i="5"/>
  <c r="M1031" i="5"/>
  <c r="K1032" i="5"/>
  <c r="L1032" i="5"/>
  <c r="M1032" i="5"/>
  <c r="K1033" i="5"/>
  <c r="L1033" i="5"/>
  <c r="M1033" i="5"/>
  <c r="K1034" i="5"/>
  <c r="L1034" i="5"/>
  <c r="M1034" i="5"/>
  <c r="K1035" i="5"/>
  <c r="L1035" i="5"/>
  <c r="M1035" i="5"/>
  <c r="K1036" i="5"/>
  <c r="L1036" i="5"/>
  <c r="M1036" i="5"/>
  <c r="K1037" i="5"/>
  <c r="L1037" i="5"/>
  <c r="M1037" i="5"/>
  <c r="K1038" i="5"/>
  <c r="L1038" i="5"/>
  <c r="M1038" i="5"/>
  <c r="K1039" i="5"/>
  <c r="L1039" i="5"/>
  <c r="M1039" i="5"/>
  <c r="K1040" i="5"/>
  <c r="L1040" i="5"/>
  <c r="M1040" i="5"/>
  <c r="K1041" i="5"/>
  <c r="L1041" i="5"/>
  <c r="M1041" i="5"/>
  <c r="K1042" i="5"/>
  <c r="L1042" i="5"/>
  <c r="M1042" i="5"/>
  <c r="K1043" i="5"/>
  <c r="L1043" i="5"/>
  <c r="M1043" i="5"/>
  <c r="K1044" i="5"/>
  <c r="L1044" i="5"/>
  <c r="M1044" i="5"/>
  <c r="K1045" i="5"/>
  <c r="L1045" i="5"/>
  <c r="M1045" i="5"/>
  <c r="K1046" i="5"/>
  <c r="L1046" i="5"/>
  <c r="M1046" i="5"/>
  <c r="K1047" i="5"/>
  <c r="L1047" i="5"/>
  <c r="M1047" i="5"/>
  <c r="K1048" i="5"/>
  <c r="L1048" i="5"/>
  <c r="M1048" i="5"/>
  <c r="K1049" i="5"/>
  <c r="L1049" i="5"/>
  <c r="M1049" i="5"/>
  <c r="K1050" i="5"/>
  <c r="L1050" i="5"/>
  <c r="M1050" i="5"/>
  <c r="K1051" i="5"/>
  <c r="L1051" i="5"/>
  <c r="M1051" i="5"/>
  <c r="K1052" i="5"/>
  <c r="L1052" i="5"/>
  <c r="M1052" i="5"/>
  <c r="K1053" i="5"/>
  <c r="L1053" i="5"/>
  <c r="M1053" i="5"/>
  <c r="K1054" i="5"/>
  <c r="L1054" i="5"/>
  <c r="M1054" i="5"/>
  <c r="K1055" i="5"/>
  <c r="L1055" i="5"/>
  <c r="M1055" i="5"/>
  <c r="K1056" i="5"/>
  <c r="L1056" i="5"/>
  <c r="M1056" i="5"/>
  <c r="K1057" i="5"/>
  <c r="L1057" i="5"/>
  <c r="M1057" i="5"/>
  <c r="K1058" i="5"/>
  <c r="L1058" i="5"/>
  <c r="M1058" i="5"/>
  <c r="K1059" i="5"/>
  <c r="L1059" i="5"/>
  <c r="M1059" i="5"/>
  <c r="K1060" i="5"/>
  <c r="L1060" i="5"/>
  <c r="M1060" i="5"/>
  <c r="K1061" i="5"/>
  <c r="L1061" i="5"/>
  <c r="M1061" i="5"/>
  <c r="K1062" i="5"/>
  <c r="L1062" i="5"/>
  <c r="M1062" i="5"/>
  <c r="K1063" i="5"/>
  <c r="L1063" i="5"/>
  <c r="M1063" i="5"/>
  <c r="K1064" i="5"/>
  <c r="L1064" i="5"/>
  <c r="M1064" i="5"/>
  <c r="K1065" i="5"/>
  <c r="L1065" i="5"/>
  <c r="M1065" i="5"/>
  <c r="K1066" i="5"/>
  <c r="L1066" i="5"/>
  <c r="M1066" i="5"/>
  <c r="K1067" i="5"/>
  <c r="L1067" i="5"/>
  <c r="M1067" i="5"/>
  <c r="K1068" i="5"/>
  <c r="L1068" i="5"/>
  <c r="M1068" i="5"/>
  <c r="K1069" i="5"/>
  <c r="L1069" i="5"/>
  <c r="M1069" i="5"/>
  <c r="K1070" i="5"/>
  <c r="L1070" i="5"/>
  <c r="M1070" i="5"/>
  <c r="K1071" i="5"/>
  <c r="L1071" i="5"/>
  <c r="M1071" i="5"/>
  <c r="K1072" i="5"/>
  <c r="L1072" i="5"/>
  <c r="M1072" i="5"/>
  <c r="K1073" i="5"/>
  <c r="L1073" i="5"/>
  <c r="M1073" i="5"/>
  <c r="K1074" i="5"/>
  <c r="L1074" i="5"/>
  <c r="M1074" i="5"/>
  <c r="K1075" i="5"/>
  <c r="L1075" i="5"/>
  <c r="M1075" i="5"/>
  <c r="K1076" i="5"/>
  <c r="L1076" i="5"/>
  <c r="M1076" i="5"/>
  <c r="K1077" i="5"/>
  <c r="L1077" i="5"/>
  <c r="M1077" i="5"/>
  <c r="K1078" i="5"/>
  <c r="L1078" i="5"/>
  <c r="M1078" i="5"/>
  <c r="K1079" i="5"/>
  <c r="L1079" i="5"/>
  <c r="M1079" i="5"/>
  <c r="K1080" i="5"/>
  <c r="L1080" i="5"/>
  <c r="M1080" i="5"/>
  <c r="K1081" i="5"/>
  <c r="L1081" i="5"/>
  <c r="M1081" i="5"/>
  <c r="K1082" i="5"/>
  <c r="L1082" i="5"/>
  <c r="M1082" i="5"/>
  <c r="K1083" i="5"/>
  <c r="L1083" i="5"/>
  <c r="M1083" i="5"/>
  <c r="K1084" i="5"/>
  <c r="L1084" i="5"/>
  <c r="M1084" i="5"/>
  <c r="K1085" i="5"/>
  <c r="L1085" i="5"/>
  <c r="M1085" i="5"/>
  <c r="K1086" i="5"/>
  <c r="L1086" i="5"/>
  <c r="M1086" i="5"/>
  <c r="K1087" i="5"/>
  <c r="L1087" i="5"/>
  <c r="M1087" i="5"/>
  <c r="K1088" i="5"/>
  <c r="L1088" i="5"/>
  <c r="M1088" i="5"/>
  <c r="K1089" i="5"/>
  <c r="L1089" i="5"/>
  <c r="M1089" i="5"/>
  <c r="K1090" i="5"/>
  <c r="L1090" i="5"/>
  <c r="M1090" i="5"/>
  <c r="K1091" i="5"/>
  <c r="L1091" i="5"/>
  <c r="M1091" i="5"/>
  <c r="K1092" i="5"/>
  <c r="L1092" i="5"/>
  <c r="M1092" i="5"/>
  <c r="K1093" i="5"/>
  <c r="L1093" i="5"/>
  <c r="M1093" i="5"/>
  <c r="K1094" i="5"/>
  <c r="L1094" i="5"/>
  <c r="M1094" i="5"/>
  <c r="K1095" i="5"/>
  <c r="L1095" i="5"/>
  <c r="M1095" i="5"/>
  <c r="K1096" i="5"/>
  <c r="L1096" i="5"/>
  <c r="M1096" i="5"/>
  <c r="K1097" i="5"/>
  <c r="L1097" i="5"/>
  <c r="M1097" i="5"/>
  <c r="K1098" i="5"/>
  <c r="L1098" i="5"/>
  <c r="M1098" i="5"/>
  <c r="K1099" i="5"/>
  <c r="L1099" i="5"/>
  <c r="M1099" i="5"/>
  <c r="K1100" i="5"/>
  <c r="L1100" i="5"/>
  <c r="M1100" i="5"/>
  <c r="K1101" i="5"/>
  <c r="L1101" i="5"/>
  <c r="M1101" i="5"/>
  <c r="K1102" i="5"/>
  <c r="L1102" i="5"/>
  <c r="M1102" i="5"/>
  <c r="K1103" i="5"/>
  <c r="L1103" i="5"/>
  <c r="M1103" i="5"/>
  <c r="K1104" i="5"/>
  <c r="L1104" i="5"/>
  <c r="M1104" i="5"/>
  <c r="K1105" i="5"/>
  <c r="L1105" i="5"/>
  <c r="M1105" i="5"/>
  <c r="K1106" i="5"/>
  <c r="L1106" i="5"/>
  <c r="M1106" i="5"/>
  <c r="K1107" i="5"/>
  <c r="L1107" i="5"/>
  <c r="M1107" i="5"/>
  <c r="K1108" i="5"/>
  <c r="L1108" i="5"/>
  <c r="M1108" i="5"/>
  <c r="K1109" i="5"/>
  <c r="L1109" i="5"/>
  <c r="M1109" i="5"/>
  <c r="K1110" i="5"/>
  <c r="L1110" i="5"/>
  <c r="M1110" i="5"/>
  <c r="K1111" i="5"/>
  <c r="L1111" i="5"/>
  <c r="M1111" i="5"/>
  <c r="K1112" i="5"/>
  <c r="L1112" i="5"/>
  <c r="M1112" i="5"/>
  <c r="K1113" i="5"/>
  <c r="L1113" i="5"/>
  <c r="M1113" i="5"/>
  <c r="K1114" i="5"/>
  <c r="L1114" i="5"/>
  <c r="M1114" i="5"/>
  <c r="K1115" i="5"/>
  <c r="L1115" i="5"/>
  <c r="M1115" i="5"/>
  <c r="K1116" i="5"/>
  <c r="L1116" i="5"/>
  <c r="M1116" i="5"/>
  <c r="K1117" i="5"/>
  <c r="L1117" i="5"/>
  <c r="M1117" i="5"/>
  <c r="K1118" i="5"/>
  <c r="L1118" i="5"/>
  <c r="M1118" i="5"/>
  <c r="K1119" i="5"/>
  <c r="L1119" i="5"/>
  <c r="M1119" i="5"/>
  <c r="K1120" i="5"/>
  <c r="L1120" i="5"/>
  <c r="M1120" i="5"/>
  <c r="K1121" i="5"/>
  <c r="L1121" i="5"/>
  <c r="M1121" i="5"/>
  <c r="K1122" i="5"/>
  <c r="L1122" i="5"/>
  <c r="M1122" i="5"/>
  <c r="K1123" i="5"/>
  <c r="L1123" i="5"/>
  <c r="M1123" i="5"/>
  <c r="K1124" i="5"/>
  <c r="L1124" i="5"/>
  <c r="M1124" i="5"/>
  <c r="K1125" i="5"/>
  <c r="L1125" i="5"/>
  <c r="M1125" i="5"/>
  <c r="K1126" i="5"/>
  <c r="L1126" i="5"/>
  <c r="M1126" i="5"/>
  <c r="K1127" i="5"/>
  <c r="L1127" i="5"/>
  <c r="M1127" i="5"/>
  <c r="K1128" i="5"/>
  <c r="L1128" i="5"/>
  <c r="M1128" i="5"/>
  <c r="K1129" i="5"/>
  <c r="L1129" i="5"/>
  <c r="M1129" i="5"/>
  <c r="K1130" i="5"/>
  <c r="L1130" i="5"/>
  <c r="M1130" i="5"/>
  <c r="K1131" i="5"/>
  <c r="L1131" i="5"/>
  <c r="M1131" i="5"/>
  <c r="K1132" i="5"/>
  <c r="L1132" i="5"/>
  <c r="M1132" i="5"/>
  <c r="K1133" i="5"/>
  <c r="L1133" i="5"/>
  <c r="M1133" i="5"/>
  <c r="K1134" i="5"/>
  <c r="L1134" i="5"/>
  <c r="M1134" i="5"/>
  <c r="K1135" i="5"/>
  <c r="L1135" i="5"/>
  <c r="M1135" i="5"/>
  <c r="K1136" i="5"/>
  <c r="L1136" i="5"/>
  <c r="M1136" i="5"/>
  <c r="K1137" i="5"/>
  <c r="L1137" i="5"/>
  <c r="M1137" i="5"/>
  <c r="K1138" i="5"/>
  <c r="L1138" i="5"/>
  <c r="M1138" i="5"/>
  <c r="K1139" i="5"/>
  <c r="L1139" i="5"/>
  <c r="M1139" i="5"/>
  <c r="K1140" i="5"/>
  <c r="L1140" i="5"/>
  <c r="M1140" i="5"/>
  <c r="K1141" i="5"/>
  <c r="L1141" i="5"/>
  <c r="M1141" i="5"/>
  <c r="K1142" i="5"/>
  <c r="L1142" i="5"/>
  <c r="M1142" i="5"/>
  <c r="K1143" i="5"/>
  <c r="L1143" i="5"/>
  <c r="M1143" i="5"/>
  <c r="K1144" i="5"/>
  <c r="L1144" i="5"/>
  <c r="M1144" i="5"/>
  <c r="K1145" i="5"/>
  <c r="L1145" i="5"/>
  <c r="M1145" i="5"/>
  <c r="K1146" i="5"/>
  <c r="L1146" i="5"/>
  <c r="M1146" i="5"/>
  <c r="K1147" i="5"/>
  <c r="L1147" i="5"/>
  <c r="M1147" i="5"/>
  <c r="K1148" i="5"/>
  <c r="L1148" i="5"/>
  <c r="M1148" i="5"/>
  <c r="K1149" i="5"/>
  <c r="L1149" i="5"/>
  <c r="M1149" i="5"/>
  <c r="K1150" i="5"/>
  <c r="L1150" i="5"/>
  <c r="M1150" i="5"/>
  <c r="K1151" i="5"/>
  <c r="L1151" i="5"/>
  <c r="M1151" i="5"/>
  <c r="K1152" i="5"/>
  <c r="L1152" i="5"/>
  <c r="M1152" i="5"/>
  <c r="K1153" i="5"/>
  <c r="L1153" i="5"/>
  <c r="M1153" i="5"/>
  <c r="K1154" i="5"/>
  <c r="L1154" i="5"/>
  <c r="M1154" i="5"/>
  <c r="K1155" i="5"/>
  <c r="L1155" i="5"/>
  <c r="M1155" i="5"/>
  <c r="K1156" i="5"/>
  <c r="L1156" i="5"/>
  <c r="M1156" i="5"/>
  <c r="K1157" i="5"/>
  <c r="L1157" i="5"/>
  <c r="M1157" i="5"/>
  <c r="K1158" i="5"/>
  <c r="L1158" i="5"/>
  <c r="M1158" i="5"/>
  <c r="K1159" i="5"/>
  <c r="L1159" i="5"/>
  <c r="M1159" i="5"/>
  <c r="K1160" i="5"/>
  <c r="L1160" i="5"/>
  <c r="M1160" i="5"/>
  <c r="K1161" i="5"/>
  <c r="L1161" i="5"/>
  <c r="M1161" i="5"/>
  <c r="K1162" i="5"/>
  <c r="L1162" i="5"/>
  <c r="M1162" i="5"/>
  <c r="K1163" i="5"/>
  <c r="L1163" i="5"/>
  <c r="M1163" i="5"/>
  <c r="K1164" i="5"/>
  <c r="L1164" i="5"/>
  <c r="M1164" i="5"/>
  <c r="K1165" i="5"/>
  <c r="L1165" i="5"/>
  <c r="M1165" i="5"/>
  <c r="K1166" i="5"/>
  <c r="L1166" i="5"/>
  <c r="M1166" i="5"/>
  <c r="K1167" i="5"/>
  <c r="L1167" i="5"/>
  <c r="M1167" i="5"/>
  <c r="K1168" i="5"/>
  <c r="L1168" i="5"/>
  <c r="M1168" i="5"/>
  <c r="K1169" i="5"/>
  <c r="L1169" i="5"/>
  <c r="M1169" i="5"/>
  <c r="K1170" i="5"/>
  <c r="L1170" i="5"/>
  <c r="M1170" i="5"/>
  <c r="K1171" i="5"/>
  <c r="L1171" i="5"/>
  <c r="M1171" i="5"/>
  <c r="K1172" i="5"/>
  <c r="L1172" i="5"/>
  <c r="M1172" i="5"/>
  <c r="K1173" i="5"/>
  <c r="L1173" i="5"/>
  <c r="M1173" i="5"/>
  <c r="K1174" i="5"/>
  <c r="L1174" i="5"/>
  <c r="M1174" i="5"/>
  <c r="K1175" i="5"/>
  <c r="L1175" i="5"/>
  <c r="M1175" i="5"/>
  <c r="K1176" i="5"/>
  <c r="L1176" i="5"/>
  <c r="M1176" i="5"/>
  <c r="K1177" i="5"/>
  <c r="L1177" i="5"/>
  <c r="M1177" i="5"/>
  <c r="K1178" i="5"/>
  <c r="L1178" i="5"/>
  <c r="M1178" i="5"/>
  <c r="K1179" i="5"/>
  <c r="L1179" i="5"/>
  <c r="M1179" i="5"/>
  <c r="K1180" i="5"/>
  <c r="L1180" i="5"/>
  <c r="M1180" i="5"/>
  <c r="K1181" i="5"/>
  <c r="L1181" i="5"/>
  <c r="M1181" i="5"/>
  <c r="K1182" i="5"/>
  <c r="L1182" i="5"/>
  <c r="M1182" i="5"/>
  <c r="K1183" i="5"/>
  <c r="L1183" i="5"/>
  <c r="M1183" i="5"/>
  <c r="K1184" i="5"/>
  <c r="L1184" i="5"/>
  <c r="M1184" i="5"/>
  <c r="K1185" i="5"/>
  <c r="L1185" i="5"/>
  <c r="M1185" i="5"/>
  <c r="K1186" i="5"/>
  <c r="L1186" i="5"/>
  <c r="M1186" i="5"/>
  <c r="K1187" i="5"/>
  <c r="L1187" i="5"/>
  <c r="M1187" i="5"/>
  <c r="K1188" i="5"/>
  <c r="L1188" i="5"/>
  <c r="M1188" i="5"/>
  <c r="K1189" i="5"/>
  <c r="L1189" i="5"/>
  <c r="M1189" i="5"/>
  <c r="K1190" i="5"/>
  <c r="L1190" i="5"/>
  <c r="M1190" i="5"/>
  <c r="K1191" i="5"/>
  <c r="L1191" i="5"/>
  <c r="M1191" i="5"/>
  <c r="K1192" i="5"/>
  <c r="L1192" i="5"/>
  <c r="M1192" i="5"/>
  <c r="K1193" i="5"/>
  <c r="L1193" i="5"/>
  <c r="M1193" i="5"/>
  <c r="K1194" i="5"/>
  <c r="L1194" i="5"/>
  <c r="M1194" i="5"/>
  <c r="K1195" i="5"/>
  <c r="L1195" i="5"/>
  <c r="M1195" i="5"/>
  <c r="K1196" i="5"/>
  <c r="L1196" i="5"/>
  <c r="M1196" i="5"/>
  <c r="K1197" i="5"/>
  <c r="L1197" i="5"/>
  <c r="M1197" i="5"/>
  <c r="K1198" i="5"/>
  <c r="L1198" i="5"/>
  <c r="M1198" i="5"/>
  <c r="K1199" i="5"/>
  <c r="L1199" i="5"/>
  <c r="M1199" i="5"/>
  <c r="K1200" i="5"/>
  <c r="L1200" i="5"/>
  <c r="M1200" i="5"/>
  <c r="K1201" i="5"/>
  <c r="L1201" i="5"/>
  <c r="M1201" i="5"/>
  <c r="K1202" i="5"/>
  <c r="L1202" i="5"/>
  <c r="M1202" i="5"/>
  <c r="K1203" i="5"/>
  <c r="L1203" i="5"/>
  <c r="M1203" i="5"/>
  <c r="K1204" i="5"/>
  <c r="L1204" i="5"/>
  <c r="M1204" i="5"/>
  <c r="K1205" i="5"/>
  <c r="L1205" i="5"/>
  <c r="M1205" i="5"/>
  <c r="K1206" i="5"/>
  <c r="L1206" i="5"/>
  <c r="M1206" i="5"/>
  <c r="K1207" i="5"/>
  <c r="L1207" i="5"/>
  <c r="M1207" i="5"/>
  <c r="K1208" i="5"/>
  <c r="L1208" i="5"/>
  <c r="M1208" i="5"/>
  <c r="K1209" i="5"/>
  <c r="L1209" i="5"/>
  <c r="M1209" i="5"/>
  <c r="K1210" i="5"/>
  <c r="L1210" i="5"/>
  <c r="M1210" i="5"/>
  <c r="K1211" i="5"/>
  <c r="L1211" i="5"/>
  <c r="M1211" i="5"/>
  <c r="K1212" i="5"/>
  <c r="L1212" i="5"/>
  <c r="M1212" i="5"/>
  <c r="K1213" i="5"/>
  <c r="L1213" i="5"/>
  <c r="M1213" i="5"/>
  <c r="K1214" i="5"/>
  <c r="L1214" i="5"/>
  <c r="M1214" i="5"/>
  <c r="K1215" i="5"/>
  <c r="L1215" i="5"/>
  <c r="M1215" i="5"/>
  <c r="K1216" i="5"/>
  <c r="L1216" i="5"/>
  <c r="M1216" i="5"/>
  <c r="K1217" i="5"/>
  <c r="L1217" i="5"/>
  <c r="M1217" i="5"/>
  <c r="K1218" i="5"/>
  <c r="L1218" i="5"/>
  <c r="M1218" i="5"/>
  <c r="K1219" i="5"/>
  <c r="L1219" i="5"/>
  <c r="M1219" i="5"/>
  <c r="K1220" i="5"/>
  <c r="L1220" i="5"/>
  <c r="M1220" i="5"/>
  <c r="K1221" i="5"/>
  <c r="L1221" i="5"/>
  <c r="M1221" i="5"/>
  <c r="K1222" i="5"/>
  <c r="L1222" i="5"/>
  <c r="M1222" i="5"/>
  <c r="K1223" i="5"/>
  <c r="L1223" i="5"/>
  <c r="M1223" i="5"/>
  <c r="K1224" i="5"/>
  <c r="L1224" i="5"/>
  <c r="M1224" i="5"/>
  <c r="K1225" i="5"/>
  <c r="L1225" i="5"/>
  <c r="M1225" i="5"/>
  <c r="K1226" i="5"/>
  <c r="L1226" i="5"/>
  <c r="M1226" i="5"/>
  <c r="K1227" i="5"/>
  <c r="L1227" i="5"/>
  <c r="M1227" i="5"/>
  <c r="K1228" i="5"/>
  <c r="L1228" i="5"/>
  <c r="M1228" i="5"/>
  <c r="K1229" i="5"/>
  <c r="L1229" i="5"/>
  <c r="M1229" i="5"/>
  <c r="K1230" i="5"/>
  <c r="L1230" i="5"/>
  <c r="M1230" i="5"/>
  <c r="K1231" i="5"/>
  <c r="L1231" i="5"/>
  <c r="M1231" i="5"/>
  <c r="K1232" i="5"/>
  <c r="L1232" i="5"/>
  <c r="M1232" i="5"/>
  <c r="K1233" i="5"/>
  <c r="L1233" i="5"/>
  <c r="M1233" i="5"/>
  <c r="K1234" i="5"/>
  <c r="L1234" i="5"/>
  <c r="M1234" i="5"/>
  <c r="K1235" i="5"/>
  <c r="L1235" i="5"/>
  <c r="M1235" i="5"/>
  <c r="K1236" i="5"/>
  <c r="L1236" i="5"/>
  <c r="M1236" i="5"/>
  <c r="K1237" i="5"/>
  <c r="L1237" i="5"/>
  <c r="M1237" i="5"/>
  <c r="K1238" i="5"/>
  <c r="L1238" i="5"/>
  <c r="M1238" i="5"/>
  <c r="K1239" i="5"/>
  <c r="L1239" i="5"/>
  <c r="M1239" i="5"/>
  <c r="K1240" i="5"/>
  <c r="L1240" i="5"/>
  <c r="M1240" i="5"/>
  <c r="K1241" i="5"/>
  <c r="L1241" i="5"/>
  <c r="M1241" i="5"/>
  <c r="K1242" i="5"/>
  <c r="L1242" i="5"/>
  <c r="M1242" i="5"/>
  <c r="K1243" i="5"/>
  <c r="L1243" i="5"/>
  <c r="M1243" i="5"/>
  <c r="K1244" i="5"/>
  <c r="L1244" i="5"/>
  <c r="M1244" i="5"/>
  <c r="K1245" i="5"/>
  <c r="L1245" i="5"/>
  <c r="M1245" i="5"/>
  <c r="K1246" i="5"/>
  <c r="L1246" i="5"/>
  <c r="M1246" i="5"/>
  <c r="K1247" i="5"/>
  <c r="L1247" i="5"/>
  <c r="M1247" i="5"/>
  <c r="K1248" i="5"/>
  <c r="L1248" i="5"/>
  <c r="M1248" i="5"/>
  <c r="K1249" i="5"/>
  <c r="L1249" i="5"/>
  <c r="M1249" i="5"/>
  <c r="K1250" i="5"/>
  <c r="L1250" i="5"/>
  <c r="M1250" i="5"/>
  <c r="K1251" i="5"/>
  <c r="L1251" i="5"/>
  <c r="M1251" i="5"/>
  <c r="K1252" i="5"/>
  <c r="L1252" i="5"/>
  <c r="M1252" i="5"/>
  <c r="K1253" i="5"/>
  <c r="L1253" i="5"/>
  <c r="M1253" i="5"/>
  <c r="K1254" i="5"/>
  <c r="L1254" i="5"/>
  <c r="M1254" i="5"/>
  <c r="K1255" i="5"/>
  <c r="L1255" i="5"/>
  <c r="M1255" i="5"/>
  <c r="K1256" i="5"/>
  <c r="L1256" i="5"/>
  <c r="M1256" i="5"/>
  <c r="K1257" i="5"/>
  <c r="L1257" i="5"/>
  <c r="M1257" i="5"/>
  <c r="K1258" i="5"/>
  <c r="L1258" i="5"/>
  <c r="M1258" i="5"/>
  <c r="K1259" i="5"/>
  <c r="L1259" i="5"/>
  <c r="M1259" i="5"/>
  <c r="K1260" i="5"/>
  <c r="L1260" i="5"/>
  <c r="M1260" i="5"/>
  <c r="K1261" i="5"/>
  <c r="L1261" i="5"/>
  <c r="M1261" i="5"/>
  <c r="K1262" i="5"/>
  <c r="L1262" i="5"/>
  <c r="M1262" i="5"/>
  <c r="K1263" i="5"/>
  <c r="L1263" i="5"/>
  <c r="M1263" i="5"/>
  <c r="K1264" i="5"/>
  <c r="L1264" i="5"/>
  <c r="M1264" i="5"/>
  <c r="K1265" i="5"/>
  <c r="L1265" i="5"/>
  <c r="M1265" i="5"/>
  <c r="K1266" i="5"/>
  <c r="L1266" i="5"/>
  <c r="M1266" i="5"/>
  <c r="K1267" i="5"/>
  <c r="L1267" i="5"/>
  <c r="M1267" i="5"/>
  <c r="K1268" i="5"/>
  <c r="L1268" i="5"/>
  <c r="M1268" i="5"/>
  <c r="K1269" i="5"/>
  <c r="L1269" i="5"/>
  <c r="M1269" i="5"/>
  <c r="K1270" i="5"/>
  <c r="L1270" i="5"/>
  <c r="M1270" i="5"/>
  <c r="K1271" i="5"/>
  <c r="L1271" i="5"/>
  <c r="M1271" i="5"/>
  <c r="K1272" i="5"/>
  <c r="L1272" i="5"/>
  <c r="M1272" i="5"/>
  <c r="K1273" i="5"/>
  <c r="L1273" i="5"/>
  <c r="M1273" i="5"/>
  <c r="K1274" i="5"/>
  <c r="L1274" i="5"/>
  <c r="M1274" i="5"/>
  <c r="K1275" i="5"/>
  <c r="L1275" i="5"/>
  <c r="M1275" i="5"/>
  <c r="K1276" i="5"/>
  <c r="L1276" i="5"/>
  <c r="M1276" i="5"/>
  <c r="K1277" i="5"/>
  <c r="L1277" i="5"/>
  <c r="M1277" i="5"/>
  <c r="K1278" i="5"/>
  <c r="L1278" i="5"/>
  <c r="M1278" i="5"/>
  <c r="K1279" i="5"/>
  <c r="L1279" i="5"/>
  <c r="M1279" i="5"/>
  <c r="K1280" i="5"/>
  <c r="L1280" i="5"/>
  <c r="M1280" i="5"/>
  <c r="K1281" i="5"/>
  <c r="L1281" i="5"/>
  <c r="M1281" i="5"/>
  <c r="K1282" i="5"/>
  <c r="L1282" i="5"/>
  <c r="M1282" i="5"/>
  <c r="K1283" i="5"/>
  <c r="L1283" i="5"/>
  <c r="M1283" i="5"/>
  <c r="K1284" i="5"/>
  <c r="L1284" i="5"/>
  <c r="M1284" i="5"/>
  <c r="K1285" i="5"/>
  <c r="L1285" i="5"/>
  <c r="M1285" i="5"/>
  <c r="K1286" i="5"/>
  <c r="L1286" i="5"/>
  <c r="M1286" i="5"/>
  <c r="K1287" i="5"/>
  <c r="L1287" i="5"/>
  <c r="M1287" i="5"/>
  <c r="K1288" i="5"/>
  <c r="L1288" i="5"/>
  <c r="M1288" i="5"/>
  <c r="K1289" i="5"/>
  <c r="L1289" i="5"/>
  <c r="M1289" i="5"/>
  <c r="K1290" i="5"/>
  <c r="L1290" i="5"/>
  <c r="M1290" i="5"/>
  <c r="K1291" i="5"/>
  <c r="L1291" i="5"/>
  <c r="M1291" i="5"/>
  <c r="K1292" i="5"/>
  <c r="L1292" i="5"/>
  <c r="M1292" i="5"/>
  <c r="K1293" i="5"/>
  <c r="L1293" i="5"/>
  <c r="M1293" i="5"/>
  <c r="K1294" i="5"/>
  <c r="L1294" i="5"/>
  <c r="M1294" i="5"/>
  <c r="K1295" i="5"/>
  <c r="L1295" i="5"/>
  <c r="M1295" i="5"/>
  <c r="K1296" i="5"/>
  <c r="L1296" i="5"/>
  <c r="M1296" i="5"/>
  <c r="K1297" i="5"/>
  <c r="L1297" i="5"/>
  <c r="M1297" i="5"/>
  <c r="K1298" i="5"/>
  <c r="L1298" i="5"/>
  <c r="M1298" i="5"/>
  <c r="K1299" i="5"/>
  <c r="L1299" i="5"/>
  <c r="M1299" i="5"/>
  <c r="K1300" i="5"/>
  <c r="L1300" i="5"/>
  <c r="M1300" i="5"/>
  <c r="K1301" i="5"/>
  <c r="L1301" i="5"/>
  <c r="M1301" i="5"/>
  <c r="K1302" i="5"/>
  <c r="L1302" i="5"/>
  <c r="M1302" i="5"/>
  <c r="K1303" i="5"/>
  <c r="L1303" i="5"/>
  <c r="M1303" i="5"/>
  <c r="K1304" i="5"/>
  <c r="L1304" i="5"/>
  <c r="M1304" i="5"/>
  <c r="K1305" i="5"/>
  <c r="L1305" i="5"/>
  <c r="M1305" i="5"/>
  <c r="K1306" i="5"/>
  <c r="L1306" i="5"/>
  <c r="M1306" i="5"/>
  <c r="K1307" i="5"/>
  <c r="L1307" i="5"/>
  <c r="M1307" i="5"/>
  <c r="K1308" i="5"/>
  <c r="L1308" i="5"/>
  <c r="M1308" i="5"/>
  <c r="K1309" i="5"/>
  <c r="L1309" i="5"/>
  <c r="M1309" i="5"/>
  <c r="K1310" i="5"/>
  <c r="L1310" i="5"/>
  <c r="M1310" i="5"/>
  <c r="K1311" i="5"/>
  <c r="L1311" i="5"/>
  <c r="M1311" i="5"/>
  <c r="K1312" i="5"/>
  <c r="L1312" i="5"/>
  <c r="M1312" i="5"/>
  <c r="K1313" i="5"/>
  <c r="L1313" i="5"/>
  <c r="M1313" i="5"/>
  <c r="K1314" i="5"/>
  <c r="L1314" i="5"/>
  <c r="M1314" i="5"/>
  <c r="K1315" i="5"/>
  <c r="L1315" i="5"/>
  <c r="M1315" i="5"/>
  <c r="K1316" i="5"/>
  <c r="L1316" i="5"/>
  <c r="M1316" i="5"/>
  <c r="K1317" i="5"/>
  <c r="L1317" i="5"/>
  <c r="M1317" i="5"/>
  <c r="K1318" i="5"/>
  <c r="L1318" i="5"/>
  <c r="M1318" i="5"/>
  <c r="K1319" i="5"/>
  <c r="L1319" i="5"/>
  <c r="M1319" i="5"/>
  <c r="K1320" i="5"/>
  <c r="L1320" i="5"/>
  <c r="M1320" i="5"/>
  <c r="K1321" i="5"/>
  <c r="L1321" i="5"/>
  <c r="M1321" i="5"/>
  <c r="K1322" i="5"/>
  <c r="L1322" i="5"/>
  <c r="M1322" i="5"/>
  <c r="K1323" i="5"/>
  <c r="L1323" i="5"/>
  <c r="M1323" i="5"/>
  <c r="K1324" i="5"/>
  <c r="L1324" i="5"/>
  <c r="M1324" i="5"/>
  <c r="K1325" i="5"/>
  <c r="L1325" i="5"/>
  <c r="M1325" i="5"/>
  <c r="K1326" i="5"/>
  <c r="L1326" i="5"/>
  <c r="M1326" i="5"/>
  <c r="K1327" i="5"/>
  <c r="L1327" i="5"/>
  <c r="M1327" i="5"/>
  <c r="K1328" i="5"/>
  <c r="L1328" i="5"/>
  <c r="M1328" i="5"/>
  <c r="K1329" i="5"/>
  <c r="L1329" i="5"/>
  <c r="M1329" i="5"/>
  <c r="K1330" i="5"/>
  <c r="L1330" i="5"/>
  <c r="M1330" i="5"/>
  <c r="K1331" i="5"/>
  <c r="L1331" i="5"/>
  <c r="M1331" i="5"/>
  <c r="K1332" i="5"/>
  <c r="L1332" i="5"/>
  <c r="M1332" i="5"/>
  <c r="K1333" i="5"/>
  <c r="L1333" i="5"/>
  <c r="M1333" i="5"/>
  <c r="K1334" i="5"/>
  <c r="L1334" i="5"/>
  <c r="M1334" i="5"/>
  <c r="K1335" i="5"/>
  <c r="L1335" i="5"/>
  <c r="M1335" i="5"/>
  <c r="K1336" i="5"/>
  <c r="L1336" i="5"/>
  <c r="M1336" i="5"/>
  <c r="K1337" i="5"/>
  <c r="L1337" i="5"/>
  <c r="M1337" i="5"/>
  <c r="K1338" i="5"/>
  <c r="L1338" i="5"/>
  <c r="M1338" i="5"/>
  <c r="K1339" i="5"/>
  <c r="L1339" i="5"/>
  <c r="M1339" i="5"/>
  <c r="K1340" i="5"/>
  <c r="L1340" i="5"/>
  <c r="M1340" i="5"/>
  <c r="K1341" i="5"/>
  <c r="L1341" i="5"/>
  <c r="M1341" i="5"/>
  <c r="K1342" i="5"/>
  <c r="L1342" i="5"/>
  <c r="M1342" i="5"/>
  <c r="K1343" i="5"/>
  <c r="L1343" i="5"/>
  <c r="M1343" i="5"/>
  <c r="K1344" i="5"/>
  <c r="L1344" i="5"/>
  <c r="M1344" i="5"/>
  <c r="K1345" i="5"/>
  <c r="L1345" i="5"/>
  <c r="M1345" i="5"/>
  <c r="K1346" i="5"/>
  <c r="L1346" i="5"/>
  <c r="M1346" i="5"/>
  <c r="K1347" i="5"/>
  <c r="L1347" i="5"/>
  <c r="M1347" i="5"/>
  <c r="K1348" i="5"/>
  <c r="L1348" i="5"/>
  <c r="M1348" i="5"/>
  <c r="K1349" i="5"/>
  <c r="L1349" i="5"/>
  <c r="M1349" i="5"/>
  <c r="K1350" i="5"/>
  <c r="L1350" i="5"/>
  <c r="M1350" i="5"/>
  <c r="K1351" i="5"/>
  <c r="L1351" i="5"/>
  <c r="M1351" i="5"/>
  <c r="K1352" i="5"/>
  <c r="L1352" i="5"/>
  <c r="M1352" i="5"/>
  <c r="K1353" i="5"/>
  <c r="L1353" i="5"/>
  <c r="M1353" i="5"/>
  <c r="K1354" i="5"/>
  <c r="L1354" i="5"/>
  <c r="M1354" i="5"/>
  <c r="K1355" i="5"/>
  <c r="L1355" i="5"/>
  <c r="M1355" i="5"/>
  <c r="K1356" i="5"/>
  <c r="L1356" i="5"/>
  <c r="M1356" i="5"/>
  <c r="K1357" i="5"/>
  <c r="L1357" i="5"/>
  <c r="M1357" i="5"/>
  <c r="K1358" i="5"/>
  <c r="L1358" i="5"/>
  <c r="M1358" i="5"/>
  <c r="K1359" i="5"/>
  <c r="L1359" i="5"/>
  <c r="M1359" i="5"/>
  <c r="K1360" i="5"/>
  <c r="L1360" i="5"/>
  <c r="M1360" i="5"/>
  <c r="K1361" i="5"/>
  <c r="L1361" i="5"/>
  <c r="M1361" i="5"/>
  <c r="K1362" i="5"/>
  <c r="L1362" i="5"/>
  <c r="M1362" i="5"/>
  <c r="K1363" i="5"/>
  <c r="L1363" i="5"/>
  <c r="M1363" i="5"/>
  <c r="K1364" i="5"/>
  <c r="L1364" i="5"/>
  <c r="M1364" i="5"/>
  <c r="K1365" i="5"/>
  <c r="L1365" i="5"/>
  <c r="M1365" i="5"/>
  <c r="K1366" i="5"/>
  <c r="L1366" i="5"/>
  <c r="M1366" i="5"/>
  <c r="K1367" i="5"/>
  <c r="L1367" i="5"/>
  <c r="M1367" i="5"/>
  <c r="K1368" i="5"/>
  <c r="L1368" i="5"/>
  <c r="M1368" i="5"/>
  <c r="K1369" i="5"/>
  <c r="L1369" i="5"/>
  <c r="M1369" i="5"/>
  <c r="K1370" i="5"/>
  <c r="L1370" i="5"/>
  <c r="M1370" i="5"/>
  <c r="K1371" i="5"/>
  <c r="L1371" i="5"/>
  <c r="M1371" i="5"/>
  <c r="K1372" i="5"/>
  <c r="L1372" i="5"/>
  <c r="M1372" i="5"/>
  <c r="K1373" i="5"/>
  <c r="L1373" i="5"/>
  <c r="M1373" i="5"/>
  <c r="K1374" i="5"/>
  <c r="L1374" i="5"/>
  <c r="M1374" i="5"/>
  <c r="K1375" i="5"/>
  <c r="L1375" i="5"/>
  <c r="M1375" i="5"/>
  <c r="K1376" i="5"/>
  <c r="L1376" i="5"/>
  <c r="M1376" i="5"/>
  <c r="K1377" i="5"/>
  <c r="L1377" i="5"/>
  <c r="M1377" i="5"/>
  <c r="K1378" i="5"/>
  <c r="L1378" i="5"/>
  <c r="M1378" i="5"/>
  <c r="K1379" i="5"/>
  <c r="L1379" i="5"/>
  <c r="M1379" i="5"/>
  <c r="K1380" i="5"/>
  <c r="L1380" i="5"/>
  <c r="M1380" i="5"/>
  <c r="K1381" i="5"/>
  <c r="L1381" i="5"/>
  <c r="M1381" i="5"/>
  <c r="K1382" i="5"/>
  <c r="L1382" i="5"/>
  <c r="M1382" i="5"/>
  <c r="K1383" i="5"/>
  <c r="L1383" i="5"/>
  <c r="M1383" i="5"/>
  <c r="K1384" i="5"/>
  <c r="L1384" i="5"/>
  <c r="M1384" i="5"/>
  <c r="K1385" i="5"/>
  <c r="L1385" i="5"/>
  <c r="M1385" i="5"/>
  <c r="K1386" i="5"/>
  <c r="L1386" i="5"/>
  <c r="M1386" i="5"/>
  <c r="K1387" i="5"/>
  <c r="L1387" i="5"/>
  <c r="M1387" i="5"/>
  <c r="K1388" i="5"/>
  <c r="L1388" i="5"/>
  <c r="M1388" i="5"/>
  <c r="K1389" i="5"/>
  <c r="L1389" i="5"/>
  <c r="M1389" i="5"/>
  <c r="K1390" i="5"/>
  <c r="L1390" i="5"/>
  <c r="M1390" i="5"/>
  <c r="K1391" i="5"/>
  <c r="L1391" i="5"/>
  <c r="M1391" i="5"/>
  <c r="K1392" i="5"/>
  <c r="L1392" i="5"/>
  <c r="M1392" i="5"/>
  <c r="K1393" i="5"/>
  <c r="L1393" i="5"/>
  <c r="M1393" i="5"/>
  <c r="K1394" i="5"/>
  <c r="L1394" i="5"/>
  <c r="M1394" i="5"/>
  <c r="K1395" i="5"/>
  <c r="L1395" i="5"/>
  <c r="M1395" i="5"/>
  <c r="K1396" i="5"/>
  <c r="L1396" i="5"/>
  <c r="M1396" i="5"/>
  <c r="K1397" i="5"/>
  <c r="L1397" i="5"/>
  <c r="M1397" i="5"/>
  <c r="K1398" i="5"/>
  <c r="L1398" i="5"/>
  <c r="M1398" i="5"/>
  <c r="K1399" i="5"/>
  <c r="L1399" i="5"/>
  <c r="M1399" i="5"/>
  <c r="K1400" i="5"/>
  <c r="L1400" i="5"/>
  <c r="M1400" i="5"/>
  <c r="K1401" i="5"/>
  <c r="L1401" i="5"/>
  <c r="M1401" i="5"/>
  <c r="K1402" i="5"/>
  <c r="L1402" i="5"/>
  <c r="M1402" i="5"/>
  <c r="K1403" i="5"/>
  <c r="L1403" i="5"/>
  <c r="M1403" i="5"/>
  <c r="K1404" i="5"/>
  <c r="L1404" i="5"/>
  <c r="M1404" i="5"/>
  <c r="K1405" i="5"/>
  <c r="L1405" i="5"/>
  <c r="M1405" i="5"/>
  <c r="K1406" i="5"/>
  <c r="L1406" i="5"/>
  <c r="M1406" i="5"/>
  <c r="K1407" i="5"/>
  <c r="L1407" i="5"/>
  <c r="M1407" i="5"/>
  <c r="K1408" i="5"/>
  <c r="L1408" i="5"/>
  <c r="M1408" i="5"/>
  <c r="K1409" i="5"/>
  <c r="L1409" i="5"/>
  <c r="M1409" i="5"/>
  <c r="K1410" i="5"/>
  <c r="L1410" i="5"/>
  <c r="M1410" i="5"/>
  <c r="K1411" i="5"/>
  <c r="L1411" i="5"/>
  <c r="M1411" i="5"/>
  <c r="K1412" i="5"/>
  <c r="L1412" i="5"/>
  <c r="M1412" i="5"/>
  <c r="K1413" i="5"/>
  <c r="L1413" i="5"/>
  <c r="M1413" i="5"/>
  <c r="K1414" i="5"/>
  <c r="L1414" i="5"/>
  <c r="M1414" i="5"/>
  <c r="K1415" i="5"/>
  <c r="L1415" i="5"/>
  <c r="M1415" i="5"/>
  <c r="K1416" i="5"/>
  <c r="L1416" i="5"/>
  <c r="M1416" i="5"/>
  <c r="K1417" i="5"/>
  <c r="L1417" i="5"/>
  <c r="M1417" i="5"/>
  <c r="K1418" i="5"/>
  <c r="L1418" i="5"/>
  <c r="M1418" i="5"/>
  <c r="K1419" i="5"/>
  <c r="L1419" i="5"/>
  <c r="M1419" i="5"/>
  <c r="K1420" i="5"/>
  <c r="L1420" i="5"/>
  <c r="M1420" i="5"/>
  <c r="K1421" i="5"/>
  <c r="L1421" i="5"/>
  <c r="M1421" i="5"/>
  <c r="K1422" i="5"/>
  <c r="L1422" i="5"/>
  <c r="M1422" i="5"/>
  <c r="K1423" i="5"/>
  <c r="L1423" i="5"/>
  <c r="M1423" i="5"/>
  <c r="K1424" i="5"/>
  <c r="L1424" i="5"/>
  <c r="M1424" i="5"/>
  <c r="K1425" i="5"/>
  <c r="L1425" i="5"/>
  <c r="M1425" i="5"/>
  <c r="K1426" i="5"/>
  <c r="L1426" i="5"/>
  <c r="M1426" i="5"/>
  <c r="K1427" i="5"/>
  <c r="L1427" i="5"/>
  <c r="M1427" i="5"/>
  <c r="K1428" i="5"/>
  <c r="L1428" i="5"/>
  <c r="M1428" i="5"/>
  <c r="K1429" i="5"/>
  <c r="L1429" i="5"/>
  <c r="M1429" i="5"/>
  <c r="K1430" i="5"/>
  <c r="L1430" i="5"/>
  <c r="M1430" i="5"/>
  <c r="K1431" i="5"/>
  <c r="L1431" i="5"/>
  <c r="M1431" i="5"/>
  <c r="K1432" i="5"/>
  <c r="L1432" i="5"/>
  <c r="M1432" i="5"/>
  <c r="K1433" i="5"/>
  <c r="L1433" i="5"/>
  <c r="M1433" i="5"/>
  <c r="K1434" i="5"/>
  <c r="L1434" i="5"/>
  <c r="M1434" i="5"/>
  <c r="K1435" i="5"/>
  <c r="L1435" i="5"/>
  <c r="M1435" i="5"/>
  <c r="K1436" i="5"/>
  <c r="L1436" i="5"/>
  <c r="M1436" i="5"/>
  <c r="K1437" i="5"/>
  <c r="L1437" i="5"/>
  <c r="M1437" i="5"/>
  <c r="K1438" i="5"/>
  <c r="L1438" i="5"/>
  <c r="M1438" i="5"/>
  <c r="K1439" i="5"/>
  <c r="L1439" i="5"/>
  <c r="M1439" i="5"/>
  <c r="K1440" i="5"/>
  <c r="L1440" i="5"/>
  <c r="M1440" i="5"/>
  <c r="K1441" i="5"/>
  <c r="L1441" i="5"/>
  <c r="M1441" i="5"/>
  <c r="K1442" i="5"/>
  <c r="L1442" i="5"/>
  <c r="M1442" i="5"/>
  <c r="K1443" i="5"/>
  <c r="L1443" i="5"/>
  <c r="M1443" i="5"/>
  <c r="K1444" i="5"/>
  <c r="L1444" i="5"/>
  <c r="M1444" i="5"/>
  <c r="K1445" i="5"/>
  <c r="L1445" i="5"/>
  <c r="M1445" i="5"/>
  <c r="K1446" i="5"/>
  <c r="L1446" i="5"/>
  <c r="M1446" i="5"/>
  <c r="K1447" i="5"/>
  <c r="L1447" i="5"/>
  <c r="M1447" i="5"/>
  <c r="K1448" i="5"/>
  <c r="L1448" i="5"/>
  <c r="M1448" i="5"/>
  <c r="K1449" i="5"/>
  <c r="L1449" i="5"/>
  <c r="M1449" i="5"/>
  <c r="K1450" i="5"/>
  <c r="L1450" i="5"/>
  <c r="M1450" i="5"/>
  <c r="K1451" i="5"/>
  <c r="L1451" i="5"/>
  <c r="M1451" i="5"/>
  <c r="K1452" i="5"/>
  <c r="L1452" i="5"/>
  <c r="M1452" i="5"/>
  <c r="K1453" i="5"/>
  <c r="L1453" i="5"/>
  <c r="M1453" i="5"/>
  <c r="K1454" i="5"/>
  <c r="L1454" i="5"/>
  <c r="M1454" i="5"/>
  <c r="K1455" i="5"/>
  <c r="L1455" i="5"/>
  <c r="M1455" i="5"/>
  <c r="K1456" i="5"/>
  <c r="L1456" i="5"/>
  <c r="M1456" i="5"/>
  <c r="K1457" i="5"/>
  <c r="L1457" i="5"/>
  <c r="M1457" i="5"/>
  <c r="K1458" i="5"/>
  <c r="L1458" i="5"/>
  <c r="M1458" i="5"/>
  <c r="K1459" i="5"/>
  <c r="L1459" i="5"/>
  <c r="M1459" i="5"/>
  <c r="K1460" i="5"/>
  <c r="L1460" i="5"/>
  <c r="M1460" i="5"/>
  <c r="K1461" i="5"/>
  <c r="L1461" i="5"/>
  <c r="M1461" i="5"/>
  <c r="K1462" i="5"/>
  <c r="L1462" i="5"/>
  <c r="M1462" i="5"/>
  <c r="K1463" i="5"/>
  <c r="L1463" i="5"/>
  <c r="M1463" i="5"/>
  <c r="K1464" i="5"/>
  <c r="L1464" i="5"/>
  <c r="M1464" i="5"/>
  <c r="K1465" i="5"/>
  <c r="L1465" i="5"/>
  <c r="M1465" i="5"/>
  <c r="K1466" i="5"/>
  <c r="L1466" i="5"/>
  <c r="M1466" i="5"/>
  <c r="K1467" i="5"/>
  <c r="L1467" i="5"/>
  <c r="M1467" i="5"/>
  <c r="K1468" i="5"/>
  <c r="L1468" i="5"/>
  <c r="M1468" i="5"/>
  <c r="K1469" i="5"/>
  <c r="L1469" i="5"/>
  <c r="M1469" i="5"/>
  <c r="K1470" i="5"/>
  <c r="L1470" i="5"/>
  <c r="M1470" i="5"/>
  <c r="K1471" i="5"/>
  <c r="L1471" i="5"/>
  <c r="M1471" i="5"/>
  <c r="K1472" i="5"/>
  <c r="L1472" i="5"/>
  <c r="M1472" i="5"/>
  <c r="K1473" i="5"/>
  <c r="L1473" i="5"/>
  <c r="M1473" i="5"/>
  <c r="K1474" i="5"/>
  <c r="L1474" i="5"/>
  <c r="M1474" i="5"/>
  <c r="K1475" i="5"/>
  <c r="L1475" i="5"/>
  <c r="M1475" i="5"/>
  <c r="K1476" i="5"/>
  <c r="L1476" i="5"/>
  <c r="M1476" i="5"/>
  <c r="K1477" i="5"/>
  <c r="L1477" i="5"/>
  <c r="M1477" i="5"/>
  <c r="K1478" i="5"/>
  <c r="L1478" i="5"/>
  <c r="M1478" i="5"/>
  <c r="K1479" i="5"/>
  <c r="L1479" i="5"/>
  <c r="M1479" i="5"/>
  <c r="K1480" i="5"/>
  <c r="L1480" i="5"/>
  <c r="M1480" i="5"/>
  <c r="K1481" i="5"/>
  <c r="L1481" i="5"/>
  <c r="M1481" i="5"/>
  <c r="K1482" i="5"/>
  <c r="L1482" i="5"/>
  <c r="M1482" i="5"/>
  <c r="K1483" i="5"/>
  <c r="L1483" i="5"/>
  <c r="M1483" i="5"/>
  <c r="K1484" i="5"/>
  <c r="L1484" i="5"/>
  <c r="M1484" i="5"/>
  <c r="K1485" i="5"/>
  <c r="L1485" i="5"/>
  <c r="M1485" i="5"/>
  <c r="K1486" i="5"/>
  <c r="L1486" i="5"/>
  <c r="M1486" i="5"/>
  <c r="K1487" i="5"/>
  <c r="L1487" i="5"/>
  <c r="M1487" i="5"/>
  <c r="K1488" i="5"/>
  <c r="L1488" i="5"/>
  <c r="M1488" i="5"/>
  <c r="K1489" i="5"/>
  <c r="L1489" i="5"/>
  <c r="M1489" i="5"/>
  <c r="K1490" i="5"/>
  <c r="L1490" i="5"/>
  <c r="M1490" i="5"/>
  <c r="K1491" i="5"/>
  <c r="L1491" i="5"/>
  <c r="M1491" i="5"/>
  <c r="K1492" i="5"/>
  <c r="L1492" i="5"/>
  <c r="M1492" i="5"/>
  <c r="K1493" i="5"/>
  <c r="L1493" i="5"/>
  <c r="M1493" i="5"/>
  <c r="K1494" i="5"/>
  <c r="L1494" i="5"/>
  <c r="M1494" i="5"/>
  <c r="K1495" i="5"/>
  <c r="L1495" i="5"/>
  <c r="M1495" i="5"/>
  <c r="K1496" i="5"/>
  <c r="L1496" i="5"/>
  <c r="M1496" i="5"/>
  <c r="K1497" i="5"/>
  <c r="L1497" i="5"/>
  <c r="M1497" i="5"/>
  <c r="K1498" i="5"/>
  <c r="L1498" i="5"/>
  <c r="M1498" i="5"/>
  <c r="K1499" i="5"/>
  <c r="L1499" i="5"/>
  <c r="M1499" i="5"/>
  <c r="K1500" i="5"/>
  <c r="L1500" i="5"/>
  <c r="M1500" i="5"/>
  <c r="K1501" i="5"/>
  <c r="L1501" i="5"/>
  <c r="M1501" i="5"/>
  <c r="K1502" i="5"/>
  <c r="L1502" i="5"/>
  <c r="M1502" i="5"/>
  <c r="K1503" i="5"/>
  <c r="L1503" i="5"/>
  <c r="M1503" i="5"/>
  <c r="K1504" i="5"/>
  <c r="L1504" i="5"/>
  <c r="M1504" i="5"/>
  <c r="K1505" i="5"/>
  <c r="L1505" i="5"/>
  <c r="M1505" i="5"/>
  <c r="K1506" i="5"/>
  <c r="L1506" i="5"/>
  <c r="M1506" i="5"/>
  <c r="K1507" i="5"/>
  <c r="L1507" i="5"/>
  <c r="M1507" i="5"/>
  <c r="K1508" i="5"/>
  <c r="L1508" i="5"/>
  <c r="M1508" i="5"/>
  <c r="K1509" i="5"/>
  <c r="L1509" i="5"/>
  <c r="M1509" i="5"/>
  <c r="K1510" i="5"/>
  <c r="L1510" i="5"/>
  <c r="M1510" i="5"/>
  <c r="K1511" i="5"/>
  <c r="L1511" i="5"/>
  <c r="M1511" i="5"/>
  <c r="K1512" i="5"/>
  <c r="L1512" i="5"/>
  <c r="M1512" i="5"/>
  <c r="K1513" i="5"/>
  <c r="L1513" i="5"/>
  <c r="M1513" i="5"/>
  <c r="K1514" i="5"/>
  <c r="L1514" i="5"/>
  <c r="M1514" i="5"/>
  <c r="K1515" i="5"/>
  <c r="L1515" i="5"/>
  <c r="M1515" i="5"/>
  <c r="K1516" i="5"/>
  <c r="L1516" i="5"/>
  <c r="M1516" i="5"/>
  <c r="K1517" i="5"/>
  <c r="L1517" i="5"/>
  <c r="M1517" i="5"/>
  <c r="K1518" i="5"/>
  <c r="L1518" i="5"/>
  <c r="M1518" i="5"/>
  <c r="K1519" i="5"/>
  <c r="L1519" i="5"/>
  <c r="M1519" i="5"/>
  <c r="K1520" i="5"/>
  <c r="L1520" i="5"/>
  <c r="M1520" i="5"/>
  <c r="K1521" i="5"/>
  <c r="L1521" i="5"/>
  <c r="M1521" i="5"/>
  <c r="K1522" i="5"/>
  <c r="L1522" i="5"/>
  <c r="M1522" i="5"/>
  <c r="K1523" i="5"/>
  <c r="L1523" i="5"/>
  <c r="M1523" i="5"/>
  <c r="K1524" i="5"/>
  <c r="L1524" i="5"/>
  <c r="M1524" i="5"/>
  <c r="K1525" i="5"/>
  <c r="L1525" i="5"/>
  <c r="M1525" i="5"/>
  <c r="K1526" i="5"/>
  <c r="L1526" i="5"/>
  <c r="M1526" i="5"/>
  <c r="K1527" i="5"/>
  <c r="L1527" i="5"/>
  <c r="M1527" i="5"/>
  <c r="K1528" i="5"/>
  <c r="L1528" i="5"/>
  <c r="M1528" i="5"/>
  <c r="K1529" i="5"/>
  <c r="L1529" i="5"/>
  <c r="M1529" i="5"/>
  <c r="K1530" i="5"/>
  <c r="L1530" i="5"/>
  <c r="M1530" i="5"/>
  <c r="K1531" i="5"/>
  <c r="L1531" i="5"/>
  <c r="M1531" i="5"/>
  <c r="K1532" i="5"/>
  <c r="L1532" i="5"/>
  <c r="M1532" i="5"/>
  <c r="K1533" i="5"/>
  <c r="L1533" i="5"/>
  <c r="M1533" i="5"/>
  <c r="K1534" i="5"/>
  <c r="L1534" i="5"/>
  <c r="M1534" i="5"/>
  <c r="K1535" i="5"/>
  <c r="L1535" i="5"/>
  <c r="M1535" i="5"/>
  <c r="K1536" i="5"/>
  <c r="L1536" i="5"/>
  <c r="M1536" i="5"/>
  <c r="K1537" i="5"/>
  <c r="L1537" i="5"/>
  <c r="M1537" i="5"/>
  <c r="K1538" i="5"/>
  <c r="L1538" i="5"/>
  <c r="M1538" i="5"/>
  <c r="K1539" i="5"/>
  <c r="L1539" i="5"/>
  <c r="M1539" i="5"/>
  <c r="K1540" i="5"/>
  <c r="L1540" i="5"/>
  <c r="M1540" i="5"/>
  <c r="K1541" i="5"/>
  <c r="L1541" i="5"/>
  <c r="M1541" i="5"/>
  <c r="K1542" i="5"/>
  <c r="L1542" i="5"/>
  <c r="M1542" i="5"/>
  <c r="K1543" i="5"/>
  <c r="L1543" i="5"/>
  <c r="M1543" i="5"/>
  <c r="K1544" i="5"/>
  <c r="L1544" i="5"/>
  <c r="M1544" i="5"/>
  <c r="K1545" i="5"/>
  <c r="L1545" i="5"/>
  <c r="M1545" i="5"/>
  <c r="K1546" i="5"/>
  <c r="L1546" i="5"/>
  <c r="M1546" i="5"/>
  <c r="K1547" i="5"/>
  <c r="L1547" i="5"/>
  <c r="M1547" i="5"/>
  <c r="K1548" i="5"/>
  <c r="L1548" i="5"/>
  <c r="M1548" i="5"/>
  <c r="K1549" i="5"/>
  <c r="L1549" i="5"/>
  <c r="M1549" i="5"/>
  <c r="K1550" i="5"/>
  <c r="L1550" i="5"/>
  <c r="M1550" i="5"/>
  <c r="K1551" i="5"/>
  <c r="L1551" i="5"/>
  <c r="M1551" i="5"/>
  <c r="K1552" i="5"/>
  <c r="L1552" i="5"/>
  <c r="M1552" i="5"/>
  <c r="K1553" i="5"/>
  <c r="L1553" i="5"/>
  <c r="M1553" i="5"/>
  <c r="K1554" i="5"/>
  <c r="L1554" i="5"/>
  <c r="M1554" i="5"/>
  <c r="K1555" i="5"/>
  <c r="L1555" i="5"/>
  <c r="M1555" i="5"/>
  <c r="K1556" i="5"/>
  <c r="L1556" i="5"/>
  <c r="M1556" i="5"/>
  <c r="K1557" i="5"/>
  <c r="L1557" i="5"/>
  <c r="M1557" i="5"/>
  <c r="K1558" i="5"/>
  <c r="L1558" i="5"/>
  <c r="M1558" i="5"/>
  <c r="K1559" i="5"/>
  <c r="L1559" i="5"/>
  <c r="M1559" i="5"/>
  <c r="K1560" i="5"/>
  <c r="L1560" i="5"/>
  <c r="M1560" i="5"/>
  <c r="K1561" i="5"/>
  <c r="L1561" i="5"/>
  <c r="M1561" i="5"/>
  <c r="K1562" i="5"/>
  <c r="L1562" i="5"/>
  <c r="M1562" i="5"/>
  <c r="K1563" i="5"/>
  <c r="L1563" i="5"/>
  <c r="M1563" i="5"/>
  <c r="K1564" i="5"/>
  <c r="L1564" i="5"/>
  <c r="M1564" i="5"/>
  <c r="K1565" i="5"/>
  <c r="L1565" i="5"/>
  <c r="M1565" i="5"/>
  <c r="K1566" i="5"/>
  <c r="L1566" i="5"/>
  <c r="M1566" i="5"/>
  <c r="K1567" i="5"/>
  <c r="L1567" i="5"/>
  <c r="M1567" i="5"/>
  <c r="K1568" i="5"/>
  <c r="L1568" i="5"/>
  <c r="M1568" i="5"/>
  <c r="K1569" i="5"/>
  <c r="L1569" i="5"/>
  <c r="M1569" i="5"/>
  <c r="K1570" i="5"/>
  <c r="L1570" i="5"/>
  <c r="M1570" i="5"/>
  <c r="K1571" i="5"/>
  <c r="L1571" i="5"/>
  <c r="M1571" i="5"/>
  <c r="K1572" i="5"/>
  <c r="L1572" i="5"/>
  <c r="M1572" i="5"/>
  <c r="K1573" i="5"/>
  <c r="L1573" i="5"/>
  <c r="M1573" i="5"/>
  <c r="K1574" i="5"/>
  <c r="L1574" i="5"/>
  <c r="M1574" i="5"/>
  <c r="K1575" i="5"/>
  <c r="L1575" i="5"/>
  <c r="M1575" i="5"/>
  <c r="K1576" i="5"/>
  <c r="L1576" i="5"/>
  <c r="M1576" i="5"/>
  <c r="K1577" i="5"/>
  <c r="L1577" i="5"/>
  <c r="M1577" i="5"/>
  <c r="K1578" i="5"/>
  <c r="L1578" i="5"/>
  <c r="M1578" i="5"/>
  <c r="K1579" i="5"/>
  <c r="L1579" i="5"/>
  <c r="M1579" i="5"/>
  <c r="K1580" i="5"/>
  <c r="L1580" i="5"/>
  <c r="M1580" i="5"/>
  <c r="K1581" i="5"/>
  <c r="L1581" i="5"/>
  <c r="M1581" i="5"/>
  <c r="K1582" i="5"/>
  <c r="L1582" i="5"/>
  <c r="M1582" i="5"/>
  <c r="K1583" i="5"/>
  <c r="L1583" i="5"/>
  <c r="M1583" i="5"/>
  <c r="K1584" i="5"/>
  <c r="L1584" i="5"/>
  <c r="M1584" i="5"/>
  <c r="K1585" i="5"/>
  <c r="L1585" i="5"/>
  <c r="M1585" i="5"/>
  <c r="K1586" i="5"/>
  <c r="L1586" i="5"/>
  <c r="M1586" i="5"/>
  <c r="K1587" i="5"/>
  <c r="L1587" i="5"/>
  <c r="M1587" i="5"/>
  <c r="K1588" i="5"/>
  <c r="L1588" i="5"/>
  <c r="M1588" i="5"/>
  <c r="K1589" i="5"/>
  <c r="L1589" i="5"/>
  <c r="M1589" i="5"/>
  <c r="K1590" i="5"/>
  <c r="L1590" i="5"/>
  <c r="M1590" i="5"/>
  <c r="K1591" i="5"/>
  <c r="L1591" i="5"/>
  <c r="M1591" i="5"/>
  <c r="K1592" i="5"/>
  <c r="L1592" i="5"/>
  <c r="M1592" i="5"/>
  <c r="K1593" i="5"/>
  <c r="L1593" i="5"/>
  <c r="M1593" i="5"/>
  <c r="K1594" i="5"/>
  <c r="L1594" i="5"/>
  <c r="M1594" i="5"/>
  <c r="K1595" i="5"/>
  <c r="L1595" i="5"/>
  <c r="M1595" i="5"/>
  <c r="K1596" i="5"/>
  <c r="L1596" i="5"/>
  <c r="M1596" i="5"/>
  <c r="K1597" i="5"/>
  <c r="L1597" i="5"/>
  <c r="M1597" i="5"/>
  <c r="K1598" i="5"/>
  <c r="L1598" i="5"/>
  <c r="M1598" i="5"/>
  <c r="K1599" i="5"/>
  <c r="L1599" i="5"/>
  <c r="M1599" i="5"/>
  <c r="K1600" i="5"/>
  <c r="L1600" i="5"/>
  <c r="M1600" i="5"/>
  <c r="K1601" i="5"/>
  <c r="L1601" i="5"/>
  <c r="M1601" i="5"/>
  <c r="K1602" i="5"/>
  <c r="L1602" i="5"/>
  <c r="M1602" i="5"/>
  <c r="K1603" i="5"/>
  <c r="L1603" i="5"/>
  <c r="M1603" i="5"/>
  <c r="K1604" i="5"/>
  <c r="L1604" i="5"/>
  <c r="M1604" i="5"/>
  <c r="K1605" i="5"/>
  <c r="L1605" i="5"/>
  <c r="M1605" i="5"/>
  <c r="K1606" i="5"/>
  <c r="L1606" i="5"/>
  <c r="M1606" i="5"/>
  <c r="K1607" i="5"/>
  <c r="L1607" i="5"/>
  <c r="M1607" i="5"/>
  <c r="K1608" i="5"/>
  <c r="L1608" i="5"/>
  <c r="M1608" i="5"/>
  <c r="K1609" i="5"/>
  <c r="L1609" i="5"/>
  <c r="M1609" i="5"/>
  <c r="K1610" i="5"/>
  <c r="L1610" i="5"/>
  <c r="M1610" i="5"/>
  <c r="K1611" i="5"/>
  <c r="L1611" i="5"/>
  <c r="M1611" i="5"/>
  <c r="K1612" i="5"/>
  <c r="L1612" i="5"/>
  <c r="M1612" i="5"/>
  <c r="K1613" i="5"/>
  <c r="L1613" i="5"/>
  <c r="M1613" i="5"/>
  <c r="K1614" i="5"/>
  <c r="L1614" i="5"/>
  <c r="M1614" i="5"/>
  <c r="K1615" i="5"/>
  <c r="L1615" i="5"/>
  <c r="M1615" i="5"/>
  <c r="K1616" i="5"/>
  <c r="L1616" i="5"/>
  <c r="M1616" i="5"/>
  <c r="K1617" i="5"/>
  <c r="L1617" i="5"/>
  <c r="M1617" i="5"/>
  <c r="K1618" i="5"/>
  <c r="L1618" i="5"/>
  <c r="M1618" i="5"/>
  <c r="K1619" i="5"/>
  <c r="L1619" i="5"/>
  <c r="M1619" i="5"/>
  <c r="K1620" i="5"/>
  <c r="L1620" i="5"/>
  <c r="M1620" i="5"/>
  <c r="K1621" i="5"/>
  <c r="L1621" i="5"/>
  <c r="M1621" i="5"/>
  <c r="K1622" i="5"/>
  <c r="L1622" i="5"/>
  <c r="M1622" i="5"/>
  <c r="K1623" i="5"/>
  <c r="L1623" i="5"/>
  <c r="M1623" i="5"/>
  <c r="K1624" i="5"/>
  <c r="L1624" i="5"/>
  <c r="M1624" i="5"/>
  <c r="K1625" i="5"/>
  <c r="L1625" i="5"/>
  <c r="M1625" i="5"/>
  <c r="K1626" i="5"/>
  <c r="L1626" i="5"/>
  <c r="M1626" i="5"/>
  <c r="K1627" i="5"/>
  <c r="L1627" i="5"/>
  <c r="M1627" i="5"/>
  <c r="K1628" i="5"/>
  <c r="L1628" i="5"/>
  <c r="M1628" i="5"/>
  <c r="K1629" i="5"/>
  <c r="L1629" i="5"/>
  <c r="M1629" i="5"/>
  <c r="K1630" i="5"/>
  <c r="L1630" i="5"/>
  <c r="M1630" i="5"/>
  <c r="K1631" i="5"/>
  <c r="L1631" i="5"/>
  <c r="M1631" i="5"/>
  <c r="K1632" i="5"/>
  <c r="L1632" i="5"/>
  <c r="M1632" i="5"/>
  <c r="K1633" i="5"/>
  <c r="L1633" i="5"/>
  <c r="M1633" i="5"/>
  <c r="K1634" i="5"/>
  <c r="L1634" i="5"/>
  <c r="M1634" i="5"/>
  <c r="K1635" i="5"/>
  <c r="L1635" i="5"/>
  <c r="M1635" i="5"/>
  <c r="K1636" i="5"/>
  <c r="L1636" i="5"/>
  <c r="M1636" i="5"/>
  <c r="K1637" i="5"/>
  <c r="L1637" i="5"/>
  <c r="M1637" i="5"/>
  <c r="K1638" i="5"/>
  <c r="L1638" i="5"/>
  <c r="M1638" i="5"/>
  <c r="K1639" i="5"/>
  <c r="L1639" i="5"/>
  <c r="M1639" i="5"/>
  <c r="K1640" i="5"/>
  <c r="L1640" i="5"/>
  <c r="M1640" i="5"/>
  <c r="K1641" i="5"/>
  <c r="L1641" i="5"/>
  <c r="M1641" i="5"/>
  <c r="K1642" i="5"/>
  <c r="L1642" i="5"/>
  <c r="M1642" i="5"/>
  <c r="K1643" i="5"/>
  <c r="L1643" i="5"/>
  <c r="M1643" i="5"/>
  <c r="K1644" i="5"/>
  <c r="L1644" i="5"/>
  <c r="M1644" i="5"/>
  <c r="K1645" i="5"/>
  <c r="L1645" i="5"/>
  <c r="M1645" i="5"/>
  <c r="K1646" i="5"/>
  <c r="L1646" i="5"/>
  <c r="M1646" i="5"/>
  <c r="K1647" i="5"/>
  <c r="L1647" i="5"/>
  <c r="M1647" i="5"/>
  <c r="K1648" i="5"/>
  <c r="L1648" i="5"/>
  <c r="M1648" i="5"/>
  <c r="K1649" i="5"/>
  <c r="L1649" i="5"/>
  <c r="M1649" i="5"/>
  <c r="K1650" i="5"/>
  <c r="L1650" i="5"/>
  <c r="M1650" i="5"/>
  <c r="K1651" i="5"/>
  <c r="L1651" i="5"/>
  <c r="M1651" i="5"/>
  <c r="K1652" i="5"/>
  <c r="L1652" i="5"/>
  <c r="M1652" i="5"/>
  <c r="K1653" i="5"/>
  <c r="L1653" i="5"/>
  <c r="M1653" i="5"/>
  <c r="K1654" i="5"/>
  <c r="L1654" i="5"/>
  <c r="M1654" i="5"/>
  <c r="K1655" i="5"/>
  <c r="L1655" i="5"/>
  <c r="M1655" i="5"/>
  <c r="K1656" i="5"/>
  <c r="L1656" i="5"/>
  <c r="M1656" i="5"/>
  <c r="K1657" i="5"/>
  <c r="L1657" i="5"/>
  <c r="M1657" i="5"/>
  <c r="K1658" i="5"/>
  <c r="L1658" i="5"/>
  <c r="M1658" i="5"/>
  <c r="K1659" i="5"/>
  <c r="L1659" i="5"/>
  <c r="M1659" i="5"/>
  <c r="K1660" i="5"/>
  <c r="L1660" i="5"/>
  <c r="M1660" i="5"/>
  <c r="K1661" i="5"/>
  <c r="L1661" i="5"/>
  <c r="M1661" i="5"/>
  <c r="K1662" i="5"/>
  <c r="L1662" i="5"/>
  <c r="M1662" i="5"/>
  <c r="K1663" i="5"/>
  <c r="L1663" i="5"/>
  <c r="M1663" i="5"/>
  <c r="K1664" i="5"/>
  <c r="L1664" i="5"/>
  <c r="M1664" i="5"/>
  <c r="K1665" i="5"/>
  <c r="L1665" i="5"/>
  <c r="M1665" i="5"/>
  <c r="K1666" i="5"/>
  <c r="L1666" i="5"/>
  <c r="M1666" i="5"/>
  <c r="K1667" i="5"/>
  <c r="L1667" i="5"/>
  <c r="M1667" i="5"/>
  <c r="K1668" i="5"/>
  <c r="L1668" i="5"/>
  <c r="M1668" i="5"/>
  <c r="K1669" i="5"/>
  <c r="L1669" i="5"/>
  <c r="M1669" i="5"/>
  <c r="K1670" i="5"/>
  <c r="L1670" i="5"/>
  <c r="M1670" i="5"/>
  <c r="K1671" i="5"/>
  <c r="L1671" i="5"/>
  <c r="M1671" i="5"/>
  <c r="K1672" i="5"/>
  <c r="L1672" i="5"/>
  <c r="M1672" i="5"/>
  <c r="K1673" i="5"/>
  <c r="L1673" i="5"/>
  <c r="M1673" i="5"/>
  <c r="K1674" i="5"/>
  <c r="L1674" i="5"/>
  <c r="M1674" i="5"/>
  <c r="K1675" i="5"/>
  <c r="L1675" i="5"/>
  <c r="M1675" i="5"/>
  <c r="K1676" i="5"/>
  <c r="L1676" i="5"/>
  <c r="M1676" i="5"/>
  <c r="K1677" i="5"/>
  <c r="L1677" i="5"/>
  <c r="M1677" i="5"/>
  <c r="K1678" i="5"/>
  <c r="L1678" i="5"/>
  <c r="M1678" i="5"/>
  <c r="K1679" i="5"/>
  <c r="L1679" i="5"/>
  <c r="M1679" i="5"/>
  <c r="K1680" i="5"/>
  <c r="L1680" i="5"/>
  <c r="M1680" i="5"/>
  <c r="K1681" i="5"/>
  <c r="L1681" i="5"/>
  <c r="M1681" i="5"/>
  <c r="K1682" i="5"/>
  <c r="L1682" i="5"/>
  <c r="M1682" i="5"/>
  <c r="K1683" i="5"/>
  <c r="L1683" i="5"/>
  <c r="M1683" i="5"/>
  <c r="K1684" i="5"/>
  <c r="L1684" i="5"/>
  <c r="M1684" i="5"/>
  <c r="K1685" i="5"/>
  <c r="L1685" i="5"/>
  <c r="M1685" i="5"/>
  <c r="K1686" i="5"/>
  <c r="L1686" i="5"/>
  <c r="M1686" i="5"/>
  <c r="K1687" i="5"/>
  <c r="L1687" i="5"/>
  <c r="M1687" i="5"/>
  <c r="K1688" i="5"/>
  <c r="L1688" i="5"/>
  <c r="M1688" i="5"/>
  <c r="K1689" i="5"/>
  <c r="L1689" i="5"/>
  <c r="M1689" i="5"/>
  <c r="K1690" i="5"/>
  <c r="L1690" i="5"/>
  <c r="M1690" i="5"/>
  <c r="K1691" i="5"/>
  <c r="L1691" i="5"/>
  <c r="M1691" i="5"/>
  <c r="K1692" i="5"/>
  <c r="L1692" i="5"/>
  <c r="M1692" i="5"/>
  <c r="K1693" i="5"/>
  <c r="L1693" i="5"/>
  <c r="M1693" i="5"/>
  <c r="K1694" i="5"/>
  <c r="L1694" i="5"/>
  <c r="M1694" i="5"/>
  <c r="K1695" i="5"/>
  <c r="L1695" i="5"/>
  <c r="M1695" i="5"/>
  <c r="K1696" i="5"/>
  <c r="L1696" i="5"/>
  <c r="M1696" i="5"/>
  <c r="K1697" i="5"/>
  <c r="L1697" i="5"/>
  <c r="M1697" i="5"/>
  <c r="K1698" i="5"/>
  <c r="L1698" i="5"/>
  <c r="M1698" i="5"/>
  <c r="K1699" i="5"/>
  <c r="L1699" i="5"/>
  <c r="M1699" i="5"/>
  <c r="K1700" i="5"/>
  <c r="L1700" i="5"/>
  <c r="M1700" i="5"/>
  <c r="K1701" i="5"/>
  <c r="L1701" i="5"/>
  <c r="M1701" i="5"/>
  <c r="K1702" i="5"/>
  <c r="L1702" i="5"/>
  <c r="M1702" i="5"/>
  <c r="K1703" i="5"/>
  <c r="L1703" i="5"/>
  <c r="M1703" i="5"/>
  <c r="K1704" i="5"/>
  <c r="L1704" i="5"/>
  <c r="M1704" i="5"/>
  <c r="K1705" i="5"/>
  <c r="L1705" i="5"/>
  <c r="M1705" i="5"/>
  <c r="K1706" i="5"/>
  <c r="L1706" i="5"/>
  <c r="M1706" i="5"/>
  <c r="K1707" i="5"/>
  <c r="L1707" i="5"/>
  <c r="M1707" i="5"/>
  <c r="K1708" i="5"/>
  <c r="L1708" i="5"/>
  <c r="M1708" i="5"/>
  <c r="K1709" i="5"/>
  <c r="L1709" i="5"/>
  <c r="M1709" i="5"/>
  <c r="K1710" i="5"/>
  <c r="L1710" i="5"/>
  <c r="M1710" i="5"/>
  <c r="K1711" i="5"/>
  <c r="L1711" i="5"/>
  <c r="M1711" i="5"/>
  <c r="K1712" i="5"/>
  <c r="L1712" i="5"/>
  <c r="M1712" i="5"/>
  <c r="K1713" i="5"/>
  <c r="L1713" i="5"/>
  <c r="M1713" i="5"/>
  <c r="K1714" i="5"/>
  <c r="L1714" i="5"/>
  <c r="M1714" i="5"/>
  <c r="K1715" i="5"/>
  <c r="L1715" i="5"/>
  <c r="M1715" i="5"/>
  <c r="K1716" i="5"/>
  <c r="L1716" i="5"/>
  <c r="M1716" i="5"/>
  <c r="K1717" i="5"/>
  <c r="L1717" i="5"/>
  <c r="M1717" i="5"/>
  <c r="K1718" i="5"/>
  <c r="L1718" i="5"/>
  <c r="M1718" i="5"/>
  <c r="K1719" i="5"/>
  <c r="L1719" i="5"/>
  <c r="M1719" i="5"/>
  <c r="K1720" i="5"/>
  <c r="L1720" i="5"/>
  <c r="M1720" i="5"/>
  <c r="K1721" i="5"/>
  <c r="L1721" i="5"/>
  <c r="M1721" i="5"/>
  <c r="K1722" i="5"/>
  <c r="L1722" i="5"/>
  <c r="M1722" i="5"/>
  <c r="K1723" i="5"/>
  <c r="L1723" i="5"/>
  <c r="M1723" i="5"/>
  <c r="K1724" i="5"/>
  <c r="L1724" i="5"/>
  <c r="M1724" i="5"/>
  <c r="K1725" i="5"/>
  <c r="L1725" i="5"/>
  <c r="M1725" i="5"/>
  <c r="K1726" i="5"/>
  <c r="L1726" i="5"/>
  <c r="M1726" i="5"/>
  <c r="K1727" i="5"/>
  <c r="L1727" i="5"/>
  <c r="M1727" i="5"/>
  <c r="K1728" i="5"/>
  <c r="L1728" i="5"/>
  <c r="M1728" i="5"/>
  <c r="K1729" i="5"/>
  <c r="L1729" i="5"/>
  <c r="M1729" i="5"/>
  <c r="K1730" i="5"/>
  <c r="L1730" i="5"/>
  <c r="M1730" i="5"/>
  <c r="K1731" i="5"/>
  <c r="L1731" i="5"/>
  <c r="M1731" i="5"/>
  <c r="K1732" i="5"/>
  <c r="L1732" i="5"/>
  <c r="M1732" i="5"/>
  <c r="K1733" i="5"/>
  <c r="L1733" i="5"/>
  <c r="M1733" i="5"/>
  <c r="K1734" i="5"/>
  <c r="L1734" i="5"/>
  <c r="M1734" i="5"/>
  <c r="K1735" i="5"/>
  <c r="L1735" i="5"/>
  <c r="M1735" i="5"/>
  <c r="K1736" i="5"/>
  <c r="L1736" i="5"/>
  <c r="M1736" i="5"/>
  <c r="K1737" i="5"/>
  <c r="L1737" i="5"/>
  <c r="M1737" i="5"/>
  <c r="K1738" i="5"/>
  <c r="L1738" i="5"/>
  <c r="M1738" i="5"/>
  <c r="K1739" i="5"/>
  <c r="L1739" i="5"/>
  <c r="M1739" i="5"/>
  <c r="K1740" i="5"/>
  <c r="L1740" i="5"/>
  <c r="M1740" i="5"/>
  <c r="K1741" i="5"/>
  <c r="L1741" i="5"/>
  <c r="M1741" i="5"/>
  <c r="K1742" i="5"/>
  <c r="L1742" i="5"/>
  <c r="M1742" i="5"/>
  <c r="K1743" i="5"/>
  <c r="L1743" i="5"/>
  <c r="M1743" i="5"/>
  <c r="K1744" i="5"/>
  <c r="L1744" i="5"/>
  <c r="M1744" i="5"/>
  <c r="K1745" i="5"/>
  <c r="L1745" i="5"/>
  <c r="M1745" i="5"/>
  <c r="K1746" i="5"/>
  <c r="L1746" i="5"/>
  <c r="M1746" i="5"/>
  <c r="K1747" i="5"/>
  <c r="L1747" i="5"/>
  <c r="M1747" i="5"/>
  <c r="K1748" i="5"/>
  <c r="L1748" i="5"/>
  <c r="M1748" i="5"/>
  <c r="K1749" i="5"/>
  <c r="L1749" i="5"/>
  <c r="M1749" i="5"/>
  <c r="K1750" i="5"/>
  <c r="L1750" i="5"/>
  <c r="M1750" i="5"/>
  <c r="K1751" i="5"/>
  <c r="L1751" i="5"/>
  <c r="M1751" i="5"/>
  <c r="K1752" i="5"/>
  <c r="L1752" i="5"/>
  <c r="M1752" i="5"/>
  <c r="K1753" i="5"/>
  <c r="L1753" i="5"/>
  <c r="M1753" i="5"/>
  <c r="K1754" i="5"/>
  <c r="L1754" i="5"/>
  <c r="M1754" i="5"/>
  <c r="K1755" i="5"/>
  <c r="L1755" i="5"/>
  <c r="M1755" i="5"/>
  <c r="K1756" i="5"/>
  <c r="L1756" i="5"/>
  <c r="M1756" i="5"/>
  <c r="K1757" i="5"/>
  <c r="L1757" i="5"/>
  <c r="M1757" i="5"/>
  <c r="K1758" i="5"/>
  <c r="L1758" i="5"/>
  <c r="M1758" i="5"/>
  <c r="K1759" i="5"/>
  <c r="L1759" i="5"/>
  <c r="M1759" i="5"/>
  <c r="K1760" i="5"/>
  <c r="L1760" i="5"/>
  <c r="M1760" i="5"/>
  <c r="K1761" i="5"/>
  <c r="L1761" i="5"/>
  <c r="M1761" i="5"/>
  <c r="K1762" i="5"/>
  <c r="L1762" i="5"/>
  <c r="M1762" i="5"/>
  <c r="K1763" i="5"/>
  <c r="L1763" i="5"/>
  <c r="M1763" i="5"/>
  <c r="K1764" i="5"/>
  <c r="L1764" i="5"/>
  <c r="M1764" i="5"/>
  <c r="K1765" i="5"/>
  <c r="L1765" i="5"/>
  <c r="M1765" i="5"/>
  <c r="K1766" i="5"/>
  <c r="L1766" i="5"/>
  <c r="M1766" i="5"/>
  <c r="K1767" i="5"/>
  <c r="L1767" i="5"/>
  <c r="M1767" i="5"/>
  <c r="K1768" i="5"/>
  <c r="L1768" i="5"/>
  <c r="M1768" i="5"/>
  <c r="K1769" i="5"/>
  <c r="L1769" i="5"/>
  <c r="M1769" i="5"/>
  <c r="K1770" i="5"/>
  <c r="L1770" i="5"/>
  <c r="M1770" i="5"/>
  <c r="K1771" i="5"/>
  <c r="L1771" i="5"/>
  <c r="M1771" i="5"/>
  <c r="K1772" i="5"/>
  <c r="L1772" i="5"/>
  <c r="M1772" i="5"/>
  <c r="K1773" i="5"/>
  <c r="L1773" i="5"/>
  <c r="M1773" i="5"/>
  <c r="K1774" i="5"/>
  <c r="L1774" i="5"/>
  <c r="M1774" i="5"/>
  <c r="K1775" i="5"/>
  <c r="L1775" i="5"/>
  <c r="M1775" i="5"/>
  <c r="K1776" i="5"/>
  <c r="L1776" i="5"/>
  <c r="M1776" i="5"/>
  <c r="K1777" i="5"/>
  <c r="L1777" i="5"/>
  <c r="M1777" i="5"/>
  <c r="K1778" i="5"/>
  <c r="L1778" i="5"/>
  <c r="M1778" i="5"/>
  <c r="K1779" i="5"/>
  <c r="L1779" i="5"/>
  <c r="M1779" i="5"/>
  <c r="K1780" i="5"/>
  <c r="L1780" i="5"/>
  <c r="M1780" i="5"/>
  <c r="K1781" i="5"/>
  <c r="L1781" i="5"/>
  <c r="M1781" i="5"/>
  <c r="K1782" i="5"/>
  <c r="L1782" i="5"/>
  <c r="M1782" i="5"/>
  <c r="K1783" i="5"/>
  <c r="L1783" i="5"/>
  <c r="M1783" i="5"/>
  <c r="K1784" i="5"/>
  <c r="L1784" i="5"/>
  <c r="M1784" i="5"/>
  <c r="K1785" i="5"/>
  <c r="L1785" i="5"/>
  <c r="M1785" i="5"/>
  <c r="K1786" i="5"/>
  <c r="L1786" i="5"/>
  <c r="M1786" i="5"/>
  <c r="K1787" i="5"/>
  <c r="L1787" i="5"/>
  <c r="M1787" i="5"/>
  <c r="K1788" i="5"/>
  <c r="L1788" i="5"/>
  <c r="M1788" i="5"/>
  <c r="K1789" i="5"/>
  <c r="L1789" i="5"/>
  <c r="M1789" i="5"/>
  <c r="K1790" i="5"/>
  <c r="L1790" i="5"/>
  <c r="M1790" i="5"/>
  <c r="K1791" i="5"/>
  <c r="L1791" i="5"/>
  <c r="M1791" i="5"/>
  <c r="K1792" i="5"/>
  <c r="L1792" i="5"/>
  <c r="M1792" i="5"/>
  <c r="K1793" i="5"/>
  <c r="L1793" i="5"/>
  <c r="M1793" i="5"/>
  <c r="K1794" i="5"/>
  <c r="L1794" i="5"/>
  <c r="M1794" i="5"/>
  <c r="K1795" i="5"/>
  <c r="L1795" i="5"/>
  <c r="M1795" i="5"/>
  <c r="K1796" i="5"/>
  <c r="L1796" i="5"/>
  <c r="M1796" i="5"/>
  <c r="K1797" i="5"/>
  <c r="L1797" i="5"/>
  <c r="M1797" i="5"/>
  <c r="K1798" i="5"/>
  <c r="L1798" i="5"/>
  <c r="M1798" i="5"/>
  <c r="K1799" i="5"/>
  <c r="L1799" i="5"/>
  <c r="M1799" i="5"/>
  <c r="K1800" i="5"/>
  <c r="L1800" i="5"/>
  <c r="M1800" i="5"/>
  <c r="K1801" i="5"/>
  <c r="L1801" i="5"/>
  <c r="M1801" i="5"/>
  <c r="K1802" i="5"/>
  <c r="L1802" i="5"/>
  <c r="M1802" i="5"/>
  <c r="K1803" i="5"/>
  <c r="L1803" i="5"/>
  <c r="M1803" i="5"/>
  <c r="K1804" i="5"/>
  <c r="L1804" i="5"/>
  <c r="M1804" i="5"/>
  <c r="K1805" i="5"/>
  <c r="L1805" i="5"/>
  <c r="M1805" i="5"/>
  <c r="K1806" i="5"/>
  <c r="L1806" i="5"/>
  <c r="M1806" i="5"/>
  <c r="K1807" i="5"/>
  <c r="L1807" i="5"/>
  <c r="M1807" i="5"/>
  <c r="K1808" i="5"/>
  <c r="L1808" i="5"/>
  <c r="M1808" i="5"/>
  <c r="K1809" i="5"/>
  <c r="L1809" i="5"/>
  <c r="M1809" i="5"/>
  <c r="K1810" i="5"/>
  <c r="L1810" i="5"/>
  <c r="M1810" i="5"/>
  <c r="K1811" i="5"/>
  <c r="L1811" i="5"/>
  <c r="M1811" i="5"/>
  <c r="K1812" i="5"/>
  <c r="L1812" i="5"/>
  <c r="M1812" i="5"/>
  <c r="K1813" i="5"/>
  <c r="L1813" i="5"/>
  <c r="M1813" i="5"/>
  <c r="K1814" i="5"/>
  <c r="L1814" i="5"/>
  <c r="M1814" i="5"/>
  <c r="K1815" i="5"/>
  <c r="L1815" i="5"/>
  <c r="M1815" i="5"/>
  <c r="K1816" i="5"/>
  <c r="L1816" i="5"/>
  <c r="M1816" i="5"/>
  <c r="K1817" i="5"/>
  <c r="L1817" i="5"/>
  <c r="M1817" i="5"/>
  <c r="K1818" i="5"/>
  <c r="L1818" i="5"/>
  <c r="M1818" i="5"/>
  <c r="K1819" i="5"/>
  <c r="L1819" i="5"/>
  <c r="M1819" i="5"/>
  <c r="K1820" i="5"/>
  <c r="L1820" i="5"/>
  <c r="M1820" i="5"/>
  <c r="K1821" i="5"/>
  <c r="L1821" i="5"/>
  <c r="M1821" i="5"/>
  <c r="K1822" i="5"/>
  <c r="L1822" i="5"/>
  <c r="M1822" i="5"/>
  <c r="K1823" i="5"/>
  <c r="L1823" i="5"/>
  <c r="M1823" i="5"/>
  <c r="K1824" i="5"/>
  <c r="L1824" i="5"/>
  <c r="M1824" i="5"/>
  <c r="K1825" i="5"/>
  <c r="L1825" i="5"/>
  <c r="M1825" i="5"/>
  <c r="K1826" i="5"/>
  <c r="L1826" i="5"/>
  <c r="M1826" i="5"/>
  <c r="K1827" i="5"/>
  <c r="L1827" i="5"/>
  <c r="M1827" i="5"/>
  <c r="K1828" i="5"/>
  <c r="L1828" i="5"/>
  <c r="M1828" i="5"/>
  <c r="K1829" i="5"/>
  <c r="L1829" i="5"/>
  <c r="M1829" i="5"/>
  <c r="K1830" i="5"/>
  <c r="L1830" i="5"/>
  <c r="M1830" i="5"/>
  <c r="K1831" i="5"/>
  <c r="L1831" i="5"/>
  <c r="M1831" i="5"/>
  <c r="K1832" i="5"/>
  <c r="L1832" i="5"/>
  <c r="M1832" i="5"/>
  <c r="K1833" i="5"/>
  <c r="L1833" i="5"/>
  <c r="M1833" i="5"/>
  <c r="K1834" i="5"/>
  <c r="L1834" i="5"/>
  <c r="M1834" i="5"/>
  <c r="K1835" i="5"/>
  <c r="L1835" i="5"/>
  <c r="M1835" i="5"/>
  <c r="K1836" i="5"/>
  <c r="L1836" i="5"/>
  <c r="M1836" i="5"/>
  <c r="K1837" i="5"/>
  <c r="L1837" i="5"/>
  <c r="M1837" i="5"/>
  <c r="K1838" i="5"/>
  <c r="L1838" i="5"/>
  <c r="M1838" i="5"/>
  <c r="K1839" i="5"/>
  <c r="L1839" i="5"/>
  <c r="M1839" i="5"/>
  <c r="K1840" i="5"/>
  <c r="L1840" i="5"/>
  <c r="M1840" i="5"/>
  <c r="K1841" i="5"/>
  <c r="L1841" i="5"/>
  <c r="M1841" i="5"/>
  <c r="K1842" i="5"/>
  <c r="L1842" i="5"/>
  <c r="M1842" i="5"/>
  <c r="K1843" i="5"/>
  <c r="L1843" i="5"/>
  <c r="M1843" i="5"/>
  <c r="K1844" i="5"/>
  <c r="L1844" i="5"/>
  <c r="M1844" i="5"/>
  <c r="K1845" i="5"/>
  <c r="L1845" i="5"/>
  <c r="M1845" i="5"/>
  <c r="K1846" i="5"/>
  <c r="L1846" i="5"/>
  <c r="M1846" i="5"/>
  <c r="K1847" i="5"/>
  <c r="L1847" i="5"/>
  <c r="M1847" i="5"/>
  <c r="K1848" i="5"/>
  <c r="L1848" i="5"/>
  <c r="M1848" i="5"/>
  <c r="K1849" i="5"/>
  <c r="L1849" i="5"/>
  <c r="M1849" i="5"/>
  <c r="K1850" i="5"/>
  <c r="L1850" i="5"/>
  <c r="M1850" i="5"/>
  <c r="K1851" i="5"/>
  <c r="L1851" i="5"/>
  <c r="M1851" i="5"/>
  <c r="K1852" i="5"/>
  <c r="L1852" i="5"/>
  <c r="M1852" i="5"/>
  <c r="K1853" i="5"/>
  <c r="L1853" i="5"/>
  <c r="M1853" i="5"/>
  <c r="K1854" i="5"/>
  <c r="L1854" i="5"/>
  <c r="M1854" i="5"/>
  <c r="K1855" i="5"/>
  <c r="L1855" i="5"/>
  <c r="M1855" i="5"/>
  <c r="K1856" i="5"/>
  <c r="L1856" i="5"/>
  <c r="M1856" i="5"/>
  <c r="K1857" i="5"/>
  <c r="L1857" i="5"/>
  <c r="M1857" i="5"/>
  <c r="K1858" i="5"/>
  <c r="L1858" i="5"/>
  <c r="M1858" i="5"/>
  <c r="K1859" i="5"/>
  <c r="L1859" i="5"/>
  <c r="M1859" i="5"/>
  <c r="K1860" i="5"/>
  <c r="L1860" i="5"/>
  <c r="M1860" i="5"/>
  <c r="K1861" i="5"/>
  <c r="L1861" i="5"/>
  <c r="M1861" i="5"/>
  <c r="K1862" i="5"/>
  <c r="L1862" i="5"/>
  <c r="M1862" i="5"/>
  <c r="K1863" i="5"/>
  <c r="L1863" i="5"/>
  <c r="M1863" i="5"/>
  <c r="K1864" i="5"/>
  <c r="L1864" i="5"/>
  <c r="M1864" i="5"/>
  <c r="K1865" i="5"/>
  <c r="L1865" i="5"/>
  <c r="M1865" i="5"/>
  <c r="K1866" i="5"/>
  <c r="L1866" i="5"/>
  <c r="M1866" i="5"/>
  <c r="K1867" i="5"/>
  <c r="L1867" i="5"/>
  <c r="M1867" i="5"/>
  <c r="K1868" i="5"/>
  <c r="L1868" i="5"/>
  <c r="M1868" i="5"/>
  <c r="K1869" i="5"/>
  <c r="L1869" i="5"/>
  <c r="M1869" i="5"/>
  <c r="K1870" i="5"/>
  <c r="L1870" i="5"/>
  <c r="M1870" i="5"/>
  <c r="K1871" i="5"/>
  <c r="L1871" i="5"/>
  <c r="M1871" i="5"/>
  <c r="K1872" i="5"/>
  <c r="L1872" i="5"/>
  <c r="M1872" i="5"/>
  <c r="K1873" i="5"/>
  <c r="L1873" i="5"/>
  <c r="M1873" i="5"/>
  <c r="K1874" i="5"/>
  <c r="L1874" i="5"/>
  <c r="M1874" i="5"/>
  <c r="K1875" i="5"/>
  <c r="L1875" i="5"/>
  <c r="M1875" i="5"/>
  <c r="K1876" i="5"/>
  <c r="L1876" i="5"/>
  <c r="M1876" i="5"/>
  <c r="K1877" i="5"/>
  <c r="L1877" i="5"/>
  <c r="M1877" i="5"/>
  <c r="K1878" i="5"/>
  <c r="L1878" i="5"/>
  <c r="M1878" i="5"/>
  <c r="K1879" i="5"/>
  <c r="L1879" i="5"/>
  <c r="M1879" i="5"/>
  <c r="K1880" i="5"/>
  <c r="L1880" i="5"/>
  <c r="M1880" i="5"/>
  <c r="K1881" i="5"/>
  <c r="L1881" i="5"/>
  <c r="M1881" i="5"/>
  <c r="K1882" i="5"/>
  <c r="L1882" i="5"/>
  <c r="M1882" i="5"/>
  <c r="K1883" i="5"/>
  <c r="L1883" i="5"/>
  <c r="M1883" i="5"/>
  <c r="K1884" i="5"/>
  <c r="L1884" i="5"/>
  <c r="M1884" i="5"/>
  <c r="K1885" i="5"/>
  <c r="L1885" i="5"/>
  <c r="M1885" i="5"/>
  <c r="K1886" i="5"/>
  <c r="L1886" i="5"/>
  <c r="M1886" i="5"/>
  <c r="K1887" i="5"/>
  <c r="L1887" i="5"/>
  <c r="M1887" i="5"/>
  <c r="K1888" i="5"/>
  <c r="L1888" i="5"/>
  <c r="M1888" i="5"/>
  <c r="K1889" i="5"/>
  <c r="L1889" i="5"/>
  <c r="M1889" i="5"/>
  <c r="K1890" i="5"/>
  <c r="L1890" i="5"/>
  <c r="M1890" i="5"/>
  <c r="K1891" i="5"/>
  <c r="L1891" i="5"/>
  <c r="M1891" i="5"/>
  <c r="K1892" i="5"/>
  <c r="L1892" i="5"/>
  <c r="M1892" i="5"/>
  <c r="K1893" i="5"/>
  <c r="L1893" i="5"/>
  <c r="M1893" i="5"/>
  <c r="K1894" i="5"/>
  <c r="L1894" i="5"/>
  <c r="M1894" i="5"/>
  <c r="K1895" i="5"/>
  <c r="L1895" i="5"/>
  <c r="M1895" i="5"/>
  <c r="K1896" i="5"/>
  <c r="L1896" i="5"/>
  <c r="M1896" i="5"/>
  <c r="K1897" i="5"/>
  <c r="L1897" i="5"/>
  <c r="M1897" i="5"/>
  <c r="K1898" i="5"/>
  <c r="L1898" i="5"/>
  <c r="M1898" i="5"/>
  <c r="K1899" i="5"/>
  <c r="L1899" i="5"/>
  <c r="M1899" i="5"/>
  <c r="K1900" i="5"/>
  <c r="L1900" i="5"/>
  <c r="M1900" i="5"/>
  <c r="K1901" i="5"/>
  <c r="L1901" i="5"/>
  <c r="M1901" i="5"/>
  <c r="K1902" i="5"/>
  <c r="L1902" i="5"/>
  <c r="M1902" i="5"/>
  <c r="K1903" i="5"/>
  <c r="L1903" i="5"/>
  <c r="M1903" i="5"/>
  <c r="K1904" i="5"/>
  <c r="L1904" i="5"/>
  <c r="M1904" i="5"/>
  <c r="K1905" i="5"/>
  <c r="L1905" i="5"/>
  <c r="M1905" i="5"/>
  <c r="K1906" i="5"/>
  <c r="L1906" i="5"/>
  <c r="M1906" i="5"/>
  <c r="K1907" i="5"/>
  <c r="L1907" i="5"/>
  <c r="M1907" i="5"/>
  <c r="K1908" i="5"/>
  <c r="L1908" i="5"/>
  <c r="M1908" i="5"/>
  <c r="K1909" i="5"/>
  <c r="L1909" i="5"/>
  <c r="M1909" i="5"/>
  <c r="K1910" i="5"/>
  <c r="L1910" i="5"/>
  <c r="M1910" i="5"/>
  <c r="K1911" i="5"/>
  <c r="L1911" i="5"/>
  <c r="M1911" i="5"/>
  <c r="K1912" i="5"/>
  <c r="L1912" i="5"/>
  <c r="M1912" i="5"/>
  <c r="K1913" i="5"/>
  <c r="L1913" i="5"/>
  <c r="M1913" i="5"/>
  <c r="K1914" i="5"/>
  <c r="L1914" i="5"/>
  <c r="M1914" i="5"/>
  <c r="K1915" i="5"/>
  <c r="L1915" i="5"/>
  <c r="M1915" i="5"/>
  <c r="K1916" i="5"/>
  <c r="L1916" i="5"/>
  <c r="M1916" i="5"/>
  <c r="K1917" i="5"/>
  <c r="L1917" i="5"/>
  <c r="M1917" i="5"/>
  <c r="K1918" i="5"/>
  <c r="L1918" i="5"/>
  <c r="M1918" i="5"/>
  <c r="K1919" i="5"/>
  <c r="L1919" i="5"/>
  <c r="M1919" i="5"/>
  <c r="K1920" i="5"/>
  <c r="L1920" i="5"/>
  <c r="M1920" i="5"/>
  <c r="K1921" i="5"/>
  <c r="L1921" i="5"/>
  <c r="M1921" i="5"/>
  <c r="K1922" i="5"/>
  <c r="L1922" i="5"/>
  <c r="M1922" i="5"/>
  <c r="K1923" i="5"/>
  <c r="L1923" i="5"/>
  <c r="M1923" i="5"/>
  <c r="K1924" i="5"/>
  <c r="L1924" i="5"/>
  <c r="M1924" i="5"/>
  <c r="K1925" i="5"/>
  <c r="L1925" i="5"/>
  <c r="M1925" i="5"/>
  <c r="K1926" i="5"/>
  <c r="L1926" i="5"/>
  <c r="M1926" i="5"/>
  <c r="K1927" i="5"/>
  <c r="L1927" i="5"/>
  <c r="M1927" i="5"/>
  <c r="K1928" i="5"/>
  <c r="L1928" i="5"/>
  <c r="M1928" i="5"/>
  <c r="K1929" i="5"/>
  <c r="L1929" i="5"/>
  <c r="M1929" i="5"/>
  <c r="K1930" i="5"/>
  <c r="L1930" i="5"/>
  <c r="M1930" i="5"/>
  <c r="K1931" i="5"/>
  <c r="L1931" i="5"/>
  <c r="M1931" i="5"/>
  <c r="K1932" i="5"/>
  <c r="L1932" i="5"/>
  <c r="M1932" i="5"/>
  <c r="K1933" i="5"/>
  <c r="L1933" i="5"/>
  <c r="M1933" i="5"/>
  <c r="K1934" i="5"/>
  <c r="L1934" i="5"/>
  <c r="M1934" i="5"/>
  <c r="K1935" i="5"/>
  <c r="L1935" i="5"/>
  <c r="M1935" i="5"/>
  <c r="K1936" i="5"/>
  <c r="L1936" i="5"/>
  <c r="M1936" i="5"/>
  <c r="K1937" i="5"/>
  <c r="L1937" i="5"/>
  <c r="M1937" i="5"/>
  <c r="K1938" i="5"/>
  <c r="L1938" i="5"/>
  <c r="M1938" i="5"/>
  <c r="K1939" i="5"/>
  <c r="L1939" i="5"/>
  <c r="M1939" i="5"/>
  <c r="K1940" i="5"/>
  <c r="L1940" i="5"/>
  <c r="M1940" i="5"/>
  <c r="K1941" i="5"/>
  <c r="L1941" i="5"/>
  <c r="M1941" i="5"/>
  <c r="K1942" i="5"/>
  <c r="L1942" i="5"/>
  <c r="M1942" i="5"/>
  <c r="K1943" i="5"/>
  <c r="L1943" i="5"/>
  <c r="M1943" i="5"/>
  <c r="K1944" i="5"/>
  <c r="L1944" i="5"/>
  <c r="M1944" i="5"/>
  <c r="K1945" i="5"/>
  <c r="L1945" i="5"/>
  <c r="M1945" i="5"/>
  <c r="K1946" i="5"/>
  <c r="L1946" i="5"/>
  <c r="M1946" i="5"/>
  <c r="K1947" i="5"/>
  <c r="L1947" i="5"/>
  <c r="M1947" i="5"/>
  <c r="K1948" i="5"/>
  <c r="L1948" i="5"/>
  <c r="M1948" i="5"/>
  <c r="K1949" i="5"/>
  <c r="L1949" i="5"/>
  <c r="M1949" i="5"/>
  <c r="K1950" i="5"/>
  <c r="L1950" i="5"/>
  <c r="M1950" i="5"/>
  <c r="K1951" i="5"/>
  <c r="L1951" i="5"/>
  <c r="M1951" i="5"/>
  <c r="K1952" i="5"/>
  <c r="L1952" i="5"/>
  <c r="M1952" i="5"/>
  <c r="K1953" i="5"/>
  <c r="L1953" i="5"/>
  <c r="M1953" i="5"/>
  <c r="K1954" i="5"/>
  <c r="L1954" i="5"/>
  <c r="M1954" i="5"/>
  <c r="K1955" i="5"/>
  <c r="L1955" i="5"/>
  <c r="M1955" i="5"/>
  <c r="K1956" i="5"/>
  <c r="L1956" i="5"/>
  <c r="M1956" i="5"/>
  <c r="K1957" i="5"/>
  <c r="L1957" i="5"/>
  <c r="M1957" i="5"/>
  <c r="K1958" i="5"/>
  <c r="L1958" i="5"/>
  <c r="M1958" i="5"/>
  <c r="K1959" i="5"/>
  <c r="L1959" i="5"/>
  <c r="M1959" i="5"/>
  <c r="K1960" i="5"/>
  <c r="L1960" i="5"/>
  <c r="M1960" i="5"/>
  <c r="K1961" i="5"/>
  <c r="L1961" i="5"/>
  <c r="M1961" i="5"/>
  <c r="K1962" i="5"/>
  <c r="L1962" i="5"/>
  <c r="M1962" i="5"/>
  <c r="K1963" i="5"/>
  <c r="L1963" i="5"/>
  <c r="M1963" i="5"/>
  <c r="K1964" i="5"/>
  <c r="L1964" i="5"/>
  <c r="M1964" i="5"/>
  <c r="K1965" i="5"/>
  <c r="L1965" i="5"/>
  <c r="M1965" i="5"/>
  <c r="K1966" i="5"/>
  <c r="L1966" i="5"/>
  <c r="M1966" i="5"/>
  <c r="K1967" i="5"/>
  <c r="L1967" i="5"/>
  <c r="M1967" i="5"/>
  <c r="K1968" i="5"/>
  <c r="L1968" i="5"/>
  <c r="M1968" i="5"/>
  <c r="K1969" i="5"/>
  <c r="L1969" i="5"/>
  <c r="M1969" i="5"/>
  <c r="K1970" i="5"/>
  <c r="L1970" i="5"/>
  <c r="M1970" i="5"/>
  <c r="K1971" i="5"/>
  <c r="L1971" i="5"/>
  <c r="M1971" i="5"/>
  <c r="K1972" i="5"/>
  <c r="L1972" i="5"/>
  <c r="M1972" i="5"/>
  <c r="K1973" i="5"/>
  <c r="L1973" i="5"/>
  <c r="M1973" i="5"/>
  <c r="K1974" i="5"/>
  <c r="L1974" i="5"/>
  <c r="M1974" i="5"/>
  <c r="K1975" i="5"/>
  <c r="L1975" i="5"/>
  <c r="M1975" i="5"/>
  <c r="K1976" i="5"/>
  <c r="L1976" i="5"/>
  <c r="M1976" i="5"/>
  <c r="K1977" i="5"/>
  <c r="L1977" i="5"/>
  <c r="M1977" i="5"/>
  <c r="K1978" i="5"/>
  <c r="L1978" i="5"/>
  <c r="M1978" i="5"/>
  <c r="K1979" i="5"/>
  <c r="L1979" i="5"/>
  <c r="M1979" i="5"/>
  <c r="K1980" i="5"/>
  <c r="L1980" i="5"/>
  <c r="M1980" i="5"/>
  <c r="K1981" i="5"/>
  <c r="L1981" i="5"/>
  <c r="M1981" i="5"/>
  <c r="K1982" i="5"/>
  <c r="L1982" i="5"/>
  <c r="M1982" i="5"/>
  <c r="K1983" i="5"/>
  <c r="L1983" i="5"/>
  <c r="M1983" i="5"/>
  <c r="K1984" i="5"/>
  <c r="L1984" i="5"/>
  <c r="M1984" i="5"/>
  <c r="K1985" i="5"/>
  <c r="L1985" i="5"/>
  <c r="M1985" i="5"/>
  <c r="K1986" i="5"/>
  <c r="L1986" i="5"/>
  <c r="M1986" i="5"/>
  <c r="K1987" i="5"/>
  <c r="L1987" i="5"/>
  <c r="M1987" i="5"/>
  <c r="K1988" i="5"/>
  <c r="L1988" i="5"/>
  <c r="M1988" i="5"/>
  <c r="K1989" i="5"/>
  <c r="L1989" i="5"/>
  <c r="M1989" i="5"/>
  <c r="K1990" i="5"/>
  <c r="L1990" i="5"/>
  <c r="M1990" i="5"/>
  <c r="K1991" i="5"/>
  <c r="L1991" i="5"/>
  <c r="M1991" i="5"/>
  <c r="K1992" i="5"/>
  <c r="L1992" i="5"/>
  <c r="M1992" i="5"/>
  <c r="K1993" i="5"/>
  <c r="L1993" i="5"/>
  <c r="M1993" i="5"/>
  <c r="K1994" i="5"/>
  <c r="L1994" i="5"/>
  <c r="M1994" i="5"/>
  <c r="K1995" i="5"/>
  <c r="L1995" i="5"/>
  <c r="M1995" i="5"/>
  <c r="K1996" i="5"/>
  <c r="L1996" i="5"/>
  <c r="M1996" i="5"/>
  <c r="K1997" i="5"/>
  <c r="L1997" i="5"/>
  <c r="M1997" i="5"/>
  <c r="K1998" i="5"/>
  <c r="L1998" i="5"/>
  <c r="M1998" i="5"/>
  <c r="K1999" i="5"/>
  <c r="L1999" i="5"/>
  <c r="M1999" i="5"/>
  <c r="K2000" i="5"/>
  <c r="L2000" i="5"/>
  <c r="M2000" i="5"/>
  <c r="K2001" i="5"/>
  <c r="L2001" i="5"/>
  <c r="M2001" i="5"/>
  <c r="L26" i="1"/>
  <c r="L3" i="1"/>
  <c r="I3" i="1"/>
  <c r="I4" i="1"/>
  <c r="I5" i="1"/>
  <c r="I6" i="1"/>
  <c r="I7" i="1"/>
  <c r="I8" i="1"/>
  <c r="I9" i="1"/>
  <c r="O9" i="1" s="1"/>
  <c r="S9" i="1" s="1"/>
  <c r="I10" i="1"/>
  <c r="I11" i="1"/>
  <c r="I12" i="1"/>
  <c r="I13" i="1"/>
  <c r="I14" i="1"/>
  <c r="I15" i="1"/>
  <c r="I16" i="1"/>
  <c r="I17" i="1"/>
  <c r="I18" i="1"/>
  <c r="I19" i="1"/>
  <c r="I20" i="1"/>
  <c r="I21" i="1"/>
  <c r="O21" i="1" s="1"/>
  <c r="S21" i="1" s="1"/>
  <c r="I22" i="1"/>
  <c r="I23" i="1"/>
  <c r="I24" i="1"/>
  <c r="I25" i="1"/>
  <c r="I26" i="1"/>
  <c r="I27" i="1"/>
  <c r="I28" i="1"/>
  <c r="I29" i="1"/>
  <c r="I30" i="1"/>
  <c r="I31" i="1"/>
  <c r="I32" i="1"/>
  <c r="I33" i="1"/>
  <c r="O33" i="1" s="1"/>
  <c r="S33" i="1" s="1"/>
  <c r="I34" i="1"/>
  <c r="I35" i="1"/>
  <c r="I36" i="1"/>
  <c r="I2" i="1"/>
  <c r="H3" i="1"/>
  <c r="H4" i="1"/>
  <c r="H5" i="1"/>
  <c r="H6" i="1"/>
  <c r="H7" i="1"/>
  <c r="P7" i="1" s="1"/>
  <c r="H8" i="1"/>
  <c r="H9" i="1"/>
  <c r="P9" i="1" s="1"/>
  <c r="H10" i="1"/>
  <c r="H11" i="1"/>
  <c r="P11" i="1" s="1"/>
  <c r="H12" i="1"/>
  <c r="H13" i="1"/>
  <c r="H14" i="1"/>
  <c r="H15" i="1"/>
  <c r="H16" i="1"/>
  <c r="H17" i="1"/>
  <c r="H18" i="1"/>
  <c r="H19" i="1"/>
  <c r="P19" i="1" s="1"/>
  <c r="H20" i="1"/>
  <c r="H21" i="1"/>
  <c r="P21" i="1" s="1"/>
  <c r="H22" i="1"/>
  <c r="H23" i="1"/>
  <c r="P23" i="1" s="1"/>
  <c r="H24" i="1"/>
  <c r="H25" i="1"/>
  <c r="H26" i="1"/>
  <c r="H27" i="1"/>
  <c r="H28" i="1"/>
  <c r="H29" i="1"/>
  <c r="H30" i="1"/>
  <c r="H31" i="1"/>
  <c r="P31" i="1" s="1"/>
  <c r="H32" i="1"/>
  <c r="H33" i="1"/>
  <c r="P33" i="1" s="1"/>
  <c r="H34" i="1"/>
  <c r="H35" i="1"/>
  <c r="P35" i="1" s="1"/>
  <c r="H36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Q34" i="1" s="1"/>
  <c r="E35" i="1"/>
  <c r="E36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2" i="1"/>
  <c r="N33" i="1" l="1"/>
  <c r="N10" i="1"/>
  <c r="O32" i="1"/>
  <c r="S32" i="1" s="1"/>
  <c r="O20" i="1"/>
  <c r="S20" i="1" s="1"/>
  <c r="O8" i="1"/>
  <c r="S8" i="1" s="1"/>
  <c r="L2" i="1"/>
  <c r="M2" i="1" s="1"/>
  <c r="L35" i="1"/>
  <c r="M35" i="1" s="1"/>
  <c r="L31" i="1"/>
  <c r="L9" i="1"/>
  <c r="L24" i="1"/>
  <c r="M24" i="1" s="1"/>
  <c r="L32" i="1"/>
  <c r="M32" i="1" s="1"/>
  <c r="L19" i="1"/>
  <c r="M19" i="1" s="1"/>
  <c r="L34" i="1"/>
  <c r="L25" i="1"/>
  <c r="L17" i="1"/>
  <c r="L18" i="1"/>
  <c r="L14" i="1"/>
  <c r="M14" i="1" s="1"/>
  <c r="L15" i="1"/>
  <c r="M15" i="1" s="1"/>
  <c r="L16" i="1"/>
  <c r="M16" i="1" s="1"/>
  <c r="L33" i="1"/>
  <c r="L13" i="1"/>
  <c r="M13" i="1" s="1"/>
  <c r="L6" i="1"/>
  <c r="M6" i="1" s="1"/>
  <c r="L12" i="1"/>
  <c r="M12" i="1" s="1"/>
  <c r="L10" i="1"/>
  <c r="M10" i="1" s="1"/>
  <c r="L7" i="1"/>
  <c r="L22" i="1"/>
  <c r="L36" i="1"/>
  <c r="L20" i="1"/>
  <c r="L28" i="1"/>
  <c r="M28" i="1" s="1"/>
  <c r="L4" i="1"/>
  <c r="M4" i="1" s="1"/>
  <c r="L11" i="1"/>
  <c r="N9" i="1"/>
  <c r="N6" i="1"/>
  <c r="N8" i="1"/>
  <c r="T8" i="1" s="1"/>
  <c r="N29" i="1"/>
  <c r="T29" i="1" s="1"/>
  <c r="O34" i="1"/>
  <c r="S34" i="1" s="1"/>
  <c r="O22" i="1"/>
  <c r="S22" i="1" s="1"/>
  <c r="O10" i="1"/>
  <c r="S10" i="1" s="1"/>
  <c r="J33" i="1"/>
  <c r="J29" i="1"/>
  <c r="J31" i="1"/>
  <c r="J18" i="1"/>
  <c r="K18" i="1" s="1"/>
  <c r="R18" i="1" s="1"/>
  <c r="P34" i="1"/>
  <c r="P22" i="1"/>
  <c r="P10" i="1"/>
  <c r="N31" i="1"/>
  <c r="T31" i="1" s="1"/>
  <c r="N24" i="1"/>
  <c r="T24" i="1" s="1"/>
  <c r="N32" i="1"/>
  <c r="T32" i="1" s="1"/>
  <c r="N19" i="1"/>
  <c r="N25" i="1"/>
  <c r="N17" i="1"/>
  <c r="N18" i="1"/>
  <c r="N26" i="1"/>
  <c r="N14" i="1"/>
  <c r="T14" i="1" s="1"/>
  <c r="N21" i="1"/>
  <c r="T21" i="1" s="1"/>
  <c r="N13" i="1"/>
  <c r="T13" i="1" s="1"/>
  <c r="N12" i="1"/>
  <c r="T12" i="1" s="1"/>
  <c r="N2" i="1"/>
  <c r="T22" i="1" s="1"/>
  <c r="N30" i="1"/>
  <c r="T30" i="1" s="1"/>
  <c r="N7" i="1"/>
  <c r="T7" i="1" s="1"/>
  <c r="N22" i="1"/>
  <c r="N36" i="1"/>
  <c r="N23" i="1"/>
  <c r="N34" i="1"/>
  <c r="N20" i="1"/>
  <c r="T20" i="1" s="1"/>
  <c r="N35" i="1"/>
  <c r="N5" i="1"/>
  <c r="T5" i="1" s="1"/>
  <c r="P32" i="1"/>
  <c r="P20" i="1"/>
  <c r="P8" i="1"/>
  <c r="O31" i="1"/>
  <c r="S31" i="1" s="1"/>
  <c r="O19" i="1"/>
  <c r="S19" i="1" s="1"/>
  <c r="O7" i="1"/>
  <c r="S7" i="1" s="1"/>
  <c r="O35" i="1"/>
  <c r="S35" i="1" s="1"/>
  <c r="O23" i="1"/>
  <c r="S23" i="1" s="1"/>
  <c r="O11" i="1"/>
  <c r="S11" i="1" s="1"/>
  <c r="M3" i="1"/>
  <c r="Q35" i="1"/>
  <c r="P30" i="1"/>
  <c r="Q33" i="1"/>
  <c r="Q9" i="1"/>
  <c r="Q21" i="1"/>
  <c r="P36" i="1"/>
  <c r="P24" i="1"/>
  <c r="P12" i="1"/>
  <c r="O36" i="1"/>
  <c r="S36" i="1" s="1"/>
  <c r="O24" i="1"/>
  <c r="S24" i="1" s="1"/>
  <c r="O12" i="1"/>
  <c r="S12" i="1" s="1"/>
  <c r="M29" i="1"/>
  <c r="Q22" i="1"/>
  <c r="Q24" i="1"/>
  <c r="Q23" i="1"/>
  <c r="P27" i="1"/>
  <c r="P15" i="1"/>
  <c r="P3" i="1"/>
  <c r="O27" i="1"/>
  <c r="S27" i="1" s="1"/>
  <c r="O15" i="1"/>
  <c r="S15" i="1" s="1"/>
  <c r="O3" i="1"/>
  <c r="S3" i="1" s="1"/>
  <c r="Q25" i="1"/>
  <c r="P26" i="1"/>
  <c r="P14" i="1"/>
  <c r="O26" i="1"/>
  <c r="S26" i="1" s="1"/>
  <c r="O14" i="1"/>
  <c r="S14" i="1" s="1"/>
  <c r="M18" i="1"/>
  <c r="Q26" i="1"/>
  <c r="P2" i="1"/>
  <c r="P25" i="1"/>
  <c r="P13" i="1"/>
  <c r="O2" i="1"/>
  <c r="S2" i="1" s="1"/>
  <c r="O25" i="1"/>
  <c r="S25" i="1" s="1"/>
  <c r="O13" i="1"/>
  <c r="S13" i="1" s="1"/>
  <c r="M5" i="1"/>
  <c r="Q20" i="1"/>
  <c r="Q2" i="1"/>
  <c r="Q13" i="1"/>
  <c r="P18" i="1"/>
  <c r="P6" i="1"/>
  <c r="O30" i="1"/>
  <c r="S30" i="1" s="1"/>
  <c r="O18" i="1"/>
  <c r="S18" i="1" s="1"/>
  <c r="O6" i="1"/>
  <c r="S6" i="1" s="1"/>
  <c r="Q32" i="1"/>
  <c r="Q8" i="1"/>
  <c r="Q14" i="1"/>
  <c r="Q36" i="1"/>
  <c r="Q12" i="1"/>
  <c r="Q11" i="1"/>
  <c r="Q10" i="1"/>
  <c r="Q31" i="1"/>
  <c r="Q6" i="1"/>
  <c r="Q5" i="1"/>
  <c r="Q30" i="1"/>
  <c r="Q17" i="1"/>
  <c r="Q16" i="1"/>
  <c r="Q15" i="1"/>
  <c r="P29" i="1"/>
  <c r="P17" i="1"/>
  <c r="P5" i="1"/>
  <c r="O29" i="1"/>
  <c r="S29" i="1" s="1"/>
  <c r="O17" i="1"/>
  <c r="S17" i="1" s="1"/>
  <c r="O5" i="1"/>
  <c r="S5" i="1" s="1"/>
  <c r="Q19" i="1"/>
  <c r="Q7" i="1"/>
  <c r="Q18" i="1"/>
  <c r="Q29" i="1"/>
  <c r="Q28" i="1"/>
  <c r="Q4" i="1"/>
  <c r="Q27" i="1"/>
  <c r="Q3" i="1"/>
  <c r="P28" i="1"/>
  <c r="P16" i="1"/>
  <c r="P4" i="1"/>
  <c r="O28" i="1"/>
  <c r="S28" i="1" s="1"/>
  <c r="O16" i="1"/>
  <c r="S16" i="1" s="1"/>
  <c r="O4" i="1"/>
  <c r="S4" i="1" s="1"/>
  <c r="M31" i="1"/>
  <c r="M27" i="1"/>
  <c r="M25" i="1"/>
  <c r="M21" i="1"/>
  <c r="M11" i="1"/>
  <c r="M36" i="1"/>
  <c r="M23" i="1"/>
  <c r="M20" i="1"/>
  <c r="M26" i="1"/>
  <c r="M34" i="1"/>
  <c r="M22" i="1"/>
  <c r="M8" i="1"/>
  <c r="M9" i="1"/>
  <c r="M33" i="1"/>
  <c r="M17" i="1"/>
  <c r="M30" i="1"/>
  <c r="M7" i="1"/>
  <c r="J7" i="1"/>
  <c r="K7" i="1" s="1"/>
  <c r="R7" i="1" s="1"/>
  <c r="J9" i="1"/>
  <c r="K9" i="1" s="1"/>
  <c r="R9" i="1" s="1"/>
  <c r="J3" i="1"/>
  <c r="K3" i="1" s="1"/>
  <c r="R3" i="1" s="1"/>
  <c r="J5" i="1"/>
  <c r="K5" i="1" s="1"/>
  <c r="R5" i="1" s="1"/>
  <c r="J23" i="1"/>
  <c r="K23" i="1" s="1"/>
  <c r="R23" i="1" s="1"/>
  <c r="J14" i="1"/>
  <c r="K14" i="1" s="1"/>
  <c r="R14" i="1" s="1"/>
  <c r="J35" i="1"/>
  <c r="K35" i="1" s="1"/>
  <c r="R35" i="1" s="1"/>
  <c r="J24" i="1"/>
  <c r="K24" i="1" s="1"/>
  <c r="R24" i="1" s="1"/>
  <c r="J17" i="1"/>
  <c r="K17" i="1" s="1"/>
  <c r="R17" i="1" s="1"/>
  <c r="J10" i="1"/>
  <c r="K10" i="1" s="1"/>
  <c r="R10" i="1" s="1"/>
  <c r="J32" i="1"/>
  <c r="K32" i="1" s="1"/>
  <c r="R32" i="1" s="1"/>
  <c r="J26" i="1"/>
  <c r="K26" i="1" s="1"/>
  <c r="R26" i="1" s="1"/>
  <c r="J13" i="1"/>
  <c r="K13" i="1" s="1"/>
  <c r="R13" i="1" s="1"/>
  <c r="J34" i="1"/>
  <c r="K34" i="1" s="1"/>
  <c r="R34" i="1" s="1"/>
  <c r="J28" i="1"/>
  <c r="K28" i="1" s="1"/>
  <c r="R28" i="1" s="1"/>
  <c r="J11" i="1"/>
  <c r="K11" i="1" s="1"/>
  <c r="R11" i="1" s="1"/>
  <c r="J36" i="1"/>
  <c r="K36" i="1" s="1"/>
  <c r="R36" i="1" s="1"/>
  <c r="J16" i="1"/>
  <c r="K16" i="1" s="1"/>
  <c r="R16" i="1" s="1"/>
  <c r="J27" i="1"/>
  <c r="K27" i="1" s="1"/>
  <c r="R27" i="1" s="1"/>
  <c r="J15" i="1"/>
  <c r="K15" i="1" s="1"/>
  <c r="R15" i="1" s="1"/>
  <c r="J12" i="1"/>
  <c r="K12" i="1" s="1"/>
  <c r="R12" i="1" s="1"/>
  <c r="J4" i="1"/>
  <c r="J19" i="1"/>
  <c r="K19" i="1" s="1"/>
  <c r="R19" i="1" s="1"/>
  <c r="J25" i="1"/>
  <c r="K25" i="1" s="1"/>
  <c r="R25" i="1" s="1"/>
  <c r="J22" i="1"/>
  <c r="K22" i="1" s="1"/>
  <c r="R22" i="1" s="1"/>
  <c r="J20" i="1"/>
  <c r="K20" i="1" s="1"/>
  <c r="R20" i="1" s="1"/>
  <c r="J21" i="1"/>
  <c r="K21" i="1" s="1"/>
  <c r="R21" i="1" s="1"/>
  <c r="J2" i="1"/>
  <c r="K2" i="1" s="1"/>
  <c r="R2" i="1" s="1"/>
  <c r="J8" i="1"/>
  <c r="K8" i="1" s="1"/>
  <c r="R8" i="1" s="1"/>
  <c r="K33" i="1"/>
  <c r="R33" i="1" s="1"/>
  <c r="K31" i="1"/>
  <c r="R31" i="1" s="1"/>
  <c r="K30" i="1"/>
  <c r="R30" i="1" s="1"/>
  <c r="K6" i="1"/>
  <c r="R6" i="1" s="1"/>
  <c r="K29" i="1"/>
  <c r="R29" i="1" s="1"/>
  <c r="T6" i="1" l="1"/>
  <c r="T35" i="1"/>
  <c r="T18" i="1"/>
  <c r="T9" i="1"/>
  <c r="T2" i="1"/>
  <c r="T33" i="1"/>
  <c r="T3" i="1"/>
  <c r="T34" i="1"/>
  <c r="T36" i="1"/>
  <c r="T27" i="1"/>
  <c r="T16" i="1"/>
  <c r="T4" i="1"/>
  <c r="T25" i="1"/>
  <c r="T17" i="1"/>
  <c r="T19" i="1"/>
  <c r="T10" i="1"/>
  <c r="T15" i="1"/>
  <c r="T28" i="1"/>
  <c r="T23" i="1"/>
  <c r="T26" i="1"/>
  <c r="T11" i="1"/>
  <c r="U3" i="1"/>
  <c r="V3" i="1" s="1"/>
  <c r="W3" i="1" s="1"/>
  <c r="U15" i="1"/>
  <c r="V15" i="1" s="1"/>
  <c r="W15" i="1" s="1"/>
  <c r="U27" i="1"/>
  <c r="V27" i="1" s="1"/>
  <c r="W27" i="1" s="1"/>
  <c r="U9" i="1"/>
  <c r="U10" i="1"/>
  <c r="U35" i="1"/>
  <c r="V35" i="1" s="1"/>
  <c r="W35" i="1" s="1"/>
  <c r="U25" i="1"/>
  <c r="V25" i="1" s="1"/>
  <c r="W25" i="1" s="1"/>
  <c r="U14" i="1"/>
  <c r="V14" i="1" s="1"/>
  <c r="W14" i="1" s="1"/>
  <c r="U4" i="1"/>
  <c r="U16" i="1"/>
  <c r="U28" i="1"/>
  <c r="V28" i="1" s="1"/>
  <c r="W28" i="1" s="1"/>
  <c r="U33" i="1"/>
  <c r="V33" i="1" s="1"/>
  <c r="W33" i="1" s="1"/>
  <c r="U11" i="1"/>
  <c r="V11" i="1" s="1"/>
  <c r="W11" i="1" s="1"/>
  <c r="U36" i="1"/>
  <c r="V36" i="1" s="1"/>
  <c r="W36" i="1" s="1"/>
  <c r="U2" i="1"/>
  <c r="V2" i="1" s="1"/>
  <c r="W2" i="1" s="1"/>
  <c r="U5" i="1"/>
  <c r="V5" i="1" s="1"/>
  <c r="W5" i="1" s="1"/>
  <c r="U17" i="1"/>
  <c r="V17" i="1" s="1"/>
  <c r="W17" i="1" s="1"/>
  <c r="U29" i="1"/>
  <c r="V29" i="1" s="1"/>
  <c r="W29" i="1" s="1"/>
  <c r="U22" i="1"/>
  <c r="V22" i="1" s="1"/>
  <c r="W22" i="1" s="1"/>
  <c r="U13" i="1"/>
  <c r="V13" i="1" s="1"/>
  <c r="W13" i="1" s="1"/>
  <c r="U6" i="1"/>
  <c r="V6" i="1" s="1"/>
  <c r="W6" i="1" s="1"/>
  <c r="U18" i="1"/>
  <c r="V18" i="1" s="1"/>
  <c r="W18" i="1" s="1"/>
  <c r="U30" i="1"/>
  <c r="V30" i="1" s="1"/>
  <c r="W30" i="1" s="1"/>
  <c r="U23" i="1"/>
  <c r="V23" i="1" s="1"/>
  <c r="W23" i="1" s="1"/>
  <c r="U24" i="1"/>
  <c r="V24" i="1" s="1"/>
  <c r="W24" i="1" s="1"/>
  <c r="U26" i="1"/>
  <c r="V26" i="1" s="1"/>
  <c r="W26" i="1" s="1"/>
  <c r="U7" i="1"/>
  <c r="V7" i="1" s="1"/>
  <c r="W7" i="1" s="1"/>
  <c r="U19" i="1"/>
  <c r="V19" i="1" s="1"/>
  <c r="W19" i="1" s="1"/>
  <c r="U31" i="1"/>
  <c r="V31" i="1" s="1"/>
  <c r="W31" i="1" s="1"/>
  <c r="U8" i="1"/>
  <c r="V8" i="1" s="1"/>
  <c r="W8" i="1" s="1"/>
  <c r="U20" i="1"/>
  <c r="V20" i="1" s="1"/>
  <c r="W20" i="1" s="1"/>
  <c r="U32" i="1"/>
  <c r="V32" i="1" s="1"/>
  <c r="W32" i="1" s="1"/>
  <c r="U21" i="1"/>
  <c r="V21" i="1" s="1"/>
  <c r="W21" i="1" s="1"/>
  <c r="U34" i="1"/>
  <c r="U12" i="1"/>
  <c r="V12" i="1" s="1"/>
  <c r="W12" i="1" s="1"/>
  <c r="K4" i="1"/>
  <c r="R4" i="1" s="1"/>
  <c r="V16" i="1" l="1"/>
  <c r="W16" i="1" s="1"/>
  <c r="V10" i="1"/>
  <c r="W10" i="1" s="1"/>
  <c r="V34" i="1"/>
  <c r="W34" i="1" s="1"/>
  <c r="V9" i="1"/>
  <c r="W9" i="1" s="1"/>
  <c r="V4" i="1"/>
  <c r="W4" i="1" s="1"/>
</calcChain>
</file>

<file path=xl/sharedStrings.xml><?xml version="1.0" encoding="utf-8"?>
<sst xmlns="http://schemas.openxmlformats.org/spreadsheetml/2006/main" count="12860" uniqueCount="2481">
  <si>
    <t>KPI</t>
  </si>
  <si>
    <t>Weight (%)</t>
  </si>
  <si>
    <t>On-Time Delivery %</t>
  </si>
  <si>
    <t>Defect Rate %</t>
  </si>
  <si>
    <t>Cost Competitiveness</t>
  </si>
  <si>
    <t>Average Lead Time</t>
  </si>
  <si>
    <t>Target Achievement</t>
  </si>
  <si>
    <t>Total</t>
  </si>
  <si>
    <t>Score Range</t>
  </si>
  <si>
    <t>Rating</t>
  </si>
  <si>
    <t>Recommended Action</t>
  </si>
  <si>
    <t>90–100</t>
  </si>
  <si>
    <t>Excellent</t>
  </si>
  <si>
    <t>Strategic Partner</t>
  </si>
  <si>
    <t>75–89</t>
  </si>
  <si>
    <t>Good</t>
  </si>
  <si>
    <t>Preferred Supplier</t>
  </si>
  <si>
    <t>60–74</t>
  </si>
  <si>
    <t>Average</t>
  </si>
  <si>
    <t>Monitor Performance</t>
  </si>
  <si>
    <t>Below 60</t>
  </si>
  <si>
    <t>Poor</t>
  </si>
  <si>
    <t>Corrective Action Plan</t>
  </si>
  <si>
    <t>Supplier_ID</t>
  </si>
  <si>
    <t>Supplier_Name</t>
  </si>
  <si>
    <t>Total PO</t>
  </si>
  <si>
    <t>Total Spend</t>
  </si>
  <si>
    <t>Ordered Qty</t>
  </si>
  <si>
    <t>Received Qty</t>
  </si>
  <si>
    <t>Accepted Qty</t>
  </si>
  <si>
    <t>Rejected Qty</t>
  </si>
  <si>
    <t>Late Delivery %</t>
  </si>
  <si>
    <t>Avg Lead Time</t>
  </si>
  <si>
    <t>Acceptance Rate %</t>
  </si>
  <si>
    <t>Avg Unit Price</t>
  </si>
  <si>
    <t>Cost Score</t>
  </si>
  <si>
    <t>Final Score</t>
  </si>
  <si>
    <t>Supplier Category</t>
  </si>
  <si>
    <t>SUP001</t>
  </si>
  <si>
    <t>SUP002</t>
  </si>
  <si>
    <t>SUP003</t>
  </si>
  <si>
    <t>SUP004</t>
  </si>
  <si>
    <t>SUP005</t>
  </si>
  <si>
    <t>SUP006</t>
  </si>
  <si>
    <t>SUP007</t>
  </si>
  <si>
    <t>SUP008</t>
  </si>
  <si>
    <t>SUP009</t>
  </si>
  <si>
    <t>SUP010</t>
  </si>
  <si>
    <t>SUP011</t>
  </si>
  <si>
    <t>SUP012</t>
  </si>
  <si>
    <t>SUP013</t>
  </si>
  <si>
    <t>SUP014</t>
  </si>
  <si>
    <t>SUP015</t>
  </si>
  <si>
    <t>SUP016</t>
  </si>
  <si>
    <t>SUP017</t>
  </si>
  <si>
    <t>SUP018</t>
  </si>
  <si>
    <t>SUP019</t>
  </si>
  <si>
    <t>SUP020</t>
  </si>
  <si>
    <t>SUP021</t>
  </si>
  <si>
    <t>SUP022</t>
  </si>
  <si>
    <t>SUP023</t>
  </si>
  <si>
    <t>SUP024</t>
  </si>
  <si>
    <t>SUP025</t>
  </si>
  <si>
    <t>SUP026</t>
  </si>
  <si>
    <t>SUP027</t>
  </si>
  <si>
    <t>SUP028</t>
  </si>
  <si>
    <t>SUP029</t>
  </si>
  <si>
    <t>SUP030</t>
  </si>
  <si>
    <t>SUP031</t>
  </si>
  <si>
    <t>SUP032</t>
  </si>
  <si>
    <t>SUP033</t>
  </si>
  <si>
    <t>SUP034</t>
  </si>
  <si>
    <t>SUP035</t>
  </si>
  <si>
    <t>On-Time Deliver</t>
  </si>
  <si>
    <t>Late Delivery</t>
  </si>
  <si>
    <t>On Time Score</t>
  </si>
  <si>
    <t>Quality Score</t>
  </si>
  <si>
    <t>Lead Time Score</t>
  </si>
  <si>
    <t>pcs</t>
  </si>
  <si>
    <t>Electrical Component</t>
  </si>
  <si>
    <t>Control Panel Board</t>
  </si>
  <si>
    <t>PRD080</t>
  </si>
  <si>
    <t>mtr</t>
  </si>
  <si>
    <t>Cable Tray 100mm</t>
  </si>
  <si>
    <t>PRD079</t>
  </si>
  <si>
    <t>Relay Module 8CH</t>
  </si>
  <si>
    <t>PRD078</t>
  </si>
  <si>
    <t>Servo Motor 2kW</t>
  </si>
  <si>
    <t>PRD077</t>
  </si>
  <si>
    <t>UPS System 10kVA</t>
  </si>
  <si>
    <t>PRD076</t>
  </si>
  <si>
    <t>Pressure Transmitter</t>
  </si>
  <si>
    <t>PRD075</t>
  </si>
  <si>
    <t>Temperature Sensor PT100</t>
  </si>
  <si>
    <t>PRD074</t>
  </si>
  <si>
    <t>Proximity Sensor</t>
  </si>
  <si>
    <t>PRD073</t>
  </si>
  <si>
    <t>HMI Panel 7 Inch</t>
  </si>
  <si>
    <t>PRD072</t>
  </si>
  <si>
    <t>Power Transformer 50kVA</t>
  </si>
  <si>
    <t>PRD071</t>
  </si>
  <si>
    <t>Circuit Breaker 63A</t>
  </si>
  <si>
    <t>PRD070</t>
  </si>
  <si>
    <t>Contactor 32A</t>
  </si>
  <si>
    <t>PRD069</t>
  </si>
  <si>
    <t>PLC Controller Siemens</t>
  </si>
  <si>
    <t>PRD068</t>
  </si>
  <si>
    <t>VFD Drive 7.5kW</t>
  </si>
  <si>
    <t>PRD067</t>
  </si>
  <si>
    <t>AC Motor 5HP</t>
  </si>
  <si>
    <t>PRD066</t>
  </si>
  <si>
    <t>Mechanical Component</t>
  </si>
  <si>
    <t>Stainless Steel Pipe 2 Inch</t>
  </si>
  <si>
    <t>PRD065</t>
  </si>
  <si>
    <t>Control Valve DN50</t>
  </si>
  <si>
    <t>PRD064</t>
  </si>
  <si>
    <t>Pressure Gauge 0-10 bar</t>
  </si>
  <si>
    <t>PRD063</t>
  </si>
  <si>
    <t>Centrifugal Pump 5HP</t>
  </si>
  <si>
    <t>PRD062</t>
  </si>
  <si>
    <t>Flange Coupling 80mm</t>
  </si>
  <si>
    <t>PRD061</t>
  </si>
  <si>
    <t>Chain Drive Assembly</t>
  </si>
  <si>
    <t>PRD060</t>
  </si>
  <si>
    <t>Mechanical Seal 50mm</t>
  </si>
  <si>
    <t>PRD059</t>
  </si>
  <si>
    <t>Gear Pump 10 LPM</t>
  </si>
  <si>
    <t>PRD058</t>
  </si>
  <si>
    <t>set</t>
  </si>
  <si>
    <t>V-Belt Set B Series</t>
  </si>
  <si>
    <t>PRD057</t>
  </si>
  <si>
    <t>Pneumatic Actuator</t>
  </si>
  <si>
    <t>PRD056</t>
  </si>
  <si>
    <t>Hydraulic Cylinder</t>
  </si>
  <si>
    <t>PRD055</t>
  </si>
  <si>
    <t>Ball Valve 2 Inch</t>
  </si>
  <si>
    <t>PRD054</t>
  </si>
  <si>
    <t>Gear Assembly 3-Stage</t>
  </si>
  <si>
    <t>PRD053</t>
  </si>
  <si>
    <t>Shaft Coupling 50mm</t>
  </si>
  <si>
    <t>PRD052</t>
  </si>
  <si>
    <t>Bearing SKF 6205</t>
  </si>
  <si>
    <t>PRD051</t>
  </si>
  <si>
    <t>cylinder</t>
  </si>
  <si>
    <t>Chemical</t>
  </si>
  <si>
    <t>Chlorine Gas</t>
  </si>
  <si>
    <t>PRD050</t>
  </si>
  <si>
    <t>litre</t>
  </si>
  <si>
    <t>Acetic Acid</t>
  </si>
  <si>
    <t>PRD049</t>
  </si>
  <si>
    <t>kg</t>
  </si>
  <si>
    <t>Potassium Hydroxide</t>
  </si>
  <si>
    <t>PRD048</t>
  </si>
  <si>
    <t>Ammonium Nitrate</t>
  </si>
  <si>
    <t>PRD047</t>
  </si>
  <si>
    <t>Methanol</t>
  </si>
  <si>
    <t>PRD046</t>
  </si>
  <si>
    <t>Isopropyl Alcohol</t>
  </si>
  <si>
    <t>PRD045</t>
  </si>
  <si>
    <t>Hydrogen Peroxide</t>
  </si>
  <si>
    <t>PRD044</t>
  </si>
  <si>
    <t>Sodium Carbonate</t>
  </si>
  <si>
    <t>PRD043</t>
  </si>
  <si>
    <t>Citric Acid</t>
  </si>
  <si>
    <t>PRD042</t>
  </si>
  <si>
    <t>Toluene</t>
  </si>
  <si>
    <t>PRD041</t>
  </si>
  <si>
    <t>Acetone</t>
  </si>
  <si>
    <t>PRD040</t>
  </si>
  <si>
    <t>Ethanol Industrial</t>
  </si>
  <si>
    <t>PRD039</t>
  </si>
  <si>
    <t>Sulphuric Acid</t>
  </si>
  <si>
    <t>PRD038</t>
  </si>
  <si>
    <t>Hydrochloric Acid</t>
  </si>
  <si>
    <t>PRD037</t>
  </si>
  <si>
    <t>Sodium Hydroxide</t>
  </si>
  <si>
    <t>PRD036</t>
  </si>
  <si>
    <t>Packaging</t>
  </si>
  <si>
    <t>PP Woven Bag</t>
  </si>
  <si>
    <t>PRD035</t>
  </si>
  <si>
    <t>Desiccant Sachet</t>
  </si>
  <si>
    <t>PRD034</t>
  </si>
  <si>
    <t>Vacuum Bag</t>
  </si>
  <si>
    <t>PRD033</t>
  </si>
  <si>
    <t>Anti-Static Bag</t>
  </si>
  <si>
    <t>PRD032</t>
  </si>
  <si>
    <t>roll</t>
  </si>
  <si>
    <t>Carton Sealing Tape</t>
  </si>
  <si>
    <t>PRD031</t>
  </si>
  <si>
    <t>Label Paper Roll</t>
  </si>
  <si>
    <t>PRD030</t>
  </si>
  <si>
    <t>sheet</t>
  </si>
  <si>
    <t>Foam Sheet</t>
  </si>
  <si>
    <t>PRD029</t>
  </si>
  <si>
    <t>Plastic Pallet</t>
  </si>
  <si>
    <t>PRD028</t>
  </si>
  <si>
    <t>Wooden Pallet</t>
  </si>
  <si>
    <t>PRD027</t>
  </si>
  <si>
    <t>Stretch Film</t>
  </si>
  <si>
    <t>PRD026</t>
  </si>
  <si>
    <t>BOPP Tape</t>
  </si>
  <si>
    <t>PRD025</t>
  </si>
  <si>
    <t>Bubble Wrap Roll</t>
  </si>
  <si>
    <t>PRD024</t>
  </si>
  <si>
    <t>Shrink Wrap Film</t>
  </si>
  <si>
    <t>PRD023</t>
  </si>
  <si>
    <t>Corrugated Box 3-Ply</t>
  </si>
  <si>
    <t>PRD022</t>
  </si>
  <si>
    <t>Corrugated Box 5-Ply</t>
  </si>
  <si>
    <t>PRD021</t>
  </si>
  <si>
    <t>Raw Material</t>
  </si>
  <si>
    <t>Graphite Powder</t>
  </si>
  <si>
    <t>PRD020</t>
  </si>
  <si>
    <t>MT</t>
  </si>
  <si>
    <t>Bauxite Ore</t>
  </si>
  <si>
    <t>PRD019</t>
  </si>
  <si>
    <t>Calcium Carbonate</t>
  </si>
  <si>
    <t>PRD018</t>
  </si>
  <si>
    <t>Manganese Dioxide</t>
  </si>
  <si>
    <t>PRD017</t>
  </si>
  <si>
    <t>Tin Powder</t>
  </si>
  <si>
    <t>PRD016</t>
  </si>
  <si>
    <t>Lead Ingot</t>
  </si>
  <si>
    <t>PRD015</t>
  </si>
  <si>
    <t>Magnesium Ingot</t>
  </si>
  <si>
    <t>PRD014</t>
  </si>
  <si>
    <t>Nickel Powder</t>
  </si>
  <si>
    <t>PRD013</t>
  </si>
  <si>
    <t>Titanium Sponge</t>
  </si>
  <si>
    <t>PRD012</t>
  </si>
  <si>
    <t>Carbon Black</t>
  </si>
  <si>
    <t>PRD011</t>
  </si>
  <si>
    <t>Nylon 66 Pellets</t>
  </si>
  <si>
    <t>PRD010</t>
  </si>
  <si>
    <t>PVC Compound</t>
  </si>
  <si>
    <t>PRD009</t>
  </si>
  <si>
    <t>HDPE Resin</t>
  </si>
  <si>
    <t>PRD008</t>
  </si>
  <si>
    <t>Polypropylene Granules</t>
  </si>
  <si>
    <t>PRD007</t>
  </si>
  <si>
    <t>Silica Sand</t>
  </si>
  <si>
    <t>PRD006</t>
  </si>
  <si>
    <t>Zinc Oxide</t>
  </si>
  <si>
    <t>PRD005</t>
  </si>
  <si>
    <t>Iron Ore Pellets</t>
  </si>
  <si>
    <t>PRD004</t>
  </si>
  <si>
    <t>Copper Rod</t>
  </si>
  <si>
    <t>PRD003</t>
  </si>
  <si>
    <t>Steel Coil</t>
  </si>
  <si>
    <t>PRD002</t>
  </si>
  <si>
    <t>Aluminium Ingot</t>
  </si>
  <si>
    <t>PRD001</t>
  </si>
  <si>
    <t>Standard_Cost</t>
  </si>
  <si>
    <t>Unit</t>
  </si>
  <si>
    <t>Category</t>
  </si>
  <si>
    <t>Product_Name</t>
  </si>
  <si>
    <t>Product_ID</t>
  </si>
  <si>
    <t>PO02000</t>
  </si>
  <si>
    <t>PO01999</t>
  </si>
  <si>
    <t>PO01998</t>
  </si>
  <si>
    <t>PO01997</t>
  </si>
  <si>
    <t>PO01996</t>
  </si>
  <si>
    <t>PO01995</t>
  </si>
  <si>
    <t>PO01994</t>
  </si>
  <si>
    <t>PO01993</t>
  </si>
  <si>
    <t>PO01992</t>
  </si>
  <si>
    <t>PO01991</t>
  </si>
  <si>
    <t>PO01990</t>
  </si>
  <si>
    <t>PO01989</t>
  </si>
  <si>
    <t>PO01988</t>
  </si>
  <si>
    <t>PO01987</t>
  </si>
  <si>
    <t>PO01986</t>
  </si>
  <si>
    <t>PO01985</t>
  </si>
  <si>
    <t>PO01984</t>
  </si>
  <si>
    <t>PO01983</t>
  </si>
  <si>
    <t>PO01982</t>
  </si>
  <si>
    <t>PO01981</t>
  </si>
  <si>
    <t>PO01980</t>
  </si>
  <si>
    <t>PO01979</t>
  </si>
  <si>
    <t>PO01978</t>
  </si>
  <si>
    <t>PO01977</t>
  </si>
  <si>
    <t>PO01976</t>
  </si>
  <si>
    <t>PO01975</t>
  </si>
  <si>
    <t>PO01974</t>
  </si>
  <si>
    <t>PO01973</t>
  </si>
  <si>
    <t>PO01972</t>
  </si>
  <si>
    <t>PO01971</t>
  </si>
  <si>
    <t>PO01970</t>
  </si>
  <si>
    <t>PO01969</t>
  </si>
  <si>
    <t>PO01968</t>
  </si>
  <si>
    <t>PO01967</t>
  </si>
  <si>
    <t>PO01966</t>
  </si>
  <si>
    <t>PO01965</t>
  </si>
  <si>
    <t>PO01964</t>
  </si>
  <si>
    <t>PO01963</t>
  </si>
  <si>
    <t>PO01962</t>
  </si>
  <si>
    <t>PO01961</t>
  </si>
  <si>
    <t>PO01960</t>
  </si>
  <si>
    <t>PO01959</t>
  </si>
  <si>
    <t>PO01958</t>
  </si>
  <si>
    <t>PO01957</t>
  </si>
  <si>
    <t>PO01956</t>
  </si>
  <si>
    <t>PO01955</t>
  </si>
  <si>
    <t>PO01954</t>
  </si>
  <si>
    <t>PO01953</t>
  </si>
  <si>
    <t>PO01952</t>
  </si>
  <si>
    <t>PO01951</t>
  </si>
  <si>
    <t>PO01950</t>
  </si>
  <si>
    <t>PO01949</t>
  </si>
  <si>
    <t>PO01948</t>
  </si>
  <si>
    <t>PO01947</t>
  </si>
  <si>
    <t>PO01946</t>
  </si>
  <si>
    <t>PO01945</t>
  </si>
  <si>
    <t>PO01944</t>
  </si>
  <si>
    <t>PO01943</t>
  </si>
  <si>
    <t>PO01942</t>
  </si>
  <si>
    <t>PO01941</t>
  </si>
  <si>
    <t>PO01940</t>
  </si>
  <si>
    <t>PO01939</t>
  </si>
  <si>
    <t>PO01938</t>
  </si>
  <si>
    <t>PO01937</t>
  </si>
  <si>
    <t>PO01936</t>
  </si>
  <si>
    <t>PO01935</t>
  </si>
  <si>
    <t>PO01934</t>
  </si>
  <si>
    <t>PO01933</t>
  </si>
  <si>
    <t>PO01932</t>
  </si>
  <si>
    <t>PO01931</t>
  </si>
  <si>
    <t>PO01930</t>
  </si>
  <si>
    <t>PO01929</t>
  </si>
  <si>
    <t>PO01928</t>
  </si>
  <si>
    <t>PO01927</t>
  </si>
  <si>
    <t>PO01926</t>
  </si>
  <si>
    <t>PO01925</t>
  </si>
  <si>
    <t>PO01924</t>
  </si>
  <si>
    <t>PO01923</t>
  </si>
  <si>
    <t>PO01922</t>
  </si>
  <si>
    <t>PO01921</t>
  </si>
  <si>
    <t>PO01920</t>
  </si>
  <si>
    <t>PO01919</t>
  </si>
  <si>
    <t>PO01918</t>
  </si>
  <si>
    <t>PO01917</t>
  </si>
  <si>
    <t>PO01916</t>
  </si>
  <si>
    <t>PO01915</t>
  </si>
  <si>
    <t>PO01914</t>
  </si>
  <si>
    <t>PO01913</t>
  </si>
  <si>
    <t>PO01912</t>
  </si>
  <si>
    <t>PO01911</t>
  </si>
  <si>
    <t>PO01910</t>
  </si>
  <si>
    <t>PO01909</t>
  </si>
  <si>
    <t>PO01908</t>
  </si>
  <si>
    <t>PO01907</t>
  </si>
  <si>
    <t>PO01906</t>
  </si>
  <si>
    <t>PO01905</t>
  </si>
  <si>
    <t>PO01904</t>
  </si>
  <si>
    <t>PO01903</t>
  </si>
  <si>
    <t>PO01902</t>
  </si>
  <si>
    <t>PO01901</t>
  </si>
  <si>
    <t>PO01900</t>
  </si>
  <si>
    <t>PO01899</t>
  </si>
  <si>
    <t>PO01898</t>
  </si>
  <si>
    <t>PO01897</t>
  </si>
  <si>
    <t>PO01896</t>
  </si>
  <si>
    <t>PO01895</t>
  </si>
  <si>
    <t>PO01894</t>
  </si>
  <si>
    <t>PO01893</t>
  </si>
  <si>
    <t>PO01892</t>
  </si>
  <si>
    <t>PO01891</t>
  </si>
  <si>
    <t>PO01890</t>
  </si>
  <si>
    <t>PO01889</t>
  </si>
  <si>
    <t>PO01888</t>
  </si>
  <si>
    <t>PO01887</t>
  </si>
  <si>
    <t>PO01886</t>
  </si>
  <si>
    <t>PO01885</t>
  </si>
  <si>
    <t>PO01884</t>
  </si>
  <si>
    <t>PO01883</t>
  </si>
  <si>
    <t>PO01882</t>
  </si>
  <si>
    <t>PO01881</t>
  </si>
  <si>
    <t>PO01880</t>
  </si>
  <si>
    <t>PO01879</t>
  </si>
  <si>
    <t>PO01878</t>
  </si>
  <si>
    <t>PO01877</t>
  </si>
  <si>
    <t>PO01876</t>
  </si>
  <si>
    <t>PO01875</t>
  </si>
  <si>
    <t>PO01874</t>
  </si>
  <si>
    <t>PO01873</t>
  </si>
  <si>
    <t>PO01872</t>
  </si>
  <si>
    <t>PO01871</t>
  </si>
  <si>
    <t>PO01870</t>
  </si>
  <si>
    <t>PO01869</t>
  </si>
  <si>
    <t>PO01868</t>
  </si>
  <si>
    <t>PO01867</t>
  </si>
  <si>
    <t>PO01866</t>
  </si>
  <si>
    <t>PO01865</t>
  </si>
  <si>
    <t>PO01864</t>
  </si>
  <si>
    <t>PO01863</t>
  </si>
  <si>
    <t>PO01862</t>
  </si>
  <si>
    <t>PO01861</t>
  </si>
  <si>
    <t>PO01860</t>
  </si>
  <si>
    <t>PO01859</t>
  </si>
  <si>
    <t>PO01858</t>
  </si>
  <si>
    <t>PO01857</t>
  </si>
  <si>
    <t>PO01856</t>
  </si>
  <si>
    <t>PO01855</t>
  </si>
  <si>
    <t>PO01854</t>
  </si>
  <si>
    <t>PO01853</t>
  </si>
  <si>
    <t>PO01852</t>
  </si>
  <si>
    <t>PO01851</t>
  </si>
  <si>
    <t>PO01850</t>
  </si>
  <si>
    <t>PO01849</t>
  </si>
  <si>
    <t>PO01848</t>
  </si>
  <si>
    <t>PO01847</t>
  </si>
  <si>
    <t>PO01846</t>
  </si>
  <si>
    <t>PO01845</t>
  </si>
  <si>
    <t>PO01844</t>
  </si>
  <si>
    <t>PO01843</t>
  </si>
  <si>
    <t>PO01842</t>
  </si>
  <si>
    <t>PO01841</t>
  </si>
  <si>
    <t>PO01840</t>
  </si>
  <si>
    <t>PO01839</t>
  </si>
  <si>
    <t>PO01838</t>
  </si>
  <si>
    <t>PO01837</t>
  </si>
  <si>
    <t>PO01836</t>
  </si>
  <si>
    <t>PO01835</t>
  </si>
  <si>
    <t>PO01834</t>
  </si>
  <si>
    <t>PO01833</t>
  </si>
  <si>
    <t>PO01832</t>
  </si>
  <si>
    <t>PO01831</t>
  </si>
  <si>
    <t>PO01830</t>
  </si>
  <si>
    <t>PO01829</t>
  </si>
  <si>
    <t>PO01828</t>
  </si>
  <si>
    <t>PO01827</t>
  </si>
  <si>
    <t>PO01826</t>
  </si>
  <si>
    <t>PO01825</t>
  </si>
  <si>
    <t>PO01824</t>
  </si>
  <si>
    <t>PO01823</t>
  </si>
  <si>
    <t>PO01822</t>
  </si>
  <si>
    <t>PO01821</t>
  </si>
  <si>
    <t>PO01820</t>
  </si>
  <si>
    <t>PO01819</t>
  </si>
  <si>
    <t>PO01818</t>
  </si>
  <si>
    <t>PO01817</t>
  </si>
  <si>
    <t>PO01816</t>
  </si>
  <si>
    <t>PO01815</t>
  </si>
  <si>
    <t>PO01814</t>
  </si>
  <si>
    <t>PO01813</t>
  </si>
  <si>
    <t>PO01812</t>
  </si>
  <si>
    <t>PO01811</t>
  </si>
  <si>
    <t>PO01810</t>
  </si>
  <si>
    <t>PO01809</t>
  </si>
  <si>
    <t>PO01808</t>
  </si>
  <si>
    <t>PO01807</t>
  </si>
  <si>
    <t>PO01806</t>
  </si>
  <si>
    <t>PO01805</t>
  </si>
  <si>
    <t>PO01804</t>
  </si>
  <si>
    <t>PO01803</t>
  </si>
  <si>
    <t>PO01802</t>
  </si>
  <si>
    <t>PO01801</t>
  </si>
  <si>
    <t>PO01800</t>
  </si>
  <si>
    <t>PO01799</t>
  </si>
  <si>
    <t>PO01798</t>
  </si>
  <si>
    <t>PO01797</t>
  </si>
  <si>
    <t>PO01796</t>
  </si>
  <si>
    <t>PO01795</t>
  </si>
  <si>
    <t>PO01794</t>
  </si>
  <si>
    <t>PO01793</t>
  </si>
  <si>
    <t>PO01792</t>
  </si>
  <si>
    <t>PO01791</t>
  </si>
  <si>
    <t>PO01790</t>
  </si>
  <si>
    <t>PO01789</t>
  </si>
  <si>
    <t>PO01788</t>
  </si>
  <si>
    <t>PO01787</t>
  </si>
  <si>
    <t>PO01786</t>
  </si>
  <si>
    <t>PO01785</t>
  </si>
  <si>
    <t>PO01784</t>
  </si>
  <si>
    <t>PO01783</t>
  </si>
  <si>
    <t>PO01782</t>
  </si>
  <si>
    <t>PO01781</t>
  </si>
  <si>
    <t>PO01780</t>
  </si>
  <si>
    <t>PO01779</t>
  </si>
  <si>
    <t>PO01778</t>
  </si>
  <si>
    <t>PO01777</t>
  </si>
  <si>
    <t>PO01776</t>
  </si>
  <si>
    <t>PO01775</t>
  </si>
  <si>
    <t>PO01774</t>
  </si>
  <si>
    <t>PO01773</t>
  </si>
  <si>
    <t>PO01772</t>
  </si>
  <si>
    <t>PO01771</t>
  </si>
  <si>
    <t>PO01770</t>
  </si>
  <si>
    <t>PO01769</t>
  </si>
  <si>
    <t>PO01768</t>
  </si>
  <si>
    <t>PO01767</t>
  </si>
  <si>
    <t>PO01766</t>
  </si>
  <si>
    <t>PO01765</t>
  </si>
  <si>
    <t>PO01764</t>
  </si>
  <si>
    <t>PO01763</t>
  </si>
  <si>
    <t>PO01762</t>
  </si>
  <si>
    <t>PO01761</t>
  </si>
  <si>
    <t>PO01760</t>
  </si>
  <si>
    <t>PO01759</t>
  </si>
  <si>
    <t>PO01758</t>
  </si>
  <si>
    <t>PO01757</t>
  </si>
  <si>
    <t>PO01756</t>
  </si>
  <si>
    <t>PO01755</t>
  </si>
  <si>
    <t>PO01754</t>
  </si>
  <si>
    <t>PO01753</t>
  </si>
  <si>
    <t>PO01752</t>
  </si>
  <si>
    <t>PO01751</t>
  </si>
  <si>
    <t>PO01750</t>
  </si>
  <si>
    <t>PO01749</t>
  </si>
  <si>
    <t>PO01748</t>
  </si>
  <si>
    <t>PO01747</t>
  </si>
  <si>
    <t>PO01746</t>
  </si>
  <si>
    <t>PO01745</t>
  </si>
  <si>
    <t>PO01744</t>
  </si>
  <si>
    <t>PO01743</t>
  </si>
  <si>
    <t>PO01742</t>
  </si>
  <si>
    <t>PO01741</t>
  </si>
  <si>
    <t>PO01740</t>
  </si>
  <si>
    <t>PO01739</t>
  </si>
  <si>
    <t>PO01738</t>
  </si>
  <si>
    <t>PO01737</t>
  </si>
  <si>
    <t>PO01736</t>
  </si>
  <si>
    <t>PO01735</t>
  </si>
  <si>
    <t>PO01734</t>
  </si>
  <si>
    <t>PO01733</t>
  </si>
  <si>
    <t>PO01732</t>
  </si>
  <si>
    <t>PO01731</t>
  </si>
  <si>
    <t>PO01730</t>
  </si>
  <si>
    <t>PO01729</t>
  </si>
  <si>
    <t>PO01728</t>
  </si>
  <si>
    <t>PO01727</t>
  </si>
  <si>
    <t>PO01726</t>
  </si>
  <si>
    <t>PO01725</t>
  </si>
  <si>
    <t>PO01724</t>
  </si>
  <si>
    <t>PO01723</t>
  </si>
  <si>
    <t>PO01722</t>
  </si>
  <si>
    <t>PO01721</t>
  </si>
  <si>
    <t>PO01720</t>
  </si>
  <si>
    <t>PO01719</t>
  </si>
  <si>
    <t>PO01718</t>
  </si>
  <si>
    <t>PO01717</t>
  </si>
  <si>
    <t>PO01716</t>
  </si>
  <si>
    <t>PO01715</t>
  </si>
  <si>
    <t>PO01714</t>
  </si>
  <si>
    <t>PO01713</t>
  </si>
  <si>
    <t>PO01712</t>
  </si>
  <si>
    <t>PO01711</t>
  </si>
  <si>
    <t>PO01710</t>
  </si>
  <si>
    <t>PO01709</t>
  </si>
  <si>
    <t>PO01708</t>
  </si>
  <si>
    <t>PO01707</t>
  </si>
  <si>
    <t>PO01706</t>
  </si>
  <si>
    <t>PO01705</t>
  </si>
  <si>
    <t>PO01704</t>
  </si>
  <si>
    <t>PO01703</t>
  </si>
  <si>
    <t>PO01702</t>
  </si>
  <si>
    <t>PO01701</t>
  </si>
  <si>
    <t>PO01700</t>
  </si>
  <si>
    <t>PO01699</t>
  </si>
  <si>
    <t>PO01698</t>
  </si>
  <si>
    <t>PO01697</t>
  </si>
  <si>
    <t>PO01696</t>
  </si>
  <si>
    <t>PO01695</t>
  </si>
  <si>
    <t>PO01694</t>
  </si>
  <si>
    <t>PO01693</t>
  </si>
  <si>
    <t>PO01692</t>
  </si>
  <si>
    <t>PO01691</t>
  </si>
  <si>
    <t>PO01690</t>
  </si>
  <si>
    <t>PO01689</t>
  </si>
  <si>
    <t>PO01688</t>
  </si>
  <si>
    <t>PO01687</t>
  </si>
  <si>
    <t>PO01686</t>
  </si>
  <si>
    <t>PO01685</t>
  </si>
  <si>
    <t>PO01684</t>
  </si>
  <si>
    <t>PO01683</t>
  </si>
  <si>
    <t>PO01682</t>
  </si>
  <si>
    <t>PO01681</t>
  </si>
  <si>
    <t>PO01680</t>
  </si>
  <si>
    <t>PO01679</t>
  </si>
  <si>
    <t>PO01678</t>
  </si>
  <si>
    <t>PO01677</t>
  </si>
  <si>
    <t>PO01676</t>
  </si>
  <si>
    <t>PO01675</t>
  </si>
  <si>
    <t>PO01674</t>
  </si>
  <si>
    <t>PO01673</t>
  </si>
  <si>
    <t>PO01672</t>
  </si>
  <si>
    <t>PO01671</t>
  </si>
  <si>
    <t>PO01670</t>
  </si>
  <si>
    <t>PO01669</t>
  </si>
  <si>
    <t>PO01668</t>
  </si>
  <si>
    <t>PO01667</t>
  </si>
  <si>
    <t>PO01666</t>
  </si>
  <si>
    <t>PO01665</t>
  </si>
  <si>
    <t>PO01664</t>
  </si>
  <si>
    <t>PO01663</t>
  </si>
  <si>
    <t>PO01662</t>
  </si>
  <si>
    <t>PO01661</t>
  </si>
  <si>
    <t>PO01660</t>
  </si>
  <si>
    <t>PO01659</t>
  </si>
  <si>
    <t>PO01658</t>
  </si>
  <si>
    <t>PO01657</t>
  </si>
  <si>
    <t>PO01656</t>
  </si>
  <si>
    <t>PO01655</t>
  </si>
  <si>
    <t>PO01654</t>
  </si>
  <si>
    <t>PO01653</t>
  </si>
  <si>
    <t>PO01652</t>
  </si>
  <si>
    <t>PO01651</t>
  </si>
  <si>
    <t>PO01650</t>
  </si>
  <si>
    <t>PO01649</t>
  </si>
  <si>
    <t>PO01648</t>
  </si>
  <si>
    <t>PO01647</t>
  </si>
  <si>
    <t>PO01646</t>
  </si>
  <si>
    <t>PO01645</t>
  </si>
  <si>
    <t>PO01644</t>
  </si>
  <si>
    <t>PO01643</t>
  </si>
  <si>
    <t>PO01642</t>
  </si>
  <si>
    <t>PO01641</t>
  </si>
  <si>
    <t>PO01640</t>
  </si>
  <si>
    <t>PO01639</t>
  </si>
  <si>
    <t>PO01638</t>
  </si>
  <si>
    <t>PO01637</t>
  </si>
  <si>
    <t>PO01636</t>
  </si>
  <si>
    <t>PO01635</t>
  </si>
  <si>
    <t>PO01634</t>
  </si>
  <si>
    <t>PO01633</t>
  </si>
  <si>
    <t>PO01632</t>
  </si>
  <si>
    <t>PO01631</t>
  </si>
  <si>
    <t>PO01630</t>
  </si>
  <si>
    <t>PO01629</t>
  </si>
  <si>
    <t>PO01628</t>
  </si>
  <si>
    <t>PO01627</t>
  </si>
  <si>
    <t>PO01626</t>
  </si>
  <si>
    <t>PO01625</t>
  </si>
  <si>
    <t>PO01624</t>
  </si>
  <si>
    <t>PO01623</t>
  </si>
  <si>
    <t>PO01622</t>
  </si>
  <si>
    <t>PO01621</t>
  </si>
  <si>
    <t>PO01620</t>
  </si>
  <si>
    <t>PO01619</t>
  </si>
  <si>
    <t>PO01618</t>
  </si>
  <si>
    <t>PO01617</t>
  </si>
  <si>
    <t>PO01616</t>
  </si>
  <si>
    <t>PO01615</t>
  </si>
  <si>
    <t>PO01614</t>
  </si>
  <si>
    <t>PO01613</t>
  </si>
  <si>
    <t>PO01612</t>
  </si>
  <si>
    <t>PO01611</t>
  </si>
  <si>
    <t>PO01610</t>
  </si>
  <si>
    <t>PO01609</t>
  </si>
  <si>
    <t>PO01608</t>
  </si>
  <si>
    <t>PO01607</t>
  </si>
  <si>
    <t>PO01606</t>
  </si>
  <si>
    <t>PO01605</t>
  </si>
  <si>
    <t>PO01604</t>
  </si>
  <si>
    <t>PO01603</t>
  </si>
  <si>
    <t>PO01602</t>
  </si>
  <si>
    <t>PO01601</t>
  </si>
  <si>
    <t>PO01600</t>
  </si>
  <si>
    <t>PO01599</t>
  </si>
  <si>
    <t>PO01598</t>
  </si>
  <si>
    <t>PO01597</t>
  </si>
  <si>
    <t>PO01596</t>
  </si>
  <si>
    <t>PO01595</t>
  </si>
  <si>
    <t>PO01594</t>
  </si>
  <si>
    <t>PO01593</t>
  </si>
  <si>
    <t>PO01592</t>
  </si>
  <si>
    <t>PO01591</t>
  </si>
  <si>
    <t>PO01590</t>
  </si>
  <si>
    <t>PO01589</t>
  </si>
  <si>
    <t>PO01588</t>
  </si>
  <si>
    <t>PO01587</t>
  </si>
  <si>
    <t>PO01586</t>
  </si>
  <si>
    <t>PO01585</t>
  </si>
  <si>
    <t>PO01584</t>
  </si>
  <si>
    <t>PO01583</t>
  </si>
  <si>
    <t>PO01582</t>
  </si>
  <si>
    <t>PO01581</t>
  </si>
  <si>
    <t>PO01580</t>
  </si>
  <si>
    <t>PO01579</t>
  </si>
  <si>
    <t>PO01578</t>
  </si>
  <si>
    <t>PO01577</t>
  </si>
  <si>
    <t>PO01576</t>
  </si>
  <si>
    <t>PO01575</t>
  </si>
  <si>
    <t>PO01574</t>
  </si>
  <si>
    <t>PO01573</t>
  </si>
  <si>
    <t>PO01572</t>
  </si>
  <si>
    <t>PO01571</t>
  </si>
  <si>
    <t>PO01570</t>
  </si>
  <si>
    <t>PO01569</t>
  </si>
  <si>
    <t>PO01568</t>
  </si>
  <si>
    <t>PO01567</t>
  </si>
  <si>
    <t>PO01566</t>
  </si>
  <si>
    <t>PO01565</t>
  </si>
  <si>
    <t>PO01564</t>
  </si>
  <si>
    <t>PO01563</t>
  </si>
  <si>
    <t>PO01562</t>
  </si>
  <si>
    <t>PO01561</t>
  </si>
  <si>
    <t>PO01560</t>
  </si>
  <si>
    <t>PO01559</t>
  </si>
  <si>
    <t>PO01558</t>
  </si>
  <si>
    <t>PO01557</t>
  </si>
  <si>
    <t>PO01556</t>
  </si>
  <si>
    <t>PO01555</t>
  </si>
  <si>
    <t>PO01554</t>
  </si>
  <si>
    <t>PO01553</t>
  </si>
  <si>
    <t>PO01552</t>
  </si>
  <si>
    <t>PO01551</t>
  </si>
  <si>
    <t>PO01550</t>
  </si>
  <si>
    <t>PO01549</t>
  </si>
  <si>
    <t>PO01548</t>
  </si>
  <si>
    <t>PO01547</t>
  </si>
  <si>
    <t>PO01546</t>
  </si>
  <si>
    <t>PO01545</t>
  </si>
  <si>
    <t>PO01544</t>
  </si>
  <si>
    <t>PO01543</t>
  </si>
  <si>
    <t>PO01542</t>
  </si>
  <si>
    <t>PO01541</t>
  </si>
  <si>
    <t>PO01540</t>
  </si>
  <si>
    <t>PO01539</t>
  </si>
  <si>
    <t>PO01538</t>
  </si>
  <si>
    <t>PO01537</t>
  </si>
  <si>
    <t>PO01536</t>
  </si>
  <si>
    <t>PO01535</t>
  </si>
  <si>
    <t>PO01534</t>
  </si>
  <si>
    <t>PO01533</t>
  </si>
  <si>
    <t>PO01532</t>
  </si>
  <si>
    <t>PO01531</t>
  </si>
  <si>
    <t>PO01530</t>
  </si>
  <si>
    <t>PO01529</t>
  </si>
  <si>
    <t>PO01528</t>
  </si>
  <si>
    <t>PO01527</t>
  </si>
  <si>
    <t>PO01526</t>
  </si>
  <si>
    <t>PO01525</t>
  </si>
  <si>
    <t>PO01524</t>
  </si>
  <si>
    <t>PO01523</t>
  </si>
  <si>
    <t>PO01522</t>
  </si>
  <si>
    <t>PO01521</t>
  </si>
  <si>
    <t>PO01520</t>
  </si>
  <si>
    <t>PO01519</t>
  </si>
  <si>
    <t>PO01518</t>
  </si>
  <si>
    <t>PO01517</t>
  </si>
  <si>
    <t>PO01516</t>
  </si>
  <si>
    <t>PO01515</t>
  </si>
  <si>
    <t>PO01514</t>
  </si>
  <si>
    <t>PO01513</t>
  </si>
  <si>
    <t>PO01512</t>
  </si>
  <si>
    <t>PO01511</t>
  </si>
  <si>
    <t>PO01510</t>
  </si>
  <si>
    <t>PO01509</t>
  </si>
  <si>
    <t>PO01508</t>
  </si>
  <si>
    <t>PO01507</t>
  </si>
  <si>
    <t>PO01506</t>
  </si>
  <si>
    <t>PO01505</t>
  </si>
  <si>
    <t>PO01504</t>
  </si>
  <si>
    <t>PO01503</t>
  </si>
  <si>
    <t>PO01502</t>
  </si>
  <si>
    <t>PO01501</t>
  </si>
  <si>
    <t>PO01500</t>
  </si>
  <si>
    <t>PO01499</t>
  </si>
  <si>
    <t>PO01498</t>
  </si>
  <si>
    <t>PO01497</t>
  </si>
  <si>
    <t>PO01496</t>
  </si>
  <si>
    <t>PO01495</t>
  </si>
  <si>
    <t>PO01494</t>
  </si>
  <si>
    <t>PO01493</t>
  </si>
  <si>
    <t>PO01492</t>
  </si>
  <si>
    <t>PO01491</t>
  </si>
  <si>
    <t>PO01490</t>
  </si>
  <si>
    <t>PO01489</t>
  </si>
  <si>
    <t>PO01488</t>
  </si>
  <si>
    <t>PO01487</t>
  </si>
  <si>
    <t>PO01486</t>
  </si>
  <si>
    <t>PO01485</t>
  </si>
  <si>
    <t>PO01484</t>
  </si>
  <si>
    <t>PO01483</t>
  </si>
  <si>
    <t>PO01482</t>
  </si>
  <si>
    <t>PO01481</t>
  </si>
  <si>
    <t>PO01480</t>
  </si>
  <si>
    <t>PO01479</t>
  </si>
  <si>
    <t>PO01478</t>
  </si>
  <si>
    <t>PO01477</t>
  </si>
  <si>
    <t>PO01476</t>
  </si>
  <si>
    <t>PO01475</t>
  </si>
  <si>
    <t>PO01474</t>
  </si>
  <si>
    <t>PO01473</t>
  </si>
  <si>
    <t>PO01472</t>
  </si>
  <si>
    <t>PO01471</t>
  </si>
  <si>
    <t>PO01470</t>
  </si>
  <si>
    <t>PO01469</t>
  </si>
  <si>
    <t>PO01468</t>
  </si>
  <si>
    <t>PO01467</t>
  </si>
  <si>
    <t>PO01466</t>
  </si>
  <si>
    <t>PO01465</t>
  </si>
  <si>
    <t>PO01464</t>
  </si>
  <si>
    <t>PO01463</t>
  </si>
  <si>
    <t>PO01462</t>
  </si>
  <si>
    <t>PO01461</t>
  </si>
  <si>
    <t>PO01460</t>
  </si>
  <si>
    <t>PO01459</t>
  </si>
  <si>
    <t>PO01458</t>
  </si>
  <si>
    <t>PO01457</t>
  </si>
  <si>
    <t>PO01456</t>
  </si>
  <si>
    <t>PO01455</t>
  </si>
  <si>
    <t>PO01454</t>
  </si>
  <si>
    <t>PO01453</t>
  </si>
  <si>
    <t>PO01452</t>
  </si>
  <si>
    <t>PO01451</t>
  </si>
  <si>
    <t>PO01450</t>
  </si>
  <si>
    <t>PO01449</t>
  </si>
  <si>
    <t>PO01448</t>
  </si>
  <si>
    <t>PO01447</t>
  </si>
  <si>
    <t>PO01446</t>
  </si>
  <si>
    <t>PO01445</t>
  </si>
  <si>
    <t>PO01444</t>
  </si>
  <si>
    <t>PO01443</t>
  </si>
  <si>
    <t>PO01442</t>
  </si>
  <si>
    <t>PO01441</t>
  </si>
  <si>
    <t>PO01440</t>
  </si>
  <si>
    <t>PO01439</t>
  </si>
  <si>
    <t>PO01438</t>
  </si>
  <si>
    <t>PO01437</t>
  </si>
  <si>
    <t>PO01436</t>
  </si>
  <si>
    <t>PO01435</t>
  </si>
  <si>
    <t>PO01434</t>
  </si>
  <si>
    <t>PO01433</t>
  </si>
  <si>
    <t>PO01432</t>
  </si>
  <si>
    <t>PO01431</t>
  </si>
  <si>
    <t>PO01430</t>
  </si>
  <si>
    <t>PO01429</t>
  </si>
  <si>
    <t>PO01428</t>
  </si>
  <si>
    <t>PO01427</t>
  </si>
  <si>
    <t>PO01426</t>
  </si>
  <si>
    <t>PO01425</t>
  </si>
  <si>
    <t>PO01424</t>
  </si>
  <si>
    <t>PO01423</t>
  </si>
  <si>
    <t>PO01422</t>
  </si>
  <si>
    <t>PO01421</t>
  </si>
  <si>
    <t>PO01420</t>
  </si>
  <si>
    <t>PO01419</t>
  </si>
  <si>
    <t>PO01418</t>
  </si>
  <si>
    <t>PO01417</t>
  </si>
  <si>
    <t>PO01416</t>
  </si>
  <si>
    <t>PO01415</t>
  </si>
  <si>
    <t>PO01414</t>
  </si>
  <si>
    <t>PO01413</t>
  </si>
  <si>
    <t>PO01412</t>
  </si>
  <si>
    <t>PO01411</t>
  </si>
  <si>
    <t>PO01410</t>
  </si>
  <si>
    <t>PO01409</t>
  </si>
  <si>
    <t>PO01408</t>
  </si>
  <si>
    <t>PO01407</t>
  </si>
  <si>
    <t>PO01406</t>
  </si>
  <si>
    <t>PO01405</t>
  </si>
  <si>
    <t>PO01404</t>
  </si>
  <si>
    <t>PO01403</t>
  </si>
  <si>
    <t>PO01402</t>
  </si>
  <si>
    <t>PO01401</t>
  </si>
  <si>
    <t>PO01400</t>
  </si>
  <si>
    <t>PO01399</t>
  </si>
  <si>
    <t>PO01398</t>
  </si>
  <si>
    <t>PO01397</t>
  </si>
  <si>
    <t>PO01396</t>
  </si>
  <si>
    <t>PO01395</t>
  </si>
  <si>
    <t>PO01394</t>
  </si>
  <si>
    <t>PO01393</t>
  </si>
  <si>
    <t>PO01392</t>
  </si>
  <si>
    <t>PO01391</t>
  </si>
  <si>
    <t>PO01390</t>
  </si>
  <si>
    <t>PO01389</t>
  </si>
  <si>
    <t>PO01388</t>
  </si>
  <si>
    <t>PO01387</t>
  </si>
  <si>
    <t>PO01386</t>
  </si>
  <si>
    <t>PO01385</t>
  </si>
  <si>
    <t>PO01384</t>
  </si>
  <si>
    <t>PO01383</t>
  </si>
  <si>
    <t>PO01382</t>
  </si>
  <si>
    <t>PO01381</t>
  </si>
  <si>
    <t>PO01380</t>
  </si>
  <si>
    <t>PO01379</t>
  </si>
  <si>
    <t>PO01378</t>
  </si>
  <si>
    <t>PO01377</t>
  </si>
  <si>
    <t>PO01376</t>
  </si>
  <si>
    <t>PO01375</t>
  </si>
  <si>
    <t>PO01374</t>
  </si>
  <si>
    <t>PO01373</t>
  </si>
  <si>
    <t>PO01372</t>
  </si>
  <si>
    <t>PO01371</t>
  </si>
  <si>
    <t>PO01370</t>
  </si>
  <si>
    <t>PO01369</t>
  </si>
  <si>
    <t>PO01368</t>
  </si>
  <si>
    <t>PO01367</t>
  </si>
  <si>
    <t>PO01366</t>
  </si>
  <si>
    <t>PO01365</t>
  </si>
  <si>
    <t>PO01364</t>
  </si>
  <si>
    <t>PO01363</t>
  </si>
  <si>
    <t>PO01362</t>
  </si>
  <si>
    <t>PO01361</t>
  </si>
  <si>
    <t>PO01360</t>
  </si>
  <si>
    <t>PO01359</t>
  </si>
  <si>
    <t>PO01358</t>
  </si>
  <si>
    <t>PO01357</t>
  </si>
  <si>
    <t>PO01356</t>
  </si>
  <si>
    <t>PO01355</t>
  </si>
  <si>
    <t>PO01354</t>
  </si>
  <si>
    <t>PO01353</t>
  </si>
  <si>
    <t>PO01352</t>
  </si>
  <si>
    <t>PO01351</t>
  </si>
  <si>
    <t>PO01350</t>
  </si>
  <si>
    <t>PO01349</t>
  </si>
  <si>
    <t>PO01348</t>
  </si>
  <si>
    <t>PO01347</t>
  </si>
  <si>
    <t>PO01346</t>
  </si>
  <si>
    <t>PO01345</t>
  </si>
  <si>
    <t>PO01344</t>
  </si>
  <si>
    <t>PO01343</t>
  </si>
  <si>
    <t>PO01342</t>
  </si>
  <si>
    <t>PO01341</t>
  </si>
  <si>
    <t>PO01340</t>
  </si>
  <si>
    <t>PO01339</t>
  </si>
  <si>
    <t>PO01338</t>
  </si>
  <si>
    <t>PO01337</t>
  </si>
  <si>
    <t>PO01336</t>
  </si>
  <si>
    <t>PO01335</t>
  </si>
  <si>
    <t>PO01334</t>
  </si>
  <si>
    <t>PO01333</t>
  </si>
  <si>
    <t>PO01332</t>
  </si>
  <si>
    <t>PO01331</t>
  </si>
  <si>
    <t>PO01330</t>
  </si>
  <si>
    <t>PO01329</t>
  </si>
  <si>
    <t>PO01328</t>
  </si>
  <si>
    <t>PO01327</t>
  </si>
  <si>
    <t>PO01326</t>
  </si>
  <si>
    <t>PO01325</t>
  </si>
  <si>
    <t>PO01324</t>
  </si>
  <si>
    <t>PO01323</t>
  </si>
  <si>
    <t>PO01322</t>
  </si>
  <si>
    <t>PO01321</t>
  </si>
  <si>
    <t>PO01320</t>
  </si>
  <si>
    <t>PO01319</t>
  </si>
  <si>
    <t>PO01318</t>
  </si>
  <si>
    <t>PO01317</t>
  </si>
  <si>
    <t>PO01316</t>
  </si>
  <si>
    <t>PO01315</t>
  </si>
  <si>
    <t>PO01314</t>
  </si>
  <si>
    <t>PO01313</t>
  </si>
  <si>
    <t>PO01312</t>
  </si>
  <si>
    <t>PO01311</t>
  </si>
  <si>
    <t>PO01310</t>
  </si>
  <si>
    <t>PO01309</t>
  </si>
  <si>
    <t>PO01308</t>
  </si>
  <si>
    <t>PO01307</t>
  </si>
  <si>
    <t>PO01306</t>
  </si>
  <si>
    <t>PO01305</t>
  </si>
  <si>
    <t>PO01304</t>
  </si>
  <si>
    <t>PO01303</t>
  </si>
  <si>
    <t>PO01302</t>
  </si>
  <si>
    <t>PO01301</t>
  </si>
  <si>
    <t>PO01300</t>
  </si>
  <si>
    <t>PO01299</t>
  </si>
  <si>
    <t>PO01298</t>
  </si>
  <si>
    <t>PO01297</t>
  </si>
  <si>
    <t>PO01296</t>
  </si>
  <si>
    <t>PO01295</t>
  </si>
  <si>
    <t>PO01294</t>
  </si>
  <si>
    <t>PO01293</t>
  </si>
  <si>
    <t>PO01292</t>
  </si>
  <si>
    <t>PO01291</t>
  </si>
  <si>
    <t>PO01290</t>
  </si>
  <si>
    <t>PO01289</t>
  </si>
  <si>
    <t>PO01288</t>
  </si>
  <si>
    <t>PO01287</t>
  </si>
  <si>
    <t>PO01286</t>
  </si>
  <si>
    <t>PO01285</t>
  </si>
  <si>
    <t>PO01284</t>
  </si>
  <si>
    <t>PO01283</t>
  </si>
  <si>
    <t>PO01282</t>
  </si>
  <si>
    <t>PO01281</t>
  </si>
  <si>
    <t>PO01280</t>
  </si>
  <si>
    <t>PO01279</t>
  </si>
  <si>
    <t>PO01278</t>
  </si>
  <si>
    <t>PO01277</t>
  </si>
  <si>
    <t>PO01276</t>
  </si>
  <si>
    <t>PO01275</t>
  </si>
  <si>
    <t>PO01274</t>
  </si>
  <si>
    <t>PO01273</t>
  </si>
  <si>
    <t>PO01272</t>
  </si>
  <si>
    <t>PO01271</t>
  </si>
  <si>
    <t>PO01270</t>
  </si>
  <si>
    <t>PO01269</t>
  </si>
  <si>
    <t>PO01268</t>
  </si>
  <si>
    <t>PO01267</t>
  </si>
  <si>
    <t>PO01266</t>
  </si>
  <si>
    <t>PO01265</t>
  </si>
  <si>
    <t>PO01264</t>
  </si>
  <si>
    <t>PO01263</t>
  </si>
  <si>
    <t>PO01262</t>
  </si>
  <si>
    <t>PO01261</t>
  </si>
  <si>
    <t>PO01260</t>
  </si>
  <si>
    <t>PO01259</t>
  </si>
  <si>
    <t>PO01258</t>
  </si>
  <si>
    <t>PO01257</t>
  </si>
  <si>
    <t>PO01256</t>
  </si>
  <si>
    <t>PO01255</t>
  </si>
  <si>
    <t>PO01254</t>
  </si>
  <si>
    <t>PO01253</t>
  </si>
  <si>
    <t>PO01252</t>
  </si>
  <si>
    <t>PO01251</t>
  </si>
  <si>
    <t>PO01250</t>
  </si>
  <si>
    <t>PO01249</t>
  </si>
  <si>
    <t>PO01248</t>
  </si>
  <si>
    <t>PO01247</t>
  </si>
  <si>
    <t>PO01246</t>
  </si>
  <si>
    <t>PO01245</t>
  </si>
  <si>
    <t>PO01244</t>
  </si>
  <si>
    <t>PO01243</t>
  </si>
  <si>
    <t>PO01242</t>
  </si>
  <si>
    <t>PO01241</t>
  </si>
  <si>
    <t>PO01240</t>
  </si>
  <si>
    <t>PO01239</t>
  </si>
  <si>
    <t>PO01238</t>
  </si>
  <si>
    <t>PO01237</t>
  </si>
  <si>
    <t>PO01236</t>
  </si>
  <si>
    <t>PO01235</t>
  </si>
  <si>
    <t>PO01234</t>
  </si>
  <si>
    <t>PO01233</t>
  </si>
  <si>
    <t>PO01232</t>
  </si>
  <si>
    <t>PO01231</t>
  </si>
  <si>
    <t>PO01230</t>
  </si>
  <si>
    <t>PO01229</t>
  </si>
  <si>
    <t>PO01228</t>
  </si>
  <si>
    <t>PO01227</t>
  </si>
  <si>
    <t>PO01226</t>
  </si>
  <si>
    <t>PO01225</t>
  </si>
  <si>
    <t>PO01224</t>
  </si>
  <si>
    <t>PO01223</t>
  </si>
  <si>
    <t>PO01222</t>
  </si>
  <si>
    <t>PO01221</t>
  </si>
  <si>
    <t>PO01220</t>
  </si>
  <si>
    <t>PO01219</t>
  </si>
  <si>
    <t>PO01218</t>
  </si>
  <si>
    <t>PO01217</t>
  </si>
  <si>
    <t>PO01216</t>
  </si>
  <si>
    <t>PO01215</t>
  </si>
  <si>
    <t>PO01214</t>
  </si>
  <si>
    <t>PO01213</t>
  </si>
  <si>
    <t>PO01212</t>
  </si>
  <si>
    <t>PO01211</t>
  </si>
  <si>
    <t>PO01210</t>
  </si>
  <si>
    <t>PO01209</t>
  </si>
  <si>
    <t>PO01208</t>
  </si>
  <si>
    <t>PO01207</t>
  </si>
  <si>
    <t>PO01206</t>
  </si>
  <si>
    <t>PO01205</t>
  </si>
  <si>
    <t>PO01204</t>
  </si>
  <si>
    <t>PO01203</t>
  </si>
  <si>
    <t>PO01202</t>
  </si>
  <si>
    <t>PO01201</t>
  </si>
  <si>
    <t>PO01200</t>
  </si>
  <si>
    <t>PO01199</t>
  </si>
  <si>
    <t>PO01198</t>
  </si>
  <si>
    <t>PO01197</t>
  </si>
  <si>
    <t>PO01196</t>
  </si>
  <si>
    <t>PO01195</t>
  </si>
  <si>
    <t>PO01194</t>
  </si>
  <si>
    <t>PO01193</t>
  </si>
  <si>
    <t>PO01192</t>
  </si>
  <si>
    <t>PO01191</t>
  </si>
  <si>
    <t>PO01190</t>
  </si>
  <si>
    <t>PO01189</t>
  </si>
  <si>
    <t>PO01188</t>
  </si>
  <si>
    <t>PO01187</t>
  </si>
  <si>
    <t>PO01186</t>
  </si>
  <si>
    <t>PO01185</t>
  </si>
  <si>
    <t>PO01184</t>
  </si>
  <si>
    <t>PO01183</t>
  </si>
  <si>
    <t>PO01182</t>
  </si>
  <si>
    <t>PO01181</t>
  </si>
  <si>
    <t>PO01180</t>
  </si>
  <si>
    <t>PO01179</t>
  </si>
  <si>
    <t>PO01178</t>
  </si>
  <si>
    <t>PO01177</t>
  </si>
  <si>
    <t>PO01176</t>
  </si>
  <si>
    <t>PO01175</t>
  </si>
  <si>
    <t>PO01174</t>
  </si>
  <si>
    <t>PO01173</t>
  </si>
  <si>
    <t>PO01172</t>
  </si>
  <si>
    <t>PO01171</t>
  </si>
  <si>
    <t>PO01170</t>
  </si>
  <si>
    <t>PO01169</t>
  </si>
  <si>
    <t>PO01168</t>
  </si>
  <si>
    <t>PO01167</t>
  </si>
  <si>
    <t>PO01166</t>
  </si>
  <si>
    <t>PO01165</t>
  </si>
  <si>
    <t>PO01164</t>
  </si>
  <si>
    <t>PO01163</t>
  </si>
  <si>
    <t>PO01162</t>
  </si>
  <si>
    <t>PO01161</t>
  </si>
  <si>
    <t>PO01160</t>
  </si>
  <si>
    <t>PO01159</t>
  </si>
  <si>
    <t>PO01158</t>
  </si>
  <si>
    <t>PO01157</t>
  </si>
  <si>
    <t>PO01156</t>
  </si>
  <si>
    <t>PO01155</t>
  </si>
  <si>
    <t>PO01154</t>
  </si>
  <si>
    <t>PO01153</t>
  </si>
  <si>
    <t>PO01152</t>
  </si>
  <si>
    <t>PO01151</t>
  </si>
  <si>
    <t>PO01150</t>
  </si>
  <si>
    <t>PO01149</t>
  </si>
  <si>
    <t>PO01148</t>
  </si>
  <si>
    <t>PO01147</t>
  </si>
  <si>
    <t>PO01146</t>
  </si>
  <si>
    <t>PO01145</t>
  </si>
  <si>
    <t>PO01144</t>
  </si>
  <si>
    <t>PO01143</t>
  </si>
  <si>
    <t>PO01142</t>
  </si>
  <si>
    <t>PO01141</t>
  </si>
  <si>
    <t>PO01140</t>
  </si>
  <si>
    <t>PO01139</t>
  </si>
  <si>
    <t>PO01138</t>
  </si>
  <si>
    <t>PO01137</t>
  </si>
  <si>
    <t>PO01136</t>
  </si>
  <si>
    <t>PO01135</t>
  </si>
  <si>
    <t>PO01134</t>
  </si>
  <si>
    <t>PO01133</t>
  </si>
  <si>
    <t>PO01132</t>
  </si>
  <si>
    <t>PO01131</t>
  </si>
  <si>
    <t>PO01130</t>
  </si>
  <si>
    <t>PO01129</t>
  </si>
  <si>
    <t>PO01128</t>
  </si>
  <si>
    <t>PO01127</t>
  </si>
  <si>
    <t>PO01126</t>
  </si>
  <si>
    <t>PO01125</t>
  </si>
  <si>
    <t>PO01124</t>
  </si>
  <si>
    <t>PO01123</t>
  </si>
  <si>
    <t>PO01122</t>
  </si>
  <si>
    <t>PO01121</t>
  </si>
  <si>
    <t>PO01120</t>
  </si>
  <si>
    <t>PO01119</t>
  </si>
  <si>
    <t>PO01118</t>
  </si>
  <si>
    <t>PO01117</t>
  </si>
  <si>
    <t>PO01116</t>
  </si>
  <si>
    <t>PO01115</t>
  </si>
  <si>
    <t>PO01114</t>
  </si>
  <si>
    <t>PO01113</t>
  </si>
  <si>
    <t>PO01112</t>
  </si>
  <si>
    <t>PO01111</t>
  </si>
  <si>
    <t>PO01110</t>
  </si>
  <si>
    <t>PO01109</t>
  </si>
  <si>
    <t>PO01108</t>
  </si>
  <si>
    <t>PO01107</t>
  </si>
  <si>
    <t>PO01106</t>
  </si>
  <si>
    <t>PO01105</t>
  </si>
  <si>
    <t>PO01104</t>
  </si>
  <si>
    <t>PO01103</t>
  </si>
  <si>
    <t>PO01102</t>
  </si>
  <si>
    <t>PO01101</t>
  </si>
  <si>
    <t>PO01100</t>
  </si>
  <si>
    <t>PO01099</t>
  </si>
  <si>
    <t>PO01098</t>
  </si>
  <si>
    <t>PO01097</t>
  </si>
  <si>
    <t>PO01096</t>
  </si>
  <si>
    <t>PO01095</t>
  </si>
  <si>
    <t>PO01094</t>
  </si>
  <si>
    <t>PO01093</t>
  </si>
  <si>
    <t>PO01092</t>
  </si>
  <si>
    <t>PO01091</t>
  </si>
  <si>
    <t>PO01090</t>
  </si>
  <si>
    <t>PO01089</t>
  </si>
  <si>
    <t>PO01088</t>
  </si>
  <si>
    <t>PO01087</t>
  </si>
  <si>
    <t>PO01086</t>
  </si>
  <si>
    <t>PO01085</t>
  </si>
  <si>
    <t>PO01084</t>
  </si>
  <si>
    <t>PO01083</t>
  </si>
  <si>
    <t>PO01082</t>
  </si>
  <si>
    <t>PO01081</t>
  </si>
  <si>
    <t>PO01080</t>
  </si>
  <si>
    <t>PO01079</t>
  </si>
  <si>
    <t>PO01078</t>
  </si>
  <si>
    <t>PO01077</t>
  </si>
  <si>
    <t>PO01076</t>
  </si>
  <si>
    <t>PO01075</t>
  </si>
  <si>
    <t>PO01074</t>
  </si>
  <si>
    <t>PO01073</t>
  </si>
  <si>
    <t>PO01072</t>
  </si>
  <si>
    <t>PO01071</t>
  </si>
  <si>
    <t>PO01070</t>
  </si>
  <si>
    <t>PO01069</t>
  </si>
  <si>
    <t>PO01068</t>
  </si>
  <si>
    <t>PO01067</t>
  </si>
  <si>
    <t>PO01066</t>
  </si>
  <si>
    <t>PO01065</t>
  </si>
  <si>
    <t>PO01064</t>
  </si>
  <si>
    <t>PO01063</t>
  </si>
  <si>
    <t>PO01062</t>
  </si>
  <si>
    <t>PO01061</t>
  </si>
  <si>
    <t>PO01060</t>
  </si>
  <si>
    <t>PO01059</t>
  </si>
  <si>
    <t>PO01058</t>
  </si>
  <si>
    <t>PO01057</t>
  </si>
  <si>
    <t>PO01056</t>
  </si>
  <si>
    <t>PO01055</t>
  </si>
  <si>
    <t>PO01054</t>
  </si>
  <si>
    <t>PO01053</t>
  </si>
  <si>
    <t>PO01052</t>
  </si>
  <si>
    <t>PO01051</t>
  </si>
  <si>
    <t>PO01050</t>
  </si>
  <si>
    <t>PO01049</t>
  </si>
  <si>
    <t>PO01048</t>
  </si>
  <si>
    <t>PO01047</t>
  </si>
  <si>
    <t>PO01046</t>
  </si>
  <si>
    <t>PO01045</t>
  </si>
  <si>
    <t>PO01044</t>
  </si>
  <si>
    <t>PO01043</t>
  </si>
  <si>
    <t>PO01042</t>
  </si>
  <si>
    <t>PO01041</t>
  </si>
  <si>
    <t>PO01040</t>
  </si>
  <si>
    <t>PO01039</t>
  </si>
  <si>
    <t>PO01038</t>
  </si>
  <si>
    <t>PO01037</t>
  </si>
  <si>
    <t>PO01036</t>
  </si>
  <si>
    <t>PO01035</t>
  </si>
  <si>
    <t>PO01034</t>
  </si>
  <si>
    <t>PO01033</t>
  </si>
  <si>
    <t>PO01032</t>
  </si>
  <si>
    <t>PO01031</t>
  </si>
  <si>
    <t>PO01030</t>
  </si>
  <si>
    <t>PO01029</t>
  </si>
  <si>
    <t>PO01028</t>
  </si>
  <si>
    <t>PO01027</t>
  </si>
  <si>
    <t>PO01026</t>
  </si>
  <si>
    <t>PO01025</t>
  </si>
  <si>
    <t>PO01024</t>
  </si>
  <si>
    <t>PO01023</t>
  </si>
  <si>
    <t>PO01022</t>
  </si>
  <si>
    <t>PO01021</t>
  </si>
  <si>
    <t>PO01020</t>
  </si>
  <si>
    <t>PO01019</t>
  </si>
  <si>
    <t>PO01018</t>
  </si>
  <si>
    <t>PO01017</t>
  </si>
  <si>
    <t>PO01016</t>
  </si>
  <si>
    <t>PO01015</t>
  </si>
  <si>
    <t>PO01014</t>
  </si>
  <si>
    <t>PO01013</t>
  </si>
  <si>
    <t>PO01012</t>
  </si>
  <si>
    <t>PO01011</t>
  </si>
  <si>
    <t>PO01010</t>
  </si>
  <si>
    <t>PO01009</t>
  </si>
  <si>
    <t>PO01008</t>
  </si>
  <si>
    <t>PO01007</t>
  </si>
  <si>
    <t>PO01006</t>
  </si>
  <si>
    <t>PO01005</t>
  </si>
  <si>
    <t>PO01004</t>
  </si>
  <si>
    <t>PO01003</t>
  </si>
  <si>
    <t>PO01002</t>
  </si>
  <si>
    <t>PO01001</t>
  </si>
  <si>
    <t>PO01000</t>
  </si>
  <si>
    <t>PO00999</t>
  </si>
  <si>
    <t>PO00998</t>
  </si>
  <si>
    <t>PO00997</t>
  </si>
  <si>
    <t>PO00996</t>
  </si>
  <si>
    <t>PO00995</t>
  </si>
  <si>
    <t>PO00994</t>
  </si>
  <si>
    <t>PO00993</t>
  </si>
  <si>
    <t>PO00992</t>
  </si>
  <si>
    <t>PO00991</t>
  </si>
  <si>
    <t>PO00990</t>
  </si>
  <si>
    <t>PO00989</t>
  </si>
  <si>
    <t>PO00988</t>
  </si>
  <si>
    <t>PO00987</t>
  </si>
  <si>
    <t>PO00986</t>
  </si>
  <si>
    <t>PO00985</t>
  </si>
  <si>
    <t>PO00984</t>
  </si>
  <si>
    <t>PO00983</t>
  </si>
  <si>
    <t>PO00982</t>
  </si>
  <si>
    <t>PO00981</t>
  </si>
  <si>
    <t>PO00980</t>
  </si>
  <si>
    <t>PO00979</t>
  </si>
  <si>
    <t>PO00978</t>
  </si>
  <si>
    <t>PO00977</t>
  </si>
  <si>
    <t>PO00976</t>
  </si>
  <si>
    <t>PO00975</t>
  </si>
  <si>
    <t>PO00974</t>
  </si>
  <si>
    <t>PO00973</t>
  </si>
  <si>
    <t>PO00972</t>
  </si>
  <si>
    <t>PO00971</t>
  </si>
  <si>
    <t>PO00970</t>
  </si>
  <si>
    <t>PO00969</t>
  </si>
  <si>
    <t>PO00968</t>
  </si>
  <si>
    <t>PO00967</t>
  </si>
  <si>
    <t>PO00966</t>
  </si>
  <si>
    <t>PO00965</t>
  </si>
  <si>
    <t>PO00964</t>
  </si>
  <si>
    <t>PO00963</t>
  </si>
  <si>
    <t>PO00962</t>
  </si>
  <si>
    <t>PO00961</t>
  </si>
  <si>
    <t>PO00960</t>
  </si>
  <si>
    <t>PO00959</t>
  </si>
  <si>
    <t>PO00958</t>
  </si>
  <si>
    <t>PO00957</t>
  </si>
  <si>
    <t>PO00956</t>
  </si>
  <si>
    <t>PO00955</t>
  </si>
  <si>
    <t>PO00954</t>
  </si>
  <si>
    <t>PO00953</t>
  </si>
  <si>
    <t>PO00952</t>
  </si>
  <si>
    <t>PO00951</t>
  </si>
  <si>
    <t>PO00950</t>
  </si>
  <si>
    <t>PO00949</t>
  </si>
  <si>
    <t>PO00948</t>
  </si>
  <si>
    <t>PO00947</t>
  </si>
  <si>
    <t>PO00946</t>
  </si>
  <si>
    <t>PO00945</t>
  </si>
  <si>
    <t>PO00944</t>
  </si>
  <si>
    <t>PO00943</t>
  </si>
  <si>
    <t>PO00942</t>
  </si>
  <si>
    <t>PO00941</t>
  </si>
  <si>
    <t>PO00940</t>
  </si>
  <si>
    <t>PO00939</t>
  </si>
  <si>
    <t>PO00938</t>
  </si>
  <si>
    <t>PO00937</t>
  </si>
  <si>
    <t>PO00936</t>
  </si>
  <si>
    <t>PO00935</t>
  </si>
  <si>
    <t>PO00934</t>
  </si>
  <si>
    <t>PO00933</t>
  </si>
  <si>
    <t>PO00932</t>
  </si>
  <si>
    <t>PO00931</t>
  </si>
  <si>
    <t>PO00930</t>
  </si>
  <si>
    <t>PO00929</t>
  </si>
  <si>
    <t>PO00928</t>
  </si>
  <si>
    <t>PO00927</t>
  </si>
  <si>
    <t>PO00926</t>
  </si>
  <si>
    <t>PO00925</t>
  </si>
  <si>
    <t>PO00924</t>
  </si>
  <si>
    <t>PO00923</t>
  </si>
  <si>
    <t>PO00922</t>
  </si>
  <si>
    <t>PO00921</t>
  </si>
  <si>
    <t>PO00920</t>
  </si>
  <si>
    <t>PO00919</t>
  </si>
  <si>
    <t>PO00918</t>
  </si>
  <si>
    <t>PO00917</t>
  </si>
  <si>
    <t>PO00916</t>
  </si>
  <si>
    <t>PO00915</t>
  </si>
  <si>
    <t>PO00914</t>
  </si>
  <si>
    <t>PO00913</t>
  </si>
  <si>
    <t>PO00912</t>
  </si>
  <si>
    <t>PO00911</t>
  </si>
  <si>
    <t>PO00910</t>
  </si>
  <si>
    <t>PO00909</t>
  </si>
  <si>
    <t>PO00908</t>
  </si>
  <si>
    <t>PO00907</t>
  </si>
  <si>
    <t>PO00906</t>
  </si>
  <si>
    <t>PO00905</t>
  </si>
  <si>
    <t>PO00904</t>
  </si>
  <si>
    <t>PO00903</t>
  </si>
  <si>
    <t>PO00902</t>
  </si>
  <si>
    <t>PO00901</t>
  </si>
  <si>
    <t>PO00900</t>
  </si>
  <si>
    <t>PO00899</t>
  </si>
  <si>
    <t>PO00898</t>
  </si>
  <si>
    <t>PO00897</t>
  </si>
  <si>
    <t>PO00896</t>
  </si>
  <si>
    <t>PO00895</t>
  </si>
  <si>
    <t>PO00894</t>
  </si>
  <si>
    <t>PO00893</t>
  </si>
  <si>
    <t>PO00892</t>
  </si>
  <si>
    <t>PO00891</t>
  </si>
  <si>
    <t>PO00890</t>
  </si>
  <si>
    <t>PO00889</t>
  </si>
  <si>
    <t>PO00888</t>
  </si>
  <si>
    <t>PO00887</t>
  </si>
  <si>
    <t>PO00886</t>
  </si>
  <si>
    <t>PO00885</t>
  </si>
  <si>
    <t>PO00884</t>
  </si>
  <si>
    <t>PO00883</t>
  </si>
  <si>
    <t>PO00882</t>
  </si>
  <si>
    <t>PO00881</t>
  </si>
  <si>
    <t>PO00880</t>
  </si>
  <si>
    <t>PO00879</t>
  </si>
  <si>
    <t>PO00878</t>
  </si>
  <si>
    <t>PO00877</t>
  </si>
  <si>
    <t>PO00876</t>
  </si>
  <si>
    <t>PO00875</t>
  </si>
  <si>
    <t>PO00874</t>
  </si>
  <si>
    <t>PO00873</t>
  </si>
  <si>
    <t>PO00872</t>
  </si>
  <si>
    <t>PO00871</t>
  </si>
  <si>
    <t>PO00870</t>
  </si>
  <si>
    <t>PO00869</t>
  </si>
  <si>
    <t>PO00868</t>
  </si>
  <si>
    <t>PO00867</t>
  </si>
  <si>
    <t>PO00866</t>
  </si>
  <si>
    <t>PO00865</t>
  </si>
  <si>
    <t>PO00864</t>
  </si>
  <si>
    <t>PO00863</t>
  </si>
  <si>
    <t>PO00862</t>
  </si>
  <si>
    <t>PO00861</t>
  </si>
  <si>
    <t>PO00860</t>
  </si>
  <si>
    <t>PO00859</t>
  </si>
  <si>
    <t>PO00858</t>
  </si>
  <si>
    <t>PO00857</t>
  </si>
  <si>
    <t>PO00856</t>
  </si>
  <si>
    <t>PO00855</t>
  </si>
  <si>
    <t>PO00854</t>
  </si>
  <si>
    <t>PO00853</t>
  </si>
  <si>
    <t>PO00852</t>
  </si>
  <si>
    <t>PO00851</t>
  </si>
  <si>
    <t>PO00850</t>
  </si>
  <si>
    <t>PO00849</t>
  </si>
  <si>
    <t>PO00848</t>
  </si>
  <si>
    <t>PO00847</t>
  </si>
  <si>
    <t>PO00846</t>
  </si>
  <si>
    <t>PO00845</t>
  </si>
  <si>
    <t>PO00844</t>
  </si>
  <si>
    <t>PO00843</t>
  </si>
  <si>
    <t>PO00842</t>
  </si>
  <si>
    <t>PO00841</t>
  </si>
  <si>
    <t>PO00840</t>
  </si>
  <si>
    <t>PO00839</t>
  </si>
  <si>
    <t>PO00838</t>
  </si>
  <si>
    <t>PO00837</t>
  </si>
  <si>
    <t>PO00836</t>
  </si>
  <si>
    <t>PO00835</t>
  </si>
  <si>
    <t>PO00834</t>
  </si>
  <si>
    <t>PO00833</t>
  </si>
  <si>
    <t>PO00832</t>
  </si>
  <si>
    <t>PO00831</t>
  </si>
  <si>
    <t>PO00830</t>
  </si>
  <si>
    <t>PO00829</t>
  </si>
  <si>
    <t>PO00828</t>
  </si>
  <si>
    <t>PO00827</t>
  </si>
  <si>
    <t>PO00826</t>
  </si>
  <si>
    <t>PO00825</t>
  </si>
  <si>
    <t>PO00824</t>
  </si>
  <si>
    <t>PO00823</t>
  </si>
  <si>
    <t>PO00822</t>
  </si>
  <si>
    <t>PO00821</t>
  </si>
  <si>
    <t>PO00820</t>
  </si>
  <si>
    <t>PO00819</t>
  </si>
  <si>
    <t>PO00818</t>
  </si>
  <si>
    <t>PO00817</t>
  </si>
  <si>
    <t>PO00816</t>
  </si>
  <si>
    <t>PO00815</t>
  </si>
  <si>
    <t>PO00814</t>
  </si>
  <si>
    <t>PO00813</t>
  </si>
  <si>
    <t>PO00812</t>
  </si>
  <si>
    <t>PO00811</t>
  </si>
  <si>
    <t>PO00810</t>
  </si>
  <si>
    <t>PO00809</t>
  </si>
  <si>
    <t>PO00808</t>
  </si>
  <si>
    <t>PO00807</t>
  </si>
  <si>
    <t>PO00806</t>
  </si>
  <si>
    <t>PO00805</t>
  </si>
  <si>
    <t>PO00804</t>
  </si>
  <si>
    <t>PO00803</t>
  </si>
  <si>
    <t>PO00802</t>
  </si>
  <si>
    <t>PO00801</t>
  </si>
  <si>
    <t>PO00800</t>
  </si>
  <si>
    <t>PO00799</t>
  </si>
  <si>
    <t>PO00798</t>
  </si>
  <si>
    <t>PO00797</t>
  </si>
  <si>
    <t>PO00796</t>
  </si>
  <si>
    <t>PO00795</t>
  </si>
  <si>
    <t>PO00794</t>
  </si>
  <si>
    <t>PO00793</t>
  </si>
  <si>
    <t>PO00792</t>
  </si>
  <si>
    <t>PO00791</t>
  </si>
  <si>
    <t>PO00790</t>
  </si>
  <si>
    <t>PO00789</t>
  </si>
  <si>
    <t>PO00788</t>
  </si>
  <si>
    <t>PO00787</t>
  </si>
  <si>
    <t>PO00786</t>
  </si>
  <si>
    <t>PO00785</t>
  </si>
  <si>
    <t>PO00784</t>
  </si>
  <si>
    <t>PO00783</t>
  </si>
  <si>
    <t>PO00782</t>
  </si>
  <si>
    <t>PO00781</t>
  </si>
  <si>
    <t>PO00780</t>
  </si>
  <si>
    <t>PO00779</t>
  </si>
  <si>
    <t>PO00778</t>
  </si>
  <si>
    <t>PO00777</t>
  </si>
  <si>
    <t>PO00776</t>
  </si>
  <si>
    <t>PO00775</t>
  </si>
  <si>
    <t>PO00774</t>
  </si>
  <si>
    <t>PO00773</t>
  </si>
  <si>
    <t>PO00772</t>
  </si>
  <si>
    <t>PO00771</t>
  </si>
  <si>
    <t>PO00770</t>
  </si>
  <si>
    <t>PO00769</t>
  </si>
  <si>
    <t>PO00768</t>
  </si>
  <si>
    <t>PO00767</t>
  </si>
  <si>
    <t>PO00766</t>
  </si>
  <si>
    <t>PO00765</t>
  </si>
  <si>
    <t>PO00764</t>
  </si>
  <si>
    <t>PO00763</t>
  </si>
  <si>
    <t>PO00762</t>
  </si>
  <si>
    <t>PO00761</t>
  </si>
  <si>
    <t>PO00760</t>
  </si>
  <si>
    <t>PO00759</t>
  </si>
  <si>
    <t>PO00758</t>
  </si>
  <si>
    <t>PO00757</t>
  </si>
  <si>
    <t>PO00756</t>
  </si>
  <si>
    <t>PO00755</t>
  </si>
  <si>
    <t>PO00754</t>
  </si>
  <si>
    <t>PO00753</t>
  </si>
  <si>
    <t>PO00752</t>
  </si>
  <si>
    <t>PO00751</t>
  </si>
  <si>
    <t>PO00750</t>
  </si>
  <si>
    <t>PO00749</t>
  </si>
  <si>
    <t>PO00748</t>
  </si>
  <si>
    <t>PO00747</t>
  </si>
  <si>
    <t>PO00746</t>
  </si>
  <si>
    <t>PO00745</t>
  </si>
  <si>
    <t>PO00744</t>
  </si>
  <si>
    <t>PO00743</t>
  </si>
  <si>
    <t>PO00742</t>
  </si>
  <si>
    <t>PO00741</t>
  </si>
  <si>
    <t>PO00740</t>
  </si>
  <si>
    <t>PO00739</t>
  </si>
  <si>
    <t>PO00738</t>
  </si>
  <si>
    <t>PO00737</t>
  </si>
  <si>
    <t>PO00736</t>
  </si>
  <si>
    <t>PO00735</t>
  </si>
  <si>
    <t>PO00734</t>
  </si>
  <si>
    <t>PO00733</t>
  </si>
  <si>
    <t>PO00732</t>
  </si>
  <si>
    <t>PO00731</t>
  </si>
  <si>
    <t>PO00730</t>
  </si>
  <si>
    <t>PO00729</t>
  </si>
  <si>
    <t>PO00728</t>
  </si>
  <si>
    <t>PO00727</t>
  </si>
  <si>
    <t>PO00726</t>
  </si>
  <si>
    <t>PO00725</t>
  </si>
  <si>
    <t>PO00724</t>
  </si>
  <si>
    <t>PO00723</t>
  </si>
  <si>
    <t>PO00722</t>
  </si>
  <si>
    <t>PO00721</t>
  </si>
  <si>
    <t>PO00720</t>
  </si>
  <si>
    <t>PO00719</t>
  </si>
  <si>
    <t>PO00718</t>
  </si>
  <si>
    <t>PO00717</t>
  </si>
  <si>
    <t>PO00716</t>
  </si>
  <si>
    <t>PO00715</t>
  </si>
  <si>
    <t>PO00714</t>
  </si>
  <si>
    <t>PO00713</t>
  </si>
  <si>
    <t>PO00712</t>
  </si>
  <si>
    <t>PO00711</t>
  </si>
  <si>
    <t>PO00710</t>
  </si>
  <si>
    <t>PO00709</t>
  </si>
  <si>
    <t>PO00708</t>
  </si>
  <si>
    <t>PO00707</t>
  </si>
  <si>
    <t>PO00706</t>
  </si>
  <si>
    <t>PO00705</t>
  </si>
  <si>
    <t>PO00704</t>
  </si>
  <si>
    <t>PO00703</t>
  </si>
  <si>
    <t>PO00702</t>
  </si>
  <si>
    <t>PO00701</t>
  </si>
  <si>
    <t>PO00700</t>
  </si>
  <si>
    <t>PO00699</t>
  </si>
  <si>
    <t>PO00698</t>
  </si>
  <si>
    <t>PO00697</t>
  </si>
  <si>
    <t>PO00696</t>
  </si>
  <si>
    <t>PO00695</t>
  </si>
  <si>
    <t>PO00694</t>
  </si>
  <si>
    <t>PO00693</t>
  </si>
  <si>
    <t>PO00692</t>
  </si>
  <si>
    <t>PO00691</t>
  </si>
  <si>
    <t>PO00690</t>
  </si>
  <si>
    <t>PO00689</t>
  </si>
  <si>
    <t>PO00688</t>
  </si>
  <si>
    <t>PO00687</t>
  </si>
  <si>
    <t>PO00686</t>
  </si>
  <si>
    <t>PO00685</t>
  </si>
  <si>
    <t>PO00684</t>
  </si>
  <si>
    <t>PO00683</t>
  </si>
  <si>
    <t>PO00682</t>
  </si>
  <si>
    <t>PO00681</t>
  </si>
  <si>
    <t>PO00680</t>
  </si>
  <si>
    <t>PO00679</t>
  </si>
  <si>
    <t>PO00678</t>
  </si>
  <si>
    <t>PO00677</t>
  </si>
  <si>
    <t>PO00676</t>
  </si>
  <si>
    <t>PO00675</t>
  </si>
  <si>
    <t>PO00674</t>
  </si>
  <si>
    <t>PO00673</t>
  </si>
  <si>
    <t>PO00672</t>
  </si>
  <si>
    <t>PO00671</t>
  </si>
  <si>
    <t>PO00670</t>
  </si>
  <si>
    <t>PO00669</t>
  </si>
  <si>
    <t>PO00668</t>
  </si>
  <si>
    <t>PO00667</t>
  </si>
  <si>
    <t>PO00666</t>
  </si>
  <si>
    <t>PO00665</t>
  </si>
  <si>
    <t>PO00664</t>
  </si>
  <si>
    <t>PO00663</t>
  </si>
  <si>
    <t>PO00662</t>
  </si>
  <si>
    <t>PO00661</t>
  </si>
  <si>
    <t>PO00660</t>
  </si>
  <si>
    <t>PO00659</t>
  </si>
  <si>
    <t>PO00658</t>
  </si>
  <si>
    <t>PO00657</t>
  </si>
  <si>
    <t>PO00656</t>
  </si>
  <si>
    <t>PO00655</t>
  </si>
  <si>
    <t>PO00654</t>
  </si>
  <si>
    <t>PO00653</t>
  </si>
  <si>
    <t>PO00652</t>
  </si>
  <si>
    <t>PO00651</t>
  </si>
  <si>
    <t>PO00650</t>
  </si>
  <si>
    <t>PO00649</t>
  </si>
  <si>
    <t>PO00648</t>
  </si>
  <si>
    <t>PO00647</t>
  </si>
  <si>
    <t>PO00646</t>
  </si>
  <si>
    <t>PO00645</t>
  </si>
  <si>
    <t>PO00644</t>
  </si>
  <si>
    <t>PO00643</t>
  </si>
  <si>
    <t>PO00642</t>
  </si>
  <si>
    <t>PO00641</t>
  </si>
  <si>
    <t>PO00640</t>
  </si>
  <si>
    <t>PO00639</t>
  </si>
  <si>
    <t>PO00638</t>
  </si>
  <si>
    <t>PO00637</t>
  </si>
  <si>
    <t>PO00636</t>
  </si>
  <si>
    <t>PO00635</t>
  </si>
  <si>
    <t>PO00634</t>
  </si>
  <si>
    <t>PO00633</t>
  </si>
  <si>
    <t>PO00632</t>
  </si>
  <si>
    <t>PO00631</t>
  </si>
  <si>
    <t>PO00630</t>
  </si>
  <si>
    <t>PO00629</t>
  </si>
  <si>
    <t>PO00628</t>
  </si>
  <si>
    <t>PO00627</t>
  </si>
  <si>
    <t>PO00626</t>
  </si>
  <si>
    <t>PO00625</t>
  </si>
  <si>
    <t>PO00624</t>
  </si>
  <si>
    <t>PO00623</t>
  </si>
  <si>
    <t>PO00622</t>
  </si>
  <si>
    <t>PO00621</t>
  </si>
  <si>
    <t>PO00620</t>
  </si>
  <si>
    <t>PO00619</t>
  </si>
  <si>
    <t>PO00618</t>
  </si>
  <si>
    <t>PO00617</t>
  </si>
  <si>
    <t>PO00616</t>
  </si>
  <si>
    <t>PO00615</t>
  </si>
  <si>
    <t>PO00614</t>
  </si>
  <si>
    <t>PO00613</t>
  </si>
  <si>
    <t>PO00612</t>
  </si>
  <si>
    <t>PO00611</t>
  </si>
  <si>
    <t>PO00610</t>
  </si>
  <si>
    <t>PO00609</t>
  </si>
  <si>
    <t>PO00608</t>
  </si>
  <si>
    <t>PO00607</t>
  </si>
  <si>
    <t>PO00606</t>
  </si>
  <si>
    <t>PO00605</t>
  </si>
  <si>
    <t>PO00604</t>
  </si>
  <si>
    <t>PO00603</t>
  </si>
  <si>
    <t>PO00602</t>
  </si>
  <si>
    <t>PO00601</t>
  </si>
  <si>
    <t>PO00600</t>
  </si>
  <si>
    <t>PO00599</t>
  </si>
  <si>
    <t>PO00598</t>
  </si>
  <si>
    <t>PO00597</t>
  </si>
  <si>
    <t>PO00596</t>
  </si>
  <si>
    <t>PO00595</t>
  </si>
  <si>
    <t>PO00594</t>
  </si>
  <si>
    <t>PO00593</t>
  </si>
  <si>
    <t>PO00592</t>
  </si>
  <si>
    <t>PO00591</t>
  </si>
  <si>
    <t>PO00590</t>
  </si>
  <si>
    <t>PO00589</t>
  </si>
  <si>
    <t>PO00588</t>
  </si>
  <si>
    <t>PO00587</t>
  </si>
  <si>
    <t>PO00586</t>
  </si>
  <si>
    <t>PO00585</t>
  </si>
  <si>
    <t>PO00584</t>
  </si>
  <si>
    <t>PO00583</t>
  </si>
  <si>
    <t>PO00582</t>
  </si>
  <si>
    <t>PO00581</t>
  </si>
  <si>
    <t>PO00580</t>
  </si>
  <si>
    <t>PO00579</t>
  </si>
  <si>
    <t>PO00578</t>
  </si>
  <si>
    <t>PO00577</t>
  </si>
  <si>
    <t>PO00576</t>
  </si>
  <si>
    <t>PO00575</t>
  </si>
  <si>
    <t>PO00574</t>
  </si>
  <si>
    <t>PO00573</t>
  </si>
  <si>
    <t>PO00572</t>
  </si>
  <si>
    <t>PO00571</t>
  </si>
  <si>
    <t>PO00570</t>
  </si>
  <si>
    <t>PO00569</t>
  </si>
  <si>
    <t>PO00568</t>
  </si>
  <si>
    <t>PO00567</t>
  </si>
  <si>
    <t>PO00566</t>
  </si>
  <si>
    <t>PO00565</t>
  </si>
  <si>
    <t>PO00564</t>
  </si>
  <si>
    <t>PO00563</t>
  </si>
  <si>
    <t>PO00562</t>
  </si>
  <si>
    <t>PO00561</t>
  </si>
  <si>
    <t>PO00560</t>
  </si>
  <si>
    <t>PO00559</t>
  </si>
  <si>
    <t>PO00558</t>
  </si>
  <si>
    <t>PO00557</t>
  </si>
  <si>
    <t>PO00556</t>
  </si>
  <si>
    <t>PO00555</t>
  </si>
  <si>
    <t>PO00554</t>
  </si>
  <si>
    <t>PO00553</t>
  </si>
  <si>
    <t>PO00552</t>
  </si>
  <si>
    <t>PO00551</t>
  </si>
  <si>
    <t>PO00550</t>
  </si>
  <si>
    <t>PO00549</t>
  </si>
  <si>
    <t>PO00548</t>
  </si>
  <si>
    <t>PO00547</t>
  </si>
  <si>
    <t>PO00546</t>
  </si>
  <si>
    <t>PO00545</t>
  </si>
  <si>
    <t>PO00544</t>
  </si>
  <si>
    <t>PO00543</t>
  </si>
  <si>
    <t>PO00542</t>
  </si>
  <si>
    <t>PO00541</t>
  </si>
  <si>
    <t>PO00540</t>
  </si>
  <si>
    <t>PO00539</t>
  </si>
  <si>
    <t>PO00538</t>
  </si>
  <si>
    <t>PO00537</t>
  </si>
  <si>
    <t>PO00536</t>
  </si>
  <si>
    <t>PO00535</t>
  </si>
  <si>
    <t>PO00534</t>
  </si>
  <si>
    <t>PO00533</t>
  </si>
  <si>
    <t>PO00532</t>
  </si>
  <si>
    <t>PO00531</t>
  </si>
  <si>
    <t>PO00530</t>
  </si>
  <si>
    <t>PO00529</t>
  </si>
  <si>
    <t>PO00528</t>
  </si>
  <si>
    <t>PO00527</t>
  </si>
  <si>
    <t>PO00526</t>
  </si>
  <si>
    <t>PO00525</t>
  </si>
  <si>
    <t>PO00524</t>
  </si>
  <si>
    <t>PO00523</t>
  </si>
  <si>
    <t>PO00522</t>
  </si>
  <si>
    <t>PO00521</t>
  </si>
  <si>
    <t>PO00520</t>
  </si>
  <si>
    <t>PO00519</t>
  </si>
  <si>
    <t>PO00518</t>
  </si>
  <si>
    <t>PO00517</t>
  </si>
  <si>
    <t>PO00516</t>
  </si>
  <si>
    <t>PO00515</t>
  </si>
  <si>
    <t>PO00514</t>
  </si>
  <si>
    <t>PO00513</t>
  </si>
  <si>
    <t>PO00512</t>
  </si>
  <si>
    <t>PO00511</t>
  </si>
  <si>
    <t>PO00510</t>
  </si>
  <si>
    <t>PO00509</t>
  </si>
  <si>
    <t>PO00508</t>
  </si>
  <si>
    <t>PO00507</t>
  </si>
  <si>
    <t>PO00506</t>
  </si>
  <si>
    <t>PO00505</t>
  </si>
  <si>
    <t>PO00504</t>
  </si>
  <si>
    <t>PO00503</t>
  </si>
  <si>
    <t>PO00502</t>
  </si>
  <si>
    <t>PO00501</t>
  </si>
  <si>
    <t>PO00500</t>
  </si>
  <si>
    <t>PO00499</t>
  </si>
  <si>
    <t>PO00498</t>
  </si>
  <si>
    <t>PO00497</t>
  </si>
  <si>
    <t>PO00496</t>
  </si>
  <si>
    <t>PO00495</t>
  </si>
  <si>
    <t>PO00494</t>
  </si>
  <si>
    <t>PO00493</t>
  </si>
  <si>
    <t>PO00492</t>
  </si>
  <si>
    <t>PO00491</t>
  </si>
  <si>
    <t>PO00490</t>
  </si>
  <si>
    <t>PO00489</t>
  </si>
  <si>
    <t>PO00488</t>
  </si>
  <si>
    <t>PO00487</t>
  </si>
  <si>
    <t>PO00486</t>
  </si>
  <si>
    <t>PO00485</t>
  </si>
  <si>
    <t>PO00484</t>
  </si>
  <si>
    <t>PO00483</t>
  </si>
  <si>
    <t>PO00482</t>
  </si>
  <si>
    <t>PO00481</t>
  </si>
  <si>
    <t>PO00480</t>
  </si>
  <si>
    <t>PO00479</t>
  </si>
  <si>
    <t>PO00478</t>
  </si>
  <si>
    <t>PO00477</t>
  </si>
  <si>
    <t>PO00476</t>
  </si>
  <si>
    <t>PO00475</t>
  </si>
  <si>
    <t>PO00474</t>
  </si>
  <si>
    <t>PO00473</t>
  </si>
  <si>
    <t>PO00472</t>
  </si>
  <si>
    <t>PO00471</t>
  </si>
  <si>
    <t>PO00470</t>
  </si>
  <si>
    <t>PO00469</t>
  </si>
  <si>
    <t>PO00468</t>
  </si>
  <si>
    <t>PO00467</t>
  </si>
  <si>
    <t>PO00466</t>
  </si>
  <si>
    <t>PO00465</t>
  </si>
  <si>
    <t>PO00464</t>
  </si>
  <si>
    <t>PO00463</t>
  </si>
  <si>
    <t>PO00462</t>
  </si>
  <si>
    <t>PO00461</t>
  </si>
  <si>
    <t>PO00460</t>
  </si>
  <si>
    <t>PO00459</t>
  </si>
  <si>
    <t>PO00458</t>
  </si>
  <si>
    <t>PO00457</t>
  </si>
  <si>
    <t>PO00456</t>
  </si>
  <si>
    <t>PO00455</t>
  </si>
  <si>
    <t>PO00454</t>
  </si>
  <si>
    <t>PO00453</t>
  </si>
  <si>
    <t>PO00452</t>
  </si>
  <si>
    <t>PO00451</t>
  </si>
  <si>
    <t>PO00450</t>
  </si>
  <si>
    <t>PO00449</t>
  </si>
  <si>
    <t>PO00448</t>
  </si>
  <si>
    <t>PO00447</t>
  </si>
  <si>
    <t>PO00446</t>
  </si>
  <si>
    <t>PO00445</t>
  </si>
  <si>
    <t>PO00444</t>
  </si>
  <si>
    <t>PO00443</t>
  </si>
  <si>
    <t>PO00442</t>
  </si>
  <si>
    <t>PO00441</t>
  </si>
  <si>
    <t>PO00440</t>
  </si>
  <si>
    <t>PO00439</t>
  </si>
  <si>
    <t>PO00438</t>
  </si>
  <si>
    <t>PO00437</t>
  </si>
  <si>
    <t>PO00436</t>
  </si>
  <si>
    <t>PO00435</t>
  </si>
  <si>
    <t>PO00434</t>
  </si>
  <si>
    <t>PO00433</t>
  </si>
  <si>
    <t>PO00432</t>
  </si>
  <si>
    <t>PO00431</t>
  </si>
  <si>
    <t>PO00430</t>
  </si>
  <si>
    <t>PO00429</t>
  </si>
  <si>
    <t>PO00428</t>
  </si>
  <si>
    <t>PO00427</t>
  </si>
  <si>
    <t>PO00426</t>
  </si>
  <si>
    <t>PO00425</t>
  </si>
  <si>
    <t>PO00424</t>
  </si>
  <si>
    <t>PO00423</t>
  </si>
  <si>
    <t>PO00422</t>
  </si>
  <si>
    <t>PO00421</t>
  </si>
  <si>
    <t>PO00420</t>
  </si>
  <si>
    <t>PO00419</t>
  </si>
  <si>
    <t>PO00418</t>
  </si>
  <si>
    <t>PO00417</t>
  </si>
  <si>
    <t>PO00416</t>
  </si>
  <si>
    <t>PO00415</t>
  </si>
  <si>
    <t>PO00414</t>
  </si>
  <si>
    <t>PO00413</t>
  </si>
  <si>
    <t>PO00412</t>
  </si>
  <si>
    <t>PO00411</t>
  </si>
  <si>
    <t>PO00410</t>
  </si>
  <si>
    <t>PO00409</t>
  </si>
  <si>
    <t>PO00408</t>
  </si>
  <si>
    <t>PO00407</t>
  </si>
  <si>
    <t>PO00406</t>
  </si>
  <si>
    <t>PO00405</t>
  </si>
  <si>
    <t>PO00404</t>
  </si>
  <si>
    <t>PO00403</t>
  </si>
  <si>
    <t>PO00402</t>
  </si>
  <si>
    <t>PO00401</t>
  </si>
  <si>
    <t>PO00400</t>
  </si>
  <si>
    <t>PO00399</t>
  </si>
  <si>
    <t>PO00398</t>
  </si>
  <si>
    <t>PO00397</t>
  </si>
  <si>
    <t>PO00396</t>
  </si>
  <si>
    <t>PO00395</t>
  </si>
  <si>
    <t>PO00394</t>
  </si>
  <si>
    <t>PO00393</t>
  </si>
  <si>
    <t>PO00392</t>
  </si>
  <si>
    <t>PO00391</t>
  </si>
  <si>
    <t>PO00390</t>
  </si>
  <si>
    <t>PO00389</t>
  </si>
  <si>
    <t>PO00388</t>
  </si>
  <si>
    <t>PO00387</t>
  </si>
  <si>
    <t>PO00386</t>
  </si>
  <si>
    <t>PO00385</t>
  </si>
  <si>
    <t>PO00384</t>
  </si>
  <si>
    <t>PO00383</t>
  </si>
  <si>
    <t>PO00382</t>
  </si>
  <si>
    <t>PO00381</t>
  </si>
  <si>
    <t>PO00380</t>
  </si>
  <si>
    <t>PO00379</t>
  </si>
  <si>
    <t>PO00378</t>
  </si>
  <si>
    <t>PO00377</t>
  </si>
  <si>
    <t>PO00376</t>
  </si>
  <si>
    <t>PO00375</t>
  </si>
  <si>
    <t>PO00374</t>
  </si>
  <si>
    <t>PO00373</t>
  </si>
  <si>
    <t>PO00372</t>
  </si>
  <si>
    <t>PO00371</t>
  </si>
  <si>
    <t>PO00370</t>
  </si>
  <si>
    <t>PO00369</t>
  </si>
  <si>
    <t>PO00368</t>
  </si>
  <si>
    <t>PO00367</t>
  </si>
  <si>
    <t>PO00366</t>
  </si>
  <si>
    <t>PO00365</t>
  </si>
  <si>
    <t>PO00364</t>
  </si>
  <si>
    <t>PO00363</t>
  </si>
  <si>
    <t>PO00362</t>
  </si>
  <si>
    <t>PO00361</t>
  </si>
  <si>
    <t>PO00360</t>
  </si>
  <si>
    <t>PO00359</t>
  </si>
  <si>
    <t>PO00358</t>
  </si>
  <si>
    <t>PO00357</t>
  </si>
  <si>
    <t>PO00356</t>
  </si>
  <si>
    <t>PO00355</t>
  </si>
  <si>
    <t>PO00354</t>
  </si>
  <si>
    <t>PO00353</t>
  </si>
  <si>
    <t>PO00352</t>
  </si>
  <si>
    <t>PO00351</t>
  </si>
  <si>
    <t>PO00350</t>
  </si>
  <si>
    <t>PO00349</t>
  </si>
  <si>
    <t>PO00348</t>
  </si>
  <si>
    <t>PO00347</t>
  </si>
  <si>
    <t>PO00346</t>
  </si>
  <si>
    <t>PO00345</t>
  </si>
  <si>
    <t>PO00344</t>
  </si>
  <si>
    <t>PO00343</t>
  </si>
  <si>
    <t>PO00342</t>
  </si>
  <si>
    <t>PO00341</t>
  </si>
  <si>
    <t>PO00340</t>
  </si>
  <si>
    <t>PO00339</t>
  </si>
  <si>
    <t>PO00338</t>
  </si>
  <si>
    <t>PO00337</t>
  </si>
  <si>
    <t>PO00336</t>
  </si>
  <si>
    <t>PO00335</t>
  </si>
  <si>
    <t>PO00334</t>
  </si>
  <si>
    <t>PO00333</t>
  </si>
  <si>
    <t>PO00332</t>
  </si>
  <si>
    <t>PO00331</t>
  </si>
  <si>
    <t>PO00330</t>
  </si>
  <si>
    <t>PO00329</t>
  </si>
  <si>
    <t>PO00328</t>
  </si>
  <si>
    <t>PO00327</t>
  </si>
  <si>
    <t>PO00326</t>
  </si>
  <si>
    <t>PO00325</t>
  </si>
  <si>
    <t>PO00324</t>
  </si>
  <si>
    <t>PO00323</t>
  </si>
  <si>
    <t>PO00322</t>
  </si>
  <si>
    <t>PO00321</t>
  </si>
  <si>
    <t>PO00320</t>
  </si>
  <si>
    <t>PO00319</t>
  </si>
  <si>
    <t>PO00318</t>
  </si>
  <si>
    <t>PO00317</t>
  </si>
  <si>
    <t>PO00316</t>
  </si>
  <si>
    <t>PO00315</t>
  </si>
  <si>
    <t>PO00314</t>
  </si>
  <si>
    <t>PO00313</t>
  </si>
  <si>
    <t>PO00312</t>
  </si>
  <si>
    <t>PO00311</t>
  </si>
  <si>
    <t>PO00310</t>
  </si>
  <si>
    <t>PO00309</t>
  </si>
  <si>
    <t>PO00308</t>
  </si>
  <si>
    <t>PO00307</t>
  </si>
  <si>
    <t>PO00306</t>
  </si>
  <si>
    <t>PO00305</t>
  </si>
  <si>
    <t>PO00304</t>
  </si>
  <si>
    <t>PO00303</t>
  </si>
  <si>
    <t>PO00302</t>
  </si>
  <si>
    <t>PO00301</t>
  </si>
  <si>
    <t>PO00300</t>
  </si>
  <si>
    <t>PO00299</t>
  </si>
  <si>
    <t>PO00298</t>
  </si>
  <si>
    <t>PO00297</t>
  </si>
  <si>
    <t>PO00296</t>
  </si>
  <si>
    <t>PO00295</t>
  </si>
  <si>
    <t>PO00294</t>
  </si>
  <si>
    <t>PO00293</t>
  </si>
  <si>
    <t>PO00292</t>
  </si>
  <si>
    <t>PO00291</t>
  </si>
  <si>
    <t>PO00290</t>
  </si>
  <si>
    <t>PO00289</t>
  </si>
  <si>
    <t>PO00288</t>
  </si>
  <si>
    <t>PO00287</t>
  </si>
  <si>
    <t>PO00286</t>
  </si>
  <si>
    <t>PO00285</t>
  </si>
  <si>
    <t>PO00284</t>
  </si>
  <si>
    <t>PO00283</t>
  </si>
  <si>
    <t>PO00282</t>
  </si>
  <si>
    <t>PO00281</t>
  </si>
  <si>
    <t>PO00280</t>
  </si>
  <si>
    <t>PO00279</t>
  </si>
  <si>
    <t>PO00278</t>
  </si>
  <si>
    <t>PO00277</t>
  </si>
  <si>
    <t>PO00276</t>
  </si>
  <si>
    <t>PO00275</t>
  </si>
  <si>
    <t>PO00274</t>
  </si>
  <si>
    <t>PO00273</t>
  </si>
  <si>
    <t>PO00272</t>
  </si>
  <si>
    <t>PO00271</t>
  </si>
  <si>
    <t>PO00270</t>
  </si>
  <si>
    <t>PO00269</t>
  </si>
  <si>
    <t>PO00268</t>
  </si>
  <si>
    <t>PO00267</t>
  </si>
  <si>
    <t>PO00266</t>
  </si>
  <si>
    <t>PO00265</t>
  </si>
  <si>
    <t>PO00264</t>
  </si>
  <si>
    <t>PO00263</t>
  </si>
  <si>
    <t>PO00262</t>
  </si>
  <si>
    <t>PO00261</t>
  </si>
  <si>
    <t>PO00260</t>
  </si>
  <si>
    <t>PO00259</t>
  </si>
  <si>
    <t>PO00258</t>
  </si>
  <si>
    <t>PO00257</t>
  </si>
  <si>
    <t>PO00256</t>
  </si>
  <si>
    <t>PO00255</t>
  </si>
  <si>
    <t>PO00254</t>
  </si>
  <si>
    <t>PO00253</t>
  </si>
  <si>
    <t>PO00252</t>
  </si>
  <si>
    <t>PO00251</t>
  </si>
  <si>
    <t>PO00250</t>
  </si>
  <si>
    <t>PO00249</t>
  </si>
  <si>
    <t>PO00248</t>
  </si>
  <si>
    <t>PO00247</t>
  </si>
  <si>
    <t>PO00246</t>
  </si>
  <si>
    <t>PO00245</t>
  </si>
  <si>
    <t>PO00244</t>
  </si>
  <si>
    <t>PO00243</t>
  </si>
  <si>
    <t>PO00242</t>
  </si>
  <si>
    <t>PO00241</t>
  </si>
  <si>
    <t>PO00240</t>
  </si>
  <si>
    <t>PO00239</t>
  </si>
  <si>
    <t>PO00238</t>
  </si>
  <si>
    <t>PO00237</t>
  </si>
  <si>
    <t>PO00236</t>
  </si>
  <si>
    <t>PO00235</t>
  </si>
  <si>
    <t>PO00234</t>
  </si>
  <si>
    <t>PO00233</t>
  </si>
  <si>
    <t>PO00232</t>
  </si>
  <si>
    <t>PO00231</t>
  </si>
  <si>
    <t>PO00230</t>
  </si>
  <si>
    <t>PO00229</t>
  </si>
  <si>
    <t>PO00228</t>
  </si>
  <si>
    <t>PO00227</t>
  </si>
  <si>
    <t>PO00226</t>
  </si>
  <si>
    <t>PO00225</t>
  </si>
  <si>
    <t>PO00224</t>
  </si>
  <si>
    <t>PO00223</t>
  </si>
  <si>
    <t>PO00222</t>
  </si>
  <si>
    <t>PO00221</t>
  </si>
  <si>
    <t>PO00220</t>
  </si>
  <si>
    <t>PO00219</t>
  </si>
  <si>
    <t>PO00218</t>
  </si>
  <si>
    <t>PO00217</t>
  </si>
  <si>
    <t>PO00216</t>
  </si>
  <si>
    <t>PO00215</t>
  </si>
  <si>
    <t>PO00214</t>
  </si>
  <si>
    <t>PO00213</t>
  </si>
  <si>
    <t>PO00212</t>
  </si>
  <si>
    <t>PO00211</t>
  </si>
  <si>
    <t>PO00210</t>
  </si>
  <si>
    <t>PO00209</t>
  </si>
  <si>
    <t>PO00208</t>
  </si>
  <si>
    <t>PO00207</t>
  </si>
  <si>
    <t>PO00206</t>
  </si>
  <si>
    <t>PO00205</t>
  </si>
  <si>
    <t>PO00204</t>
  </si>
  <si>
    <t>PO00203</t>
  </si>
  <si>
    <t>PO00202</t>
  </si>
  <si>
    <t>PO00201</t>
  </si>
  <si>
    <t>PO00200</t>
  </si>
  <si>
    <t>PO00199</t>
  </si>
  <si>
    <t>PO00198</t>
  </si>
  <si>
    <t>PO00197</t>
  </si>
  <si>
    <t>PO00196</t>
  </si>
  <si>
    <t>PO00195</t>
  </si>
  <si>
    <t>PO00194</t>
  </si>
  <si>
    <t>PO00193</t>
  </si>
  <si>
    <t>PO00192</t>
  </si>
  <si>
    <t>PO00191</t>
  </si>
  <si>
    <t>PO00190</t>
  </si>
  <si>
    <t>PO00189</t>
  </si>
  <si>
    <t>PO00188</t>
  </si>
  <si>
    <t>PO00187</t>
  </si>
  <si>
    <t>PO00186</t>
  </si>
  <si>
    <t>PO00185</t>
  </si>
  <si>
    <t>PO00184</t>
  </si>
  <si>
    <t>PO00183</t>
  </si>
  <si>
    <t>PO00182</t>
  </si>
  <si>
    <t>PO00181</t>
  </si>
  <si>
    <t>PO00180</t>
  </si>
  <si>
    <t>PO00179</t>
  </si>
  <si>
    <t>PO00178</t>
  </si>
  <si>
    <t>PO00177</t>
  </si>
  <si>
    <t>PO00176</t>
  </si>
  <si>
    <t>PO00175</t>
  </si>
  <si>
    <t>PO00174</t>
  </si>
  <si>
    <t>PO00173</t>
  </si>
  <si>
    <t>PO00172</t>
  </si>
  <si>
    <t>PO00171</t>
  </si>
  <si>
    <t>PO00170</t>
  </si>
  <si>
    <t>PO00169</t>
  </si>
  <si>
    <t>PO00168</t>
  </si>
  <si>
    <t>PO00167</t>
  </si>
  <si>
    <t>PO00166</t>
  </si>
  <si>
    <t>PO00165</t>
  </si>
  <si>
    <t>PO00164</t>
  </si>
  <si>
    <t>PO00163</t>
  </si>
  <si>
    <t>PO00162</t>
  </si>
  <si>
    <t>PO00161</t>
  </si>
  <si>
    <t>PO00160</t>
  </si>
  <si>
    <t>PO00159</t>
  </si>
  <si>
    <t>PO00158</t>
  </si>
  <si>
    <t>PO00157</t>
  </si>
  <si>
    <t>PO00156</t>
  </si>
  <si>
    <t>PO00155</t>
  </si>
  <si>
    <t>PO00154</t>
  </si>
  <si>
    <t>PO00153</t>
  </si>
  <si>
    <t>PO00152</t>
  </si>
  <si>
    <t>PO00151</t>
  </si>
  <si>
    <t>PO00150</t>
  </si>
  <si>
    <t>PO00149</t>
  </si>
  <si>
    <t>PO00148</t>
  </si>
  <si>
    <t>PO00147</t>
  </si>
  <si>
    <t>PO00146</t>
  </si>
  <si>
    <t>PO00145</t>
  </si>
  <si>
    <t>PO00144</t>
  </si>
  <si>
    <t>PO00143</t>
  </si>
  <si>
    <t>PO00142</t>
  </si>
  <si>
    <t>PO00141</t>
  </si>
  <si>
    <t>PO00140</t>
  </si>
  <si>
    <t>PO00139</t>
  </si>
  <si>
    <t>PO00138</t>
  </si>
  <si>
    <t>PO00137</t>
  </si>
  <si>
    <t>PO00136</t>
  </si>
  <si>
    <t>PO00135</t>
  </si>
  <si>
    <t>PO00134</t>
  </si>
  <si>
    <t>PO00133</t>
  </si>
  <si>
    <t>PO00132</t>
  </si>
  <si>
    <t>PO00131</t>
  </si>
  <si>
    <t>PO00130</t>
  </si>
  <si>
    <t>PO00129</t>
  </si>
  <si>
    <t>PO00128</t>
  </si>
  <si>
    <t>PO00127</t>
  </si>
  <si>
    <t>PO00126</t>
  </si>
  <si>
    <t>PO00125</t>
  </si>
  <si>
    <t>PO00124</t>
  </si>
  <si>
    <t>PO00123</t>
  </si>
  <si>
    <t>PO00122</t>
  </si>
  <si>
    <t>PO00121</t>
  </si>
  <si>
    <t>PO00120</t>
  </si>
  <si>
    <t>PO00119</t>
  </si>
  <si>
    <t>PO00118</t>
  </si>
  <si>
    <t>PO00117</t>
  </si>
  <si>
    <t>PO00116</t>
  </si>
  <si>
    <t>PO00115</t>
  </si>
  <si>
    <t>PO00114</t>
  </si>
  <si>
    <t>PO00113</t>
  </si>
  <si>
    <t>PO00112</t>
  </si>
  <si>
    <t>PO00111</t>
  </si>
  <si>
    <t>PO00110</t>
  </si>
  <si>
    <t>PO00109</t>
  </si>
  <si>
    <t>PO00108</t>
  </si>
  <si>
    <t>PO00107</t>
  </si>
  <si>
    <t>PO00106</t>
  </si>
  <si>
    <t>PO00105</t>
  </si>
  <si>
    <t>PO00104</t>
  </si>
  <si>
    <t>PO00103</t>
  </si>
  <si>
    <t>PO00102</t>
  </si>
  <si>
    <t>PO00101</t>
  </si>
  <si>
    <t>PO00100</t>
  </si>
  <si>
    <t>PO00099</t>
  </si>
  <si>
    <t>PO00098</t>
  </si>
  <si>
    <t>PO00097</t>
  </si>
  <si>
    <t>PO00096</t>
  </si>
  <si>
    <t>PO00095</t>
  </si>
  <si>
    <t>PO00094</t>
  </si>
  <si>
    <t>PO00093</t>
  </si>
  <si>
    <t>PO00092</t>
  </si>
  <si>
    <t>PO00091</t>
  </si>
  <si>
    <t>PO00090</t>
  </si>
  <si>
    <t>PO00089</t>
  </si>
  <si>
    <t>PO00088</t>
  </si>
  <si>
    <t>PO00087</t>
  </si>
  <si>
    <t>PO00086</t>
  </si>
  <si>
    <t>PO00085</t>
  </si>
  <si>
    <t>PO00084</t>
  </si>
  <si>
    <t>PO00083</t>
  </si>
  <si>
    <t>PO00082</t>
  </si>
  <si>
    <t>PO00081</t>
  </si>
  <si>
    <t>PO00080</t>
  </si>
  <si>
    <t>PO00079</t>
  </si>
  <si>
    <t>PO00078</t>
  </si>
  <si>
    <t>PO00077</t>
  </si>
  <si>
    <t>PO00076</t>
  </si>
  <si>
    <t>PO00075</t>
  </si>
  <si>
    <t>PO00074</t>
  </si>
  <si>
    <t>PO00073</t>
  </si>
  <si>
    <t>PO00072</t>
  </si>
  <si>
    <t>PO00071</t>
  </si>
  <si>
    <t>PO00070</t>
  </si>
  <si>
    <t>PO00069</t>
  </si>
  <si>
    <t>PO00068</t>
  </si>
  <si>
    <t>PO00067</t>
  </si>
  <si>
    <t>PO00066</t>
  </si>
  <si>
    <t>PO00065</t>
  </si>
  <si>
    <t>PO00064</t>
  </si>
  <si>
    <t>PO00063</t>
  </si>
  <si>
    <t>PO00062</t>
  </si>
  <si>
    <t>PO00061</t>
  </si>
  <si>
    <t>PO00060</t>
  </si>
  <si>
    <t>PO00059</t>
  </si>
  <si>
    <t>PO00058</t>
  </si>
  <si>
    <t>PO00057</t>
  </si>
  <si>
    <t>PO00056</t>
  </si>
  <si>
    <t>PO00055</t>
  </si>
  <si>
    <t>PO00054</t>
  </si>
  <si>
    <t>PO00053</t>
  </si>
  <si>
    <t>PO00052</t>
  </si>
  <si>
    <t>PO00051</t>
  </si>
  <si>
    <t>PO00050</t>
  </si>
  <si>
    <t>PO00049</t>
  </si>
  <si>
    <t>PO00048</t>
  </si>
  <si>
    <t>PO00047</t>
  </si>
  <si>
    <t>PO00046</t>
  </si>
  <si>
    <t>PO00045</t>
  </si>
  <si>
    <t>PO00044</t>
  </si>
  <si>
    <t>PO00043</t>
  </si>
  <si>
    <t>PO00042</t>
  </si>
  <si>
    <t>PO00041</t>
  </si>
  <si>
    <t>PO00040</t>
  </si>
  <si>
    <t>PO00039</t>
  </si>
  <si>
    <t>PO00038</t>
  </si>
  <si>
    <t>PO00037</t>
  </si>
  <si>
    <t>PO00036</t>
  </si>
  <si>
    <t>PO00035</t>
  </si>
  <si>
    <t>PO00034</t>
  </si>
  <si>
    <t>PO00033</t>
  </si>
  <si>
    <t>PO00032</t>
  </si>
  <si>
    <t>PO00031</t>
  </si>
  <si>
    <t>PO00030</t>
  </si>
  <si>
    <t>PO00029</t>
  </si>
  <si>
    <t>PO00028</t>
  </si>
  <si>
    <t>PO00027</t>
  </si>
  <si>
    <t>PO00026</t>
  </si>
  <si>
    <t>PO00025</t>
  </si>
  <si>
    <t>PO00024</t>
  </si>
  <si>
    <t>PO00023</t>
  </si>
  <si>
    <t>PO00022</t>
  </si>
  <si>
    <t>PO00021</t>
  </si>
  <si>
    <t>PO00020</t>
  </si>
  <si>
    <t>PO00019</t>
  </si>
  <si>
    <t>PO00018</t>
  </si>
  <si>
    <t>PO00017</t>
  </si>
  <si>
    <t>PO00016</t>
  </si>
  <si>
    <t>PO00015</t>
  </si>
  <si>
    <t>PO00014</t>
  </si>
  <si>
    <t>PO00013</t>
  </si>
  <si>
    <t>PO00012</t>
  </si>
  <si>
    <t>PO00011</t>
  </si>
  <si>
    <t>PO00010</t>
  </si>
  <si>
    <t>PO00009</t>
  </si>
  <si>
    <t>PO00008</t>
  </si>
  <si>
    <t>PO00007</t>
  </si>
  <si>
    <t>PO00006</t>
  </si>
  <si>
    <t>PO00005</t>
  </si>
  <si>
    <t>PO00004</t>
  </si>
  <si>
    <t>PO00003</t>
  </si>
  <si>
    <t>PO00002</t>
  </si>
  <si>
    <t>PO00001</t>
  </si>
  <si>
    <t>Lead time Days</t>
  </si>
  <si>
    <t>Late Flag</t>
  </si>
  <si>
    <t>On_Time_Flag</t>
  </si>
  <si>
    <t>Purchase_Value</t>
  </si>
  <si>
    <t>Received_Quantity</t>
  </si>
  <si>
    <t>Actual_Delivery_Date</t>
  </si>
  <si>
    <t>Expected_Delivery_Date</t>
  </si>
  <si>
    <t>Unit_Price</t>
  </si>
  <si>
    <t>Ordered_Quantity</t>
  </si>
  <si>
    <t>PO_Date</t>
  </si>
  <si>
    <t>PO_Number</t>
  </si>
  <si>
    <t>+91 9398373699</t>
  </si>
  <si>
    <t>park.choi@starrawsupplie.com</t>
  </si>
  <si>
    <t>Park Choi</t>
  </si>
  <si>
    <t>No</t>
  </si>
  <si>
    <t>Net 15</t>
  </si>
  <si>
    <t>Local</t>
  </si>
  <si>
    <t>Nagpur</t>
  </si>
  <si>
    <t>India</t>
  </si>
  <si>
    <t>StarRaw Suppliers</t>
  </si>
  <si>
    <t>+91 7784617592</t>
  </si>
  <si>
    <t>hui.liu@clearchem.com</t>
  </si>
  <si>
    <t>Hui Liu</t>
  </si>
  <si>
    <t>Net 30</t>
  </si>
  <si>
    <t>Mumbai</t>
  </si>
  <si>
    <t>ClearChem Ltd</t>
  </si>
  <si>
    <t>+91 8601012552</t>
  </si>
  <si>
    <t>peng.zhang@greenpack.com</t>
  </si>
  <si>
    <t>Peng Zhang</t>
  </si>
  <si>
    <t>Net 45</t>
  </si>
  <si>
    <t>Hyderabad</t>
  </si>
  <si>
    <t>GreenPack Pvt Ltd</t>
  </si>
  <si>
    <t>+91 8225231174</t>
  </si>
  <si>
    <t>aisha.begum@omegamechsolut.com</t>
  </si>
  <si>
    <t>Aisha Begum</t>
  </si>
  <si>
    <t>Ludhiana</t>
  </si>
  <si>
    <t>OmegaMech Solutions</t>
  </si>
  <si>
    <t>+91 9757993748</t>
  </si>
  <si>
    <t>mohammed.al-rashid@deltachemindus.com</t>
  </si>
  <si>
    <t>Mohammed Al-Rashid</t>
  </si>
  <si>
    <t>Vadodara</t>
  </si>
  <si>
    <t>DeltaChem Industries</t>
  </si>
  <si>
    <t>+886 8640333416</t>
  </si>
  <si>
    <t>sneha.nair@proelectaiwan.com</t>
  </si>
  <si>
    <t>Sneha Nair</t>
  </si>
  <si>
    <t>Yes</t>
  </si>
  <si>
    <t>International</t>
  </si>
  <si>
    <t>Taipei</t>
  </si>
  <si>
    <t>Taiwan</t>
  </si>
  <si>
    <t>ProElec Taiwan</t>
  </si>
  <si>
    <t>+91 7518269470</t>
  </si>
  <si>
    <t>ravi.krishnan@metalworksindi.com</t>
  </si>
  <si>
    <t>Ravi Krishnan</t>
  </si>
  <si>
    <t>Raipur</t>
  </si>
  <si>
    <t>MetalWorks India</t>
  </si>
  <si>
    <t>+91 9518594012</t>
  </si>
  <si>
    <t>luisa.fernandez@trustpackindus.com</t>
  </si>
  <si>
    <t>Luisa Fernandez</t>
  </si>
  <si>
    <t>Chennai</t>
  </si>
  <si>
    <t>TrustPack Industries</t>
  </si>
  <si>
    <t>+91 8812811504</t>
  </si>
  <si>
    <t>carlos.rodriguez@easternmech.com</t>
  </si>
  <si>
    <t>Carlos Rodriguez</t>
  </si>
  <si>
    <t>Advance 20% + Net 30</t>
  </si>
  <si>
    <t>Kolkata</t>
  </si>
  <si>
    <t>Eastern Mech Ltd</t>
  </si>
  <si>
    <t>+31 8260860019</t>
  </si>
  <si>
    <t>emma.nielsen@qualchemintern.com</t>
  </si>
  <si>
    <t>Emma Nielsen</t>
  </si>
  <si>
    <t>Net 60</t>
  </si>
  <si>
    <t>Rotterdam</t>
  </si>
  <si>
    <t>Netherlands</t>
  </si>
  <si>
    <t>QualChem International</t>
  </si>
  <si>
    <t>+91 7500892240</t>
  </si>
  <si>
    <t>lars.andersen@polypacksoluti.com</t>
  </si>
  <si>
    <t>Lars Andersen</t>
  </si>
  <si>
    <t>Pune</t>
  </si>
  <si>
    <t>PolyPack Solutions</t>
  </si>
  <si>
    <t>+91 8669674686</t>
  </si>
  <si>
    <t>fatima.qureshi@sunrisemateria.com</t>
  </si>
  <si>
    <t>Fatima Qureshi</t>
  </si>
  <si>
    <t>Bhubaneswar</t>
  </si>
  <si>
    <t>Sunrise Materials</t>
  </si>
  <si>
    <t>+91 9941986484</t>
  </si>
  <si>
    <t>ahmed.hassan@rajmechcompone.com</t>
  </si>
  <si>
    <t>Ahmed Hassan</t>
  </si>
  <si>
    <t>Jaipur</t>
  </si>
  <si>
    <t>RajMech Components</t>
  </si>
  <si>
    <t>+91 7808183579</t>
  </si>
  <si>
    <t>sarah.williams@vistaelec.com</t>
  </si>
  <si>
    <t>Sarah Williams</t>
  </si>
  <si>
    <t>Bangalore</t>
  </si>
  <si>
    <t>VistaElec Pvt Ltd</t>
  </si>
  <si>
    <t>+1 8296494259</t>
  </si>
  <si>
    <t>james.johnson@chemsupplycorp.com</t>
  </si>
  <si>
    <t>James Johnson</t>
  </si>
  <si>
    <t>Houston</t>
  </si>
  <si>
    <t>USA</t>
  </si>
  <si>
    <t>ChemSupply Corp</t>
  </si>
  <si>
    <t>+971 7691384341</t>
  </si>
  <si>
    <t>ji-ho.kim@allpacktrading.com</t>
  </si>
  <si>
    <t>Ji-Ho Kim</t>
  </si>
  <si>
    <t>Dubai</t>
  </si>
  <si>
    <t>UAE</t>
  </si>
  <si>
    <t>AllPack Trading</t>
  </si>
  <si>
    <t>+91 7750514207</t>
  </si>
  <si>
    <t>li wei.wang@mechproindustr.com</t>
  </si>
  <si>
    <t>Li Wei Wang</t>
  </si>
  <si>
    <t>Surat</t>
  </si>
  <si>
    <t>MechPro Industries</t>
  </si>
  <si>
    <t>+46 9097183000</t>
  </si>
  <si>
    <t>kenji.suzuki@nordicrawimpor.com</t>
  </si>
  <si>
    <t>Kenji Suzuki</t>
  </si>
  <si>
    <t>Stockholm</t>
  </si>
  <si>
    <t>Sweden</t>
  </si>
  <si>
    <t>Nordic Raw Imports</t>
  </si>
  <si>
    <t>+91 8750242087</t>
  </si>
  <si>
    <t>yuki.tanaka@indiapack.com</t>
  </si>
  <si>
    <t>Yuki Tanaka</t>
  </si>
  <si>
    <t>IndiaPack Pvt Ltd</t>
  </si>
  <si>
    <t>+82 9299799593</t>
  </si>
  <si>
    <t>erik.larsson@globalelectric.com</t>
  </si>
  <si>
    <t>Erik Larsson</t>
  </si>
  <si>
    <t>Seoul</t>
  </si>
  <si>
    <t>South Korea</t>
  </si>
  <si>
    <t>Global Electrics Co</t>
  </si>
  <si>
    <t>+91 7532958520</t>
  </si>
  <si>
    <t>stefan.fischer@fasttracksuppl.com</t>
  </si>
  <si>
    <t>Stefan Fischer</t>
  </si>
  <si>
    <t>Ahmedabad</t>
  </si>
  <si>
    <t>FastTrack Suppliers</t>
  </si>
  <si>
    <t>+91 8245546434</t>
  </si>
  <si>
    <t>anna.weber@southstarchemi.com</t>
  </si>
  <si>
    <t>Anna Weber</t>
  </si>
  <si>
    <t>SouthStar Chemicals</t>
  </si>
  <si>
    <t>+91 9533147930</t>
  </si>
  <si>
    <t>hans.bauer@precisionmech.com</t>
  </si>
  <si>
    <t>Hans Bauer</t>
  </si>
  <si>
    <t>PrecisionMech Ltd</t>
  </si>
  <si>
    <t>+91 8891835203</t>
  </si>
  <si>
    <t>maria.schmidt@packrightindia.com</t>
  </si>
  <si>
    <t>Maria Schmidt</t>
  </si>
  <si>
    <t>Delhi</t>
  </si>
  <si>
    <t>PackRight India</t>
  </si>
  <si>
    <t>+41 8808948427</t>
  </si>
  <si>
    <t>klaus.muller@eurochemag.com</t>
  </si>
  <si>
    <t>Klaus Muller</t>
  </si>
  <si>
    <t>Basel</t>
  </si>
  <si>
    <t>Switzerland</t>
  </si>
  <si>
    <t>EuroChem AG</t>
  </si>
  <si>
    <t>+91 9391170217</t>
  </si>
  <si>
    <t>deepa.das@bharatrawmater.com</t>
  </si>
  <si>
    <t>Deepa Das</t>
  </si>
  <si>
    <t>Bharat Raw Materials</t>
  </si>
  <si>
    <t>+81 7316957052</t>
  </si>
  <si>
    <t>arjun.mehta@fusioneleccomp.com</t>
  </si>
  <si>
    <t>Arjun Mehta</t>
  </si>
  <si>
    <t>Osaka</t>
  </si>
  <si>
    <t>Japan</t>
  </si>
  <si>
    <t>FusionElec Components</t>
  </si>
  <si>
    <t>+91 7509438221</t>
  </si>
  <si>
    <t>meena.gupta@techmetalloys.com</t>
  </si>
  <si>
    <t>Meena Gupta</t>
  </si>
  <si>
    <t>Coimbatore</t>
  </si>
  <si>
    <t>TechMet Alloys</t>
  </si>
  <si>
    <t>+86 9486430926</t>
  </si>
  <si>
    <t>suresh.naidu@bestpackintern.com</t>
  </si>
  <si>
    <t>Suresh Naidu</t>
  </si>
  <si>
    <t>Shenzhen</t>
  </si>
  <si>
    <t>China</t>
  </si>
  <si>
    <t>BestPack International</t>
  </si>
  <si>
    <t>+91 8374638893</t>
  </si>
  <si>
    <t>kavitha.reddy@primechemindus.com</t>
  </si>
  <si>
    <t>Kavitha Reddy</t>
  </si>
  <si>
    <t>PrimeChem Industries</t>
  </si>
  <si>
    <t>+49 8839036062</t>
  </si>
  <si>
    <t>vikram.iyer@elecrosystemsg.com</t>
  </si>
  <si>
    <t>Vikram Iyer</t>
  </si>
  <si>
    <t>Munich</t>
  </si>
  <si>
    <t>Germany</t>
  </si>
  <si>
    <t>Elecro Systems GmbH</t>
  </si>
  <si>
    <t>+91 7097622280</t>
  </si>
  <si>
    <t>sunita.singh@swiftpacksolut.com</t>
  </si>
  <si>
    <t>Sunita Singh</t>
  </si>
  <si>
    <t>SwiftPack Solutions</t>
  </si>
  <si>
    <t>+91 9923481482</t>
  </si>
  <si>
    <t>amit.patel@apexcomponents.com</t>
  </si>
  <si>
    <t>Amit Patel</t>
  </si>
  <si>
    <t>Apex Components Ltd</t>
  </si>
  <si>
    <t>+49 7731428289</t>
  </si>
  <si>
    <t>priya.sharma@globalpharmain.com</t>
  </si>
  <si>
    <t>Priya Sharma</t>
  </si>
  <si>
    <t>Frankfurt</t>
  </si>
  <si>
    <t>GlobalPharma Ingredients</t>
  </si>
  <si>
    <t>+91 9095224592</t>
  </si>
  <si>
    <t>rajesh.kumar@nexusindustria.com</t>
  </si>
  <si>
    <t>Rajesh Kumar</t>
  </si>
  <si>
    <t>Nexus Industrial Supplies</t>
  </si>
  <si>
    <t>Phone</t>
  </si>
  <si>
    <t>Email</t>
  </si>
  <si>
    <t>Contact_Person</t>
  </si>
  <si>
    <t>Preferred_Status</t>
  </si>
  <si>
    <t>Payment_Terms</t>
  </si>
  <si>
    <t>Contract_Start_Date</t>
  </si>
  <si>
    <t>Supplier_Type</t>
  </si>
  <si>
    <t>City</t>
  </si>
  <si>
    <t>Country</t>
  </si>
  <si>
    <t>Supplier_Category</t>
  </si>
  <si>
    <t>Target_Lead_Time_Days</t>
  </si>
  <si>
    <t>Target_Defect_Rate</t>
  </si>
  <si>
    <t>Target_On_Time_Delivery</t>
  </si>
  <si>
    <t>Surface Defect</t>
  </si>
  <si>
    <t>Accepted with Rework</t>
  </si>
  <si>
    <t>No Defect</t>
  </si>
  <si>
    <t>Accepted</t>
  </si>
  <si>
    <t>Contamination</t>
  </si>
  <si>
    <t>Rejected</t>
  </si>
  <si>
    <t>Packaging Damage</t>
  </si>
  <si>
    <t>Wrong Specification</t>
  </si>
  <si>
    <t>Dimension Issue</t>
  </si>
  <si>
    <t>Defect_Type</t>
  </si>
  <si>
    <t>Rejected_Quantity</t>
  </si>
  <si>
    <t>Accepted_Quantity</t>
  </si>
  <si>
    <t>Inspection_Status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</si>
</sst>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44" fontId="0" fillId="0" borderId="0" xfId="1" applyFont="1"/>
    <xf numFmtId="0" fontId="0" fillId="0" borderId="1" xfId="0" applyBorder="1"/>
    <xf numFmtId="44" fontId="0" fillId="0" borderId="1" xfId="1" applyFont="1" applyBorder="1"/>
    <xf numFmtId="9" fontId="0" fillId="0" borderId="1" xfId="2" applyFont="1" applyBorder="1"/>
    <xf numFmtId="1" fontId="0" fillId="0" borderId="1" xfId="2" applyNumberFormat="1" applyFont="1" applyBorder="1"/>
    <xf numFmtId="9" fontId="2" fillId="0" borderId="1" xfId="2" applyFont="1" applyBorder="1" applyAlignment="1">
      <alignment horizontal="right" vertical="center"/>
    </xf>
    <xf numFmtId="2" fontId="0" fillId="0" borderId="1" xfId="2" applyNumberFormat="1" applyFont="1" applyBorder="1"/>
    <xf numFmtId="44" fontId="0" fillId="0" borderId="1" xfId="0" applyNumberFormat="1" applyBorder="1"/>
    <xf numFmtId="1" fontId="0" fillId="0" borderId="1" xfId="0" applyNumberFormat="1" applyBorder="1"/>
    <xf numFmtId="164" fontId="0" fillId="0" borderId="1" xfId="0" applyNumberFormat="1" applyBorder="1"/>
    <xf numFmtId="14" fontId="0" fillId="0" borderId="0" xfId="0" applyNumberFormat="1"/>
    <xf numFmtId="2" fontId="0" fillId="0" borderId="0" xfId="2" applyNumberFormat="1" applyFont="1"/>
    <xf numFmtId="9" fontId="0" fillId="0" borderId="0" xfId="2" applyFont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44" fontId="2" fillId="0" borderId="5" xfId="1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0" fillId="0" borderId="7" xfId="0" applyBorder="1"/>
    <xf numFmtId="0" fontId="0" fillId="0" borderId="8" xfId="0" applyBorder="1"/>
    <xf numFmtId="44" fontId="0" fillId="0" borderId="8" xfId="1" applyFont="1" applyBorder="1"/>
    <xf numFmtId="9" fontId="0" fillId="0" borderId="8" xfId="2" applyFont="1" applyBorder="1"/>
    <xf numFmtId="1" fontId="0" fillId="0" borderId="8" xfId="2" applyNumberFormat="1" applyFont="1" applyBorder="1"/>
    <xf numFmtId="9" fontId="2" fillId="0" borderId="8" xfId="2" applyFont="1" applyBorder="1" applyAlignment="1">
      <alignment horizontal="right" vertical="center"/>
    </xf>
    <xf numFmtId="2" fontId="0" fillId="0" borderId="8" xfId="2" applyNumberFormat="1" applyFont="1" applyBorder="1"/>
    <xf numFmtId="44" fontId="0" fillId="0" borderId="8" xfId="0" applyNumberFormat="1" applyBorder="1"/>
    <xf numFmtId="1" fontId="0" fillId="0" borderId="8" xfId="0" applyNumberFormat="1" applyBorder="1"/>
    <xf numFmtId="164" fontId="0" fillId="0" borderId="8" xfId="0" applyNumberFormat="1" applyBorder="1"/>
    <xf numFmtId="0" fontId="0" fillId="0" borderId="9" xfId="0" applyBorder="1"/>
  </cellXfs>
  <cellStyles count="3">
    <cellStyle name="Currency" xfId="1" builtinId="4"/>
    <cellStyle name="Normal" xfId="0" builtinId="0"/>
    <cellStyle name="Percent" xfId="2" builtinId="5"/>
  </cellStyles>
  <dxfs count="3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 &quot;₹&quot;\ * #,##0.00_ ;_ &quot;₹&quot;\ * \-#,##0.00_ ;_ &quot;₹&quot;\ * &quot;-&quot;??_ ;_ @_ 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righ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CEE3B0E-913A-4DBE-BBE7-F6CEB448A23E}" name="Table6" displayName="Table6" ref="A1:W36" totalsRowShown="0" headerRowDxfId="0" headerRowBorderDxfId="25" tableBorderDxfId="26" totalsRowBorderDxfId="24">
  <autoFilter ref="A1:W36" xr:uid="{1CEE3B0E-913A-4DBE-BBE7-F6CEB448A23E}"/>
  <tableColumns count="23">
    <tableColumn id="1" xr3:uid="{A71F9DC7-54E8-40E6-9331-27CC893A63C9}" name="Supplier_ID" dataDxfId="23"/>
    <tableColumn id="2" xr3:uid="{BC31F4A0-66B1-432E-BB3B-2EC29A5BA449}" name="Supplier_Name" dataDxfId="22">
      <calculatedColumnFormula>_xlfn.XLOOKUP(A2,Supplier_Master!A$2:A$36,Supplier_Master!B$2:B$36)</calculatedColumnFormula>
    </tableColumn>
    <tableColumn id="3" xr3:uid="{6A02D2C4-0B93-4772-AE3C-89099617A5A5}" name="Supplier Category" dataDxfId="21">
      <calculatedColumnFormula>_xlfn.XLOOKUP(A2,Supplier_Master!A$2:A$36,Supplier_Master!C$2:C$36)</calculatedColumnFormula>
    </tableColumn>
    <tableColumn id="4" xr3:uid="{5CF0FB55-1008-4244-A4DE-DBE6C24DA8BC}" name="Total PO" dataDxfId="20">
      <calculatedColumnFormula>COUNTIF(tblPO[Supplier_ID],A2)</calculatedColumnFormula>
    </tableColumn>
    <tableColumn id="5" xr3:uid="{9228B4FE-568F-400C-B61C-7B1F746CD1CE}" name="Total Spend" dataDxfId="19" dataCellStyle="Currency">
      <calculatedColumnFormula>SUMIF(tblPO[Supplier_ID],A2,tblPO[Purchase_Value])</calculatedColumnFormula>
    </tableColumn>
    <tableColumn id="6" xr3:uid="{B4C44131-D3F8-45D9-9CD3-8B809E6C77DB}" name="Ordered Qty" dataDxfId="18">
      <calculatedColumnFormula>SUMIF(tblPO[Supplier_ID],A2,tblPO[Ordered_Quantity])</calculatedColumnFormula>
    </tableColumn>
    <tableColumn id="7" xr3:uid="{7F01F049-8AD5-433E-8757-56C0620E853D}" name="Received Qty" dataDxfId="17">
      <calculatedColumnFormula>SUMIF(tblPO[Supplier_ID],A2,tblPO[Received_Quantity])</calculatedColumnFormula>
    </tableColumn>
    <tableColumn id="8" xr3:uid="{B501491F-94C5-4619-9588-06FC05C2A2FE}" name="Accepted Qty" dataDxfId="16">
      <calculatedColumnFormula>SUMIFS(tblQuality[Accepted_Quantity],tblPO[Supplier_ID],A2)</calculatedColumnFormula>
    </tableColumn>
    <tableColumn id="9" xr3:uid="{52946727-AB1F-4DD4-96B2-1FCCCC58C585}" name="Rejected Qty" dataDxfId="15">
      <calculatedColumnFormula>SUMIFS(tblQuality[Rejected_Quantity],tblPO[Supplier_ID],A2)</calculatedColumnFormula>
    </tableColumn>
    <tableColumn id="10" xr3:uid="{21ECA8DD-2ED4-4C55-806C-0DE525E215AF}" name="On-Time Deliver" dataDxfId="14">
      <calculatedColumnFormula>SUMIFS(tblPO[On_Time_Flag],tblPO[Supplier_ID],A2)</calculatedColumnFormula>
    </tableColumn>
    <tableColumn id="11" xr3:uid="{E1786146-14A3-4BD5-BE08-B9D290693F94}" name="On-Time Delivery %" dataDxfId="13" dataCellStyle="Percent">
      <calculatedColumnFormula>J2/D2</calculatedColumnFormula>
    </tableColumn>
    <tableColumn id="12" xr3:uid="{9344F1BF-282D-4D50-838F-0761A3D747E5}" name="Late Delivery" dataDxfId="12" dataCellStyle="Percent">
      <calculatedColumnFormula>SUMIFS(tblPO[Late Flag],tblPO[Supplier_ID],A2)</calculatedColumnFormula>
    </tableColumn>
    <tableColumn id="13" xr3:uid="{A814E9B1-96C8-4449-B73F-68D1E26F44AF}" name="Late Delivery %" dataDxfId="11" dataCellStyle="Percent">
      <calculatedColumnFormula>L2/D2</calculatedColumnFormula>
    </tableColumn>
    <tableColumn id="14" xr3:uid="{C2921E5E-AB03-4B1D-A72C-2C836E5CFE1A}" name="Avg Lead Time" dataDxfId="10" dataCellStyle="Percent">
      <calculatedColumnFormula>AVERAGEIFS(tblPO[Lead time Days],tblPO[Supplier_ID],A2)</calculatedColumnFormula>
    </tableColumn>
    <tableColumn id="15" xr3:uid="{647B1F45-653B-48E6-90BD-BC5A294C2945}" name="Defect Rate %" dataDxfId="9" dataCellStyle="Percent">
      <calculatedColumnFormula>I2/G2</calculatedColumnFormula>
    </tableColumn>
    <tableColumn id="16" xr3:uid="{36AF66BC-33D4-47C9-8585-AD72FE9D6728}" name="Acceptance Rate %" dataDxfId="8" dataCellStyle="Percent">
      <calculatedColumnFormula>H2/G2</calculatedColumnFormula>
    </tableColumn>
    <tableColumn id="17" xr3:uid="{185D214E-8516-4BEA-9C8B-D6E6A046686F}" name="Avg Unit Price" dataDxfId="7">
      <calculatedColumnFormula>E2/F2</calculatedColumnFormula>
    </tableColumn>
    <tableColumn id="18" xr3:uid="{9FB22BE6-48CD-4EE2-BDD7-A2DE41E519D9}" name="On Time Score" dataDxfId="6">
      <calculatedColumnFormula>K2*100</calculatedColumnFormula>
    </tableColumn>
    <tableColumn id="19" xr3:uid="{8ED8F995-C8C7-4947-90B2-7E04437A2539}" name="Quality Score" dataDxfId="5" dataCellStyle="Percent">
      <calculatedColumnFormula>(1-O2)*100</calculatedColumnFormula>
    </tableColumn>
    <tableColumn id="20" xr3:uid="{C2785446-6E71-4E9E-AB32-585DF7852BBC}" name="Lead Time Score" dataDxfId="4">
      <calculatedColumnFormula>ROUND((MAX($N$2:$N$36)-N2)/(MAX($N$2:$N$36)-MIN($N$2:$N$36))*100,0)</calculatedColumnFormula>
    </tableColumn>
    <tableColumn id="21" xr3:uid="{26161692-B0E6-45E1-B179-A264804125BD}" name="Cost Score" dataDxfId="3">
      <calculatedColumnFormula>(MAX($Q$2:$Q$36)-Q2)/(MAX($Q$2:$Q$36)-MIN($Q$2:$Q$36))*100</calculatedColumnFormula>
    </tableColumn>
    <tableColumn id="22" xr3:uid="{BC23D0BC-218F-4E7E-A15D-FB8244AAC302}" name="Final Score" dataDxfId="2">
      <calculatedColumnFormula>ROUND((R2*30%)+(S2*25%)+(T2*20%)+(U2*25%),1)</calculatedColumnFormula>
    </tableColumn>
    <tableColumn id="23" xr3:uid="{5854DEFE-A771-42BD-A64E-A43024B91990}" name="Rating" dataDxfId="1">
      <calculatedColumnFormula>IF(V2&gt;=90,"Excellent",
IF(V2&gt;=75,"Good",
IF(V2&gt;=60,"Average","Poor")))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BC1913-78CF-4715-B065-3061022455A7}" name="tblProduct" displayName="tblProduct" ref="A1:E81" totalsRowShown="0">
  <autoFilter ref="A1:E81" xr:uid="{D136DCAC-DF77-4BCB-96B8-A38AEFE4E715}"/>
  <tableColumns count="5">
    <tableColumn id="1" xr3:uid="{029232ED-BECF-4B84-AD8C-6D4F104EB94D}" name="Product_ID"/>
    <tableColumn id="2" xr3:uid="{F1CB809D-219F-4ECE-A74F-CB2DD91FF8BB}" name="Product_Name"/>
    <tableColumn id="3" xr3:uid="{307B5C19-CDCE-4ECD-9522-6BC107C02761}" name="Category"/>
    <tableColumn id="4" xr3:uid="{181EFB9D-BD67-45A6-9507-2F1FAB03022B}" name="Unit"/>
    <tableColumn id="5" xr3:uid="{48613146-59C6-4C26-95B4-63BBBC962876}" name="Standard_Cos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5D7030-58C4-4CF7-853D-AA4A612BF51A}" name="tblPO" displayName="tblPO" ref="A1:M2001">
  <autoFilter ref="A1:M2001" xr:uid="{FBC96967-6265-4960-8AF6-3F3E7823B0C0}"/>
  <tableColumns count="13">
    <tableColumn id="1" xr3:uid="{94E43725-A3C2-46A6-AA34-B0B4A142B981}" name="PO_Number" totalsRowFunction="custom">
      <totalsRowFormula>SUM(tblPO[PO_Number])</totalsRowFormula>
    </tableColumn>
    <tableColumn id="2" xr3:uid="{F7101A0D-E358-4A1C-9FD4-3E9C73465FC7}" name="PO_Date" totalsRowFunction="custom" dataDxfId="34">
      <totalsRowFormula>SUM(tblPO[PO_Date])</totalsRowFormula>
    </tableColumn>
    <tableColumn id="3" xr3:uid="{3193DA9E-FA50-44CE-8908-F0C092680ACD}" name="Supplier_ID" totalsRowFunction="custom">
      <totalsRowFormula>SUM(tblPO[Supplier_ID])</totalsRowFormula>
    </tableColumn>
    <tableColumn id="4" xr3:uid="{E3A95FE4-3A83-4288-8B9D-CEE45197BADE}" name="Product_ID" totalsRowFunction="custom">
      <totalsRowFormula>SUM(tblPO[Product_ID])</totalsRowFormula>
    </tableColumn>
    <tableColumn id="5" xr3:uid="{321BE356-AA25-4030-A6DF-65DAAD070956}" name="Ordered_Quantity" totalsRowFunction="custom">
      <totalsRowFormula>SUM(tblPO[Ordered_Quantity])</totalsRowFormula>
    </tableColumn>
    <tableColumn id="6" xr3:uid="{62214653-18E3-4105-8C48-86B2ECCA7D90}" name="Unit_Price" totalsRowFunction="custom">
      <totalsRowFormula>SUM(tblPO[Unit_Price])</totalsRowFormula>
    </tableColumn>
    <tableColumn id="7" xr3:uid="{BFD082DF-4A9F-4517-B56E-D981B2D9427D}" name="Expected_Delivery_Date" totalsRowFunction="custom" dataDxfId="33">
      <totalsRowFormula>SUM(tblPO[Expected_Delivery_Date])</totalsRowFormula>
    </tableColumn>
    <tableColumn id="8" xr3:uid="{7D1C57FD-17BF-430F-AFC6-6641BC16CAFD}" name="Actual_Delivery_Date" totalsRowFunction="custom" dataDxfId="32">
      <totalsRowFormula>SUM(tblPO[Actual_Delivery_Date])</totalsRowFormula>
    </tableColumn>
    <tableColumn id="9" xr3:uid="{97041116-4EF8-400E-A8E0-9F043ACA51C0}" name="Received_Quantity" totalsRowFunction="sum"/>
    <tableColumn id="10" xr3:uid="{97B943A6-DC76-4DB2-894B-AFB20A41A24F}" name="Purchase_Value" totalsRowFunction="custom">
      <totalsRowFormula>SUM(tblPO[Purchase_Value])</totalsRowFormula>
    </tableColumn>
    <tableColumn id="11" xr3:uid="{86B4D320-C5E5-4E4B-80BB-8DB24D1F63DC}" name="On_Time_Flag" dataDxfId="31">
      <calculatedColumnFormula>IF(tblPO[[#This Row],[Actual_Delivery_Date]]&lt;=tblPO[[#This Row],[Expected_Delivery_Date]],1,0)</calculatedColumnFormula>
    </tableColumn>
    <tableColumn id="12" xr3:uid="{321A52F1-A847-4C2A-85F6-0D61C836D3DA}" name="Late Flag" dataDxfId="30">
      <calculatedColumnFormula>IF(tblPO[[#This Row],[Actual_Delivery_Date]]&gt;tblPO[[#This Row],[Expected_Delivery_Date]],1,0)</calculatedColumnFormula>
    </tableColumn>
    <tableColumn id="13" xr3:uid="{357F7F3C-81A5-4F8C-A243-AF27F1213505}" name="Lead time Days" dataDxfId="29">
      <calculatedColumnFormula>tblPO[[#This Row],[Actual_Delivery_Date]]-tblPO[[#This Row],[PO_Date]]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78D15B-32EF-4D67-B225-9A38D5B1EC86}" name="tblSupplier" displayName="tblSupplier" ref="A1:L36" totalsRowShown="0">
  <autoFilter ref="A1:L36" xr:uid="{B01E8220-A2EE-4BEB-AB6D-8385E4EBAB0C}"/>
  <tableColumns count="12">
    <tableColumn id="1" xr3:uid="{3A0383D1-967C-42EA-928B-CFA7510DCA33}" name="Supplier_ID"/>
    <tableColumn id="2" xr3:uid="{D439A8B5-78A6-477D-9864-576D5E2B9894}" name="Supplier_Name"/>
    <tableColumn id="3" xr3:uid="{F03262F0-74E2-4A26-B5C8-21703CDB3EDE}" name="Supplier_Category"/>
    <tableColumn id="4" xr3:uid="{847CE7D1-A65B-4A44-B77A-5DF427B6FE57}" name="Country"/>
    <tableColumn id="5" xr3:uid="{406400E7-3E38-4429-9AC7-A98E424653CA}" name="City"/>
    <tableColumn id="6" xr3:uid="{519DD920-0B8A-4645-B958-60DEF81849DC}" name="Supplier_Type"/>
    <tableColumn id="7" xr3:uid="{56AAC117-22B5-49BC-A61A-B11D1DF5E3D9}" name="Contract_Start_Date" dataDxfId="28"/>
    <tableColumn id="8" xr3:uid="{A9A70752-E265-46EC-AE85-AEE0946EE9D7}" name="Payment_Terms"/>
    <tableColumn id="9" xr3:uid="{DB7AE4EC-9194-4C27-B4B0-4F2D6A4BDF66}" name="Preferred_Status"/>
    <tableColumn id="10" xr3:uid="{D2316CD2-8CFA-46E9-8DF0-3FF9F4591C27}" name="Contact_Person"/>
    <tableColumn id="11" xr3:uid="{0FFF64E4-AE9D-41DC-9823-DF9E7FD7CE81}" name="Email"/>
    <tableColumn id="12" xr3:uid="{E770D043-9799-45C0-BCE6-C0180384ECC3}" name="Phon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6D6836A-0089-40CC-8753-42BECA1F9DEA}" name="tblTargets" displayName="tblTargets" ref="A1:D36" totalsRowShown="0">
  <autoFilter ref="A1:D36" xr:uid="{1C4EBA8F-B8FC-4E1D-8020-BF093B67DE3B}"/>
  <tableColumns count="4">
    <tableColumn id="1" xr3:uid="{1E4D3DA2-5A3C-4C66-8A05-996BDE7E884B}" name="Supplier_ID"/>
    <tableColumn id="2" xr3:uid="{244DFFFC-2E17-4FC2-AF28-0C6392FF812F}" name="Target_On_Time_Delivery" dataCellStyle="Percent"/>
    <tableColumn id="3" xr3:uid="{5A53E0B0-3F98-4F27-8F7B-5C4ED6EBAAA1}" name="Target_Defect_Rate" dataCellStyle="Percent"/>
    <tableColumn id="4" xr3:uid="{123A6591-858D-400B-B073-074FCE4759C2}" name="Target_Lead_Time_Days" dataDxfId="27" dataCellStyle="Perc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B02FFF4-1123-49D3-B06C-4802E8D98D9A}" name="tblQuality" displayName="tblQuality" ref="A1:E2001">
  <autoFilter ref="A1:E2001" xr:uid="{124578E2-5866-40E5-9930-E63E982BF1E4}"/>
  <tableColumns count="5">
    <tableColumn id="1" xr3:uid="{ADAF55BA-137D-4219-9ED9-BA6D45B762A8}" name="PO_Number"/>
    <tableColumn id="2" xr3:uid="{30147DB5-845D-4335-A7A2-069C5E6CFB15}" name="Inspection_Status"/>
    <tableColumn id="3" xr3:uid="{D7772609-1C8E-47FA-91A2-471BFCC4800A}" name="Accepted_Quantity" totalsRowFunction="custom">
      <totalsRowFormula>SUM(tblQuality[Accepted_Quantity])</totalsRowFormula>
    </tableColumn>
    <tableColumn id="4" xr3:uid="{C059AD60-4161-4435-BE76-D1868966C6C9}" name="Rejected_Quantity" totalsRowFunction="custom">
      <totalsRowFormula>SUM(tblQuality[Rejected_Quantity])</totalsRowFormula>
    </tableColumn>
    <tableColumn id="5" xr3:uid="{67D011B1-DD52-48E8-9485-B24A2DB9C3A9}" name="Defect_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1A721-0D5A-44B6-9C9F-5C539438E52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8D43-37B7-479C-B004-3D31CD23ADA4}">
  <dimension ref="A4:C17"/>
  <sheetViews>
    <sheetView workbookViewId="0">
      <selection activeCell="A20" sqref="A20"/>
    </sheetView>
  </sheetViews>
  <sheetFormatPr defaultRowHeight="14.4" x14ac:dyDescent="0.3"/>
  <cols>
    <col min="1" max="1" width="18.5546875" bestFit="1" customWidth="1"/>
    <col min="2" max="2" width="10" bestFit="1" customWidth="1"/>
    <col min="3" max="3" width="19.5546875" bestFit="1" customWidth="1"/>
    <col min="4" max="4" width="18.5546875" bestFit="1" customWidth="1"/>
    <col min="5" max="5" width="10" bestFit="1" customWidth="1"/>
  </cols>
  <sheetData>
    <row r="4" spans="1:3" x14ac:dyDescent="0.3">
      <c r="A4" s="1" t="s">
        <v>0</v>
      </c>
      <c r="B4" s="2" t="s">
        <v>1</v>
      </c>
    </row>
    <row r="5" spans="1:3" x14ac:dyDescent="0.3">
      <c r="A5" s="3" t="s">
        <v>2</v>
      </c>
      <c r="B5" s="4">
        <v>30</v>
      </c>
    </row>
    <row r="6" spans="1:3" x14ac:dyDescent="0.3">
      <c r="A6" s="3" t="s">
        <v>3</v>
      </c>
      <c r="B6" s="4">
        <v>25</v>
      </c>
    </row>
    <row r="7" spans="1:3" x14ac:dyDescent="0.3">
      <c r="A7" s="3" t="s">
        <v>4</v>
      </c>
      <c r="B7" s="4">
        <v>20</v>
      </c>
    </row>
    <row r="8" spans="1:3" x14ac:dyDescent="0.3">
      <c r="A8" s="3" t="s">
        <v>5</v>
      </c>
      <c r="B8" s="4">
        <v>15</v>
      </c>
    </row>
    <row r="9" spans="1:3" x14ac:dyDescent="0.3">
      <c r="A9" s="3" t="s">
        <v>6</v>
      </c>
      <c r="B9" s="4">
        <v>10</v>
      </c>
    </row>
    <row r="10" spans="1:3" x14ac:dyDescent="0.3">
      <c r="A10" s="5" t="s">
        <v>7</v>
      </c>
      <c r="B10" s="6">
        <v>100</v>
      </c>
    </row>
    <row r="13" spans="1:3" x14ac:dyDescent="0.3">
      <c r="A13" s="7" t="s">
        <v>8</v>
      </c>
      <c r="B13" s="7" t="s">
        <v>9</v>
      </c>
      <c r="C13" s="7" t="s">
        <v>10</v>
      </c>
    </row>
    <row r="14" spans="1:3" x14ac:dyDescent="0.3">
      <c r="A14" s="3" t="s">
        <v>11</v>
      </c>
      <c r="B14" s="3" t="s">
        <v>12</v>
      </c>
      <c r="C14" s="3" t="s">
        <v>13</v>
      </c>
    </row>
    <row r="15" spans="1:3" x14ac:dyDescent="0.3">
      <c r="A15" s="3" t="s">
        <v>14</v>
      </c>
      <c r="B15" s="3" t="s">
        <v>15</v>
      </c>
      <c r="C15" s="3" t="s">
        <v>16</v>
      </c>
    </row>
    <row r="16" spans="1:3" x14ac:dyDescent="0.3">
      <c r="A16" s="3" t="s">
        <v>17</v>
      </c>
      <c r="B16" s="3" t="s">
        <v>18</v>
      </c>
      <c r="C16" s="3" t="s">
        <v>19</v>
      </c>
    </row>
    <row r="17" spans="1:3" x14ac:dyDescent="0.3">
      <c r="A17" s="3" t="s">
        <v>20</v>
      </c>
      <c r="B17" s="3" t="s">
        <v>21</v>
      </c>
      <c r="C17" s="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01920-488A-4231-A233-DD3B607EE85A}">
  <dimension ref="A1:W37"/>
  <sheetViews>
    <sheetView tabSelected="1" zoomScale="66" workbookViewId="0">
      <selection activeCell="F43" sqref="F43"/>
    </sheetView>
  </sheetViews>
  <sheetFormatPr defaultRowHeight="14.4" x14ac:dyDescent="0.3"/>
  <cols>
    <col min="1" max="1" width="12.44140625" customWidth="1"/>
    <col min="2" max="2" width="22.109375" bestFit="1" customWidth="1"/>
    <col min="3" max="3" width="20.21875" bestFit="1" customWidth="1"/>
    <col min="4" max="4" width="10.6640625" bestFit="1" customWidth="1"/>
    <col min="5" max="5" width="16" style="8" bestFit="1" customWidth="1"/>
    <col min="6" max="6" width="13.44140625" bestFit="1" customWidth="1"/>
    <col min="7" max="7" width="13.77734375" customWidth="1"/>
    <col min="8" max="8" width="14.109375" customWidth="1"/>
    <col min="9" max="9" width="13.6640625" customWidth="1"/>
    <col min="10" max="10" width="16.33203125" customWidth="1"/>
    <col min="11" max="11" width="19" customWidth="1"/>
    <col min="12" max="12" width="13.77734375" customWidth="1"/>
    <col min="13" max="13" width="15.6640625" customWidth="1"/>
    <col min="14" max="15" width="14.77734375" customWidth="1"/>
    <col min="16" max="16" width="19" customWidth="1"/>
    <col min="17" max="17" width="14.44140625" customWidth="1"/>
    <col min="18" max="18" width="14.77734375" customWidth="1"/>
    <col min="19" max="19" width="14" customWidth="1"/>
    <col min="20" max="20" width="16.44140625" customWidth="1"/>
    <col min="21" max="22" width="12.109375" customWidth="1"/>
    <col min="23" max="23" width="8.44140625" bestFit="1" customWidth="1"/>
  </cols>
  <sheetData>
    <row r="1" spans="1:23" x14ac:dyDescent="0.3">
      <c r="A1" s="23" t="s">
        <v>23</v>
      </c>
      <c r="B1" s="24" t="s">
        <v>24</v>
      </c>
      <c r="C1" s="25" t="s">
        <v>37</v>
      </c>
      <c r="D1" s="25" t="s">
        <v>25</v>
      </c>
      <c r="E1" s="26" t="s">
        <v>26</v>
      </c>
      <c r="F1" s="25" t="s">
        <v>27</v>
      </c>
      <c r="G1" s="25" t="s">
        <v>28</v>
      </c>
      <c r="H1" s="25" t="s">
        <v>29</v>
      </c>
      <c r="I1" s="25" t="s">
        <v>30</v>
      </c>
      <c r="J1" s="25" t="s">
        <v>73</v>
      </c>
      <c r="K1" s="25" t="s">
        <v>2</v>
      </c>
      <c r="L1" s="24" t="s">
        <v>74</v>
      </c>
      <c r="M1" s="25" t="s">
        <v>31</v>
      </c>
      <c r="N1" s="25" t="s">
        <v>32</v>
      </c>
      <c r="O1" s="25" t="s">
        <v>3</v>
      </c>
      <c r="P1" s="25" t="s">
        <v>33</v>
      </c>
      <c r="Q1" s="25" t="s">
        <v>34</v>
      </c>
      <c r="R1" s="25" t="s">
        <v>75</v>
      </c>
      <c r="S1" s="25" t="s">
        <v>76</v>
      </c>
      <c r="T1" s="25" t="s">
        <v>77</v>
      </c>
      <c r="U1" s="25" t="s">
        <v>35</v>
      </c>
      <c r="V1" s="25" t="s">
        <v>36</v>
      </c>
      <c r="W1" s="27" t="s">
        <v>9</v>
      </c>
    </row>
    <row r="2" spans="1:23" x14ac:dyDescent="0.3">
      <c r="A2" s="21" t="s">
        <v>38</v>
      </c>
      <c r="B2" s="9" t="str">
        <f>_xlfn.XLOOKUP(A2,Supplier_Master!A$2:A$36,Supplier_Master!B$2:B$36)</f>
        <v>Nexus Industrial Supplies</v>
      </c>
      <c r="C2" s="9" t="str">
        <f>_xlfn.XLOOKUP(A2,Supplier_Master!A$2:A$36,Supplier_Master!C$2:C$36)</f>
        <v>Raw Material</v>
      </c>
      <c r="D2" s="9">
        <f>COUNTIF(tblPO[Supplier_ID],A2)</f>
        <v>156</v>
      </c>
      <c r="E2" s="10">
        <f>SUMIF(tblPO[Supplier_ID],A2,tblPO[Purchase_Value])</f>
        <v>5203540.3999999994</v>
      </c>
      <c r="F2" s="9">
        <f>SUMIF(tblPO[Supplier_ID],A2,tblPO[Ordered_Quantity])</f>
        <v>27127</v>
      </c>
      <c r="G2" s="9">
        <f>SUMIF(tblPO[Supplier_ID],A2,tblPO[Received_Quantity])</f>
        <v>26843</v>
      </c>
      <c r="H2" s="9">
        <f>SUMIFS(tblQuality[Accepted_Quantity],tblPO[Supplier_ID],A2)</f>
        <v>26617</v>
      </c>
      <c r="I2" s="9">
        <f>SUMIFS(tblQuality[Rejected_Quantity],tblPO[Supplier_ID],A2)</f>
        <v>226</v>
      </c>
      <c r="J2" s="9">
        <f>SUMIFS(tblPO[On_Time_Flag],tblPO[Supplier_ID],A2)</f>
        <v>152</v>
      </c>
      <c r="K2" s="11">
        <f>J2/D2</f>
        <v>0.97435897435897434</v>
      </c>
      <c r="L2" s="12">
        <f>SUMIFS(tblPO[Late Flag],tblPO[Supplier_ID],A2)</f>
        <v>4</v>
      </c>
      <c r="M2" s="13">
        <f>L2/D2</f>
        <v>2.564102564102564E-2</v>
      </c>
      <c r="N2" s="14">
        <f>AVERAGEIFS(tblPO[Lead time Days],tblPO[Supplier_ID],A2)</f>
        <v>8.9615384615384617</v>
      </c>
      <c r="O2" s="11">
        <f>I2/G2</f>
        <v>8.4193271988972918E-3</v>
      </c>
      <c r="P2" s="11">
        <f>H2/G2</f>
        <v>0.99158067280110274</v>
      </c>
      <c r="Q2" s="15">
        <f>E2/F2</f>
        <v>191.82144726656097</v>
      </c>
      <c r="R2" s="16">
        <f>K2*100</f>
        <v>97.435897435897431</v>
      </c>
      <c r="S2" s="14">
        <f>(1-O2)*100</f>
        <v>99.158067280110274</v>
      </c>
      <c r="T2" s="9">
        <f>ROUND((MAX($N$2:$N$36)-N2)/(MAX($N$2:$N$36)-MIN($N$2:$N$36))*100,0)</f>
        <v>100</v>
      </c>
      <c r="U2" s="17">
        <f>(MAX($Q$2:$Q$36)-Q2)/(MAX($Q$2:$Q$36)-MIN($Q$2:$Q$36))*100</f>
        <v>93.467510607950757</v>
      </c>
      <c r="V2" s="9">
        <f>ROUND((R2*30%)+(S2*25%)+(T2*20%)+(U2*25%),1)</f>
        <v>97.4</v>
      </c>
      <c r="W2" s="22" t="str">
        <f>IF(V2&gt;=90,"Excellent",
IF(V2&gt;=75,"Good",
IF(V2&gt;=60,"Average","Poor")))</f>
        <v>Excellent</v>
      </c>
    </row>
    <row r="3" spans="1:23" x14ac:dyDescent="0.3">
      <c r="A3" s="21" t="s">
        <v>39</v>
      </c>
      <c r="B3" s="9" t="str">
        <f>_xlfn.XLOOKUP(A3,Supplier_Master!A$2:A$36,Supplier_Master!B$2:B$36)</f>
        <v>GlobalPharma Ingredients</v>
      </c>
      <c r="C3" s="9" t="str">
        <f>_xlfn.XLOOKUP(A3,Supplier_Master!A$2:A$36,Supplier_Master!C$2:C$36)</f>
        <v>Chemical</v>
      </c>
      <c r="D3" s="9">
        <f>COUNTIF(tblPO[Supplier_ID],A3)</f>
        <v>151</v>
      </c>
      <c r="E3" s="10">
        <f>SUMIF(tblPO[Supplier_ID],A3,tblPO[Purchase_Value])</f>
        <v>4553665.9100000011</v>
      </c>
      <c r="F3" s="9">
        <f>SUMIF(tblPO[Supplier_ID],A3,tblPO[Ordered_Quantity])</f>
        <v>55177</v>
      </c>
      <c r="G3" s="9">
        <f>SUMIF(tblPO[Supplier_ID],A3,tblPO[Received_Quantity])</f>
        <v>54898</v>
      </c>
      <c r="H3" s="9">
        <f>SUMIFS(tblQuality[Accepted_Quantity],tblPO[Supplier_ID],A3)</f>
        <v>54200</v>
      </c>
      <c r="I3" s="9">
        <f>SUMIFS(tblQuality[Rejected_Quantity],tblPO[Supplier_ID],A3)</f>
        <v>698</v>
      </c>
      <c r="J3" s="9">
        <f>SUMIFS(tblPO[On_Time_Flag],tblPO[Supplier_ID],A3)</f>
        <v>142</v>
      </c>
      <c r="K3" s="11">
        <f t="shared" ref="K3:K36" si="0">J3/D3</f>
        <v>0.94039735099337751</v>
      </c>
      <c r="L3" s="12">
        <f>SUMIFS(tblPO[Late Flag],tblPO[Supplier_ID],A3)</f>
        <v>9</v>
      </c>
      <c r="M3" s="13">
        <f t="shared" ref="M3:M36" si="1">L3/D3</f>
        <v>5.9602649006622516E-2</v>
      </c>
      <c r="N3" s="14">
        <f>AVERAGEIFS(tblPO[Lead time Days],tblPO[Supplier_ID],A3)</f>
        <v>20.172185430463575</v>
      </c>
      <c r="O3" s="11">
        <f t="shared" ref="O3:O36" si="2">I3/G3</f>
        <v>1.2714488688112499E-2</v>
      </c>
      <c r="P3" s="11">
        <f t="shared" ref="P3:P36" si="3">H3/G3</f>
        <v>0.98728551131188746</v>
      </c>
      <c r="Q3" s="15">
        <f t="shared" ref="Q3:Q36" si="4">E3/F3</f>
        <v>82.52833445094879</v>
      </c>
      <c r="R3" s="16">
        <f t="shared" ref="R3:R36" si="5">K3*100</f>
        <v>94.039735099337747</v>
      </c>
      <c r="S3" s="14">
        <f t="shared" ref="S3:S36" si="6">(1-O3)*100</f>
        <v>98.728551131188752</v>
      </c>
      <c r="T3" s="9">
        <f t="shared" ref="T3:T36" si="7">ROUND((MAX($N$2:$N$36)-N3)/(MAX($N$2:$N$36)-MIN($N$2:$N$36))*100,0)</f>
        <v>17</v>
      </c>
      <c r="U3" s="17">
        <f t="shared" ref="U3:U36" si="8">(MAX($Q$2:$Q$36)-Q3)/(MAX($Q$2:$Q$36)-MIN($Q$2:$Q$36))*100</f>
        <v>98.130207500943484</v>
      </c>
      <c r="V3" s="9">
        <f t="shared" ref="V3:V36" si="9">ROUND((R3*30%)+(S3*25%)+(T3*20%)+(U3*25%),1)</f>
        <v>80.8</v>
      </c>
      <c r="W3" s="22" t="str">
        <f t="shared" ref="W3:W36" si="10">IF(V3&gt;=90,"Excellent",
IF(V3&gt;=75,"Good",
IF(V3&gt;=60,"Average","Poor")))</f>
        <v>Good</v>
      </c>
    </row>
    <row r="4" spans="1:23" x14ac:dyDescent="0.3">
      <c r="A4" s="21" t="s">
        <v>40</v>
      </c>
      <c r="B4" s="9" t="str">
        <f>_xlfn.XLOOKUP(A4,Supplier_Master!A$2:A$36,Supplier_Master!B$2:B$36)</f>
        <v>Apex Components Ltd</v>
      </c>
      <c r="C4" s="9" t="str">
        <f>_xlfn.XLOOKUP(A4,Supplier_Master!A$2:A$36,Supplier_Master!C$2:C$36)</f>
        <v>Mechanical Component</v>
      </c>
      <c r="D4" s="9">
        <f>COUNTIF(tblPO[Supplier_ID],A4)</f>
        <v>127</v>
      </c>
      <c r="E4" s="10">
        <f>SUMIF(tblPO[Supplier_ID],A4,tblPO[Purchase_Value])</f>
        <v>7584136.1800000016</v>
      </c>
      <c r="F4" s="9">
        <f>SUMIF(tblPO[Supplier_ID],A4,tblPO[Ordered_Quantity])</f>
        <v>8008</v>
      </c>
      <c r="G4" s="9">
        <f>SUMIF(tblPO[Supplier_ID],A4,tblPO[Received_Quantity])</f>
        <v>7965</v>
      </c>
      <c r="H4" s="9">
        <f>SUMIFS(tblQuality[Accepted_Quantity],tblPO[Supplier_ID],A4)</f>
        <v>7893</v>
      </c>
      <c r="I4" s="9">
        <f>SUMIFS(tblQuality[Rejected_Quantity],tblPO[Supplier_ID],A4)</f>
        <v>72</v>
      </c>
      <c r="J4" s="9">
        <f>SUMIFS(tblPO[On_Time_Flag],tblPO[Supplier_ID],A4)</f>
        <v>121</v>
      </c>
      <c r="K4" s="11">
        <f t="shared" si="0"/>
        <v>0.952755905511811</v>
      </c>
      <c r="L4" s="12">
        <f>SUMIFS(tblPO[Late Flag],tblPO[Supplier_ID],A4)</f>
        <v>6</v>
      </c>
      <c r="M4" s="13">
        <f t="shared" si="1"/>
        <v>4.7244094488188976E-2</v>
      </c>
      <c r="N4" s="14">
        <f>AVERAGEIFS(tblPO[Lead time Days],tblPO[Supplier_ID],A4)</f>
        <v>9.228346456692913</v>
      </c>
      <c r="O4" s="11">
        <f t="shared" si="2"/>
        <v>9.0395480225988704E-3</v>
      </c>
      <c r="P4" s="11">
        <f t="shared" si="3"/>
        <v>0.99096045197740112</v>
      </c>
      <c r="Q4" s="15">
        <f t="shared" si="4"/>
        <v>947.06995254745277</v>
      </c>
      <c r="R4" s="16">
        <f t="shared" si="5"/>
        <v>95.275590551181097</v>
      </c>
      <c r="S4" s="14">
        <f t="shared" si="6"/>
        <v>99.096045197740111</v>
      </c>
      <c r="T4" s="9">
        <f t="shared" si="7"/>
        <v>98</v>
      </c>
      <c r="U4" s="17">
        <f t="shared" si="8"/>
        <v>61.246863137220132</v>
      </c>
      <c r="V4" s="9">
        <f t="shared" si="9"/>
        <v>88.3</v>
      </c>
      <c r="W4" s="22" t="str">
        <f t="shared" si="10"/>
        <v>Good</v>
      </c>
    </row>
    <row r="5" spans="1:23" x14ac:dyDescent="0.3">
      <c r="A5" s="21" t="s">
        <v>41</v>
      </c>
      <c r="B5" s="9" t="str">
        <f>_xlfn.XLOOKUP(A5,Supplier_Master!A$2:A$36,Supplier_Master!B$2:B$36)</f>
        <v>SwiftPack Solutions</v>
      </c>
      <c r="C5" s="9" t="str">
        <f>_xlfn.XLOOKUP(A5,Supplier_Master!A$2:A$36,Supplier_Master!C$2:C$36)</f>
        <v>Packaging</v>
      </c>
      <c r="D5" s="9">
        <f>COUNTIF(tblPO[Supplier_ID],A5)</f>
        <v>108</v>
      </c>
      <c r="E5" s="10">
        <f>SUMIF(tblPO[Supplier_ID],A5,tblPO[Purchase_Value])</f>
        <v>2172717.5099999993</v>
      </c>
      <c r="F5" s="9">
        <f>SUMIF(tblPO[Supplier_ID],A5,tblPO[Ordered_Quantity])</f>
        <v>37710</v>
      </c>
      <c r="G5" s="9">
        <f>SUMIF(tblPO[Supplier_ID],A5,tblPO[Received_Quantity])</f>
        <v>37485</v>
      </c>
      <c r="H5" s="9">
        <f>SUMIFS(tblQuality[Accepted_Quantity],tblPO[Supplier_ID],A5)</f>
        <v>36799</v>
      </c>
      <c r="I5" s="9">
        <f>SUMIFS(tblQuality[Rejected_Quantity],tblPO[Supplier_ID],A5)</f>
        <v>686</v>
      </c>
      <c r="J5" s="9">
        <f>SUMIFS(tblPO[On_Time_Flag],tblPO[Supplier_ID],A5)</f>
        <v>99</v>
      </c>
      <c r="K5" s="11">
        <f t="shared" si="0"/>
        <v>0.91666666666666663</v>
      </c>
      <c r="L5" s="12">
        <f>SUMIFS(tblPO[Late Flag],tblPO[Supplier_ID],A5)</f>
        <v>9</v>
      </c>
      <c r="M5" s="13">
        <f t="shared" si="1"/>
        <v>8.3333333333333329E-2</v>
      </c>
      <c r="N5" s="14">
        <f>AVERAGEIFS(tblPO[Lead time Days],tblPO[Supplier_ID],A5)</f>
        <v>10.574074074074074</v>
      </c>
      <c r="O5" s="11">
        <f t="shared" si="2"/>
        <v>1.8300653594771243E-2</v>
      </c>
      <c r="P5" s="11">
        <f t="shared" si="3"/>
        <v>0.98169934640522871</v>
      </c>
      <c r="Q5" s="15">
        <f t="shared" si="4"/>
        <v>57.6164813046937</v>
      </c>
      <c r="R5" s="16">
        <f t="shared" si="5"/>
        <v>91.666666666666657</v>
      </c>
      <c r="S5" s="14">
        <f t="shared" si="6"/>
        <v>98.169934640522868</v>
      </c>
      <c r="T5" s="9">
        <f t="shared" si="7"/>
        <v>88</v>
      </c>
      <c r="U5" s="17">
        <f t="shared" si="8"/>
        <v>99.193004755695512</v>
      </c>
      <c r="V5" s="9">
        <f t="shared" si="9"/>
        <v>94.4</v>
      </c>
      <c r="W5" s="22" t="str">
        <f t="shared" si="10"/>
        <v>Excellent</v>
      </c>
    </row>
    <row r="6" spans="1:23" x14ac:dyDescent="0.3">
      <c r="A6" s="21" t="s">
        <v>42</v>
      </c>
      <c r="B6" s="9" t="str">
        <f>_xlfn.XLOOKUP(A6,Supplier_Master!A$2:A$36,Supplier_Master!B$2:B$36)</f>
        <v>Elecro Systems GmbH</v>
      </c>
      <c r="C6" s="9" t="str">
        <f>_xlfn.XLOOKUP(A6,Supplier_Master!A$2:A$36,Supplier_Master!C$2:C$36)</f>
        <v>Electrical Component</v>
      </c>
      <c r="D6" s="9">
        <f>COUNTIF(tblPO[Supplier_ID],A6)</f>
        <v>111</v>
      </c>
      <c r="E6" s="10">
        <f>SUMIF(tblPO[Supplier_ID],A6,tblPO[Purchase_Value])</f>
        <v>9511777.2800000012</v>
      </c>
      <c r="F6" s="9">
        <f>SUMIF(tblPO[Supplier_ID],A6,tblPO[Ordered_Quantity])</f>
        <v>5464</v>
      </c>
      <c r="G6" s="9">
        <f>SUMIF(tblPO[Supplier_ID],A6,tblPO[Received_Quantity])</f>
        <v>5421</v>
      </c>
      <c r="H6" s="9">
        <f>SUMIFS(tblQuality[Accepted_Quantity],tblPO[Supplier_ID],A6)</f>
        <v>5393</v>
      </c>
      <c r="I6" s="9">
        <f>SUMIFS(tblQuality[Rejected_Quantity],tblPO[Supplier_ID],A6)</f>
        <v>28</v>
      </c>
      <c r="J6" s="9">
        <f>SUMIFS(tblPO[On_Time_Flag],tblPO[Supplier_ID],A6)</f>
        <v>110</v>
      </c>
      <c r="K6" s="11">
        <f t="shared" si="0"/>
        <v>0.99099099099099097</v>
      </c>
      <c r="L6" s="12">
        <f>SUMIFS(tblPO[Late Flag],tblPO[Supplier_ID],A6)</f>
        <v>1</v>
      </c>
      <c r="M6" s="13">
        <f t="shared" si="1"/>
        <v>9.0090090090090089E-3</v>
      </c>
      <c r="N6" s="14">
        <f>AVERAGEIFS(tblPO[Lead time Days],tblPO[Supplier_ID],A6)</f>
        <v>19.135135135135137</v>
      </c>
      <c r="O6" s="11">
        <f t="shared" si="2"/>
        <v>5.165098690278546E-3</v>
      </c>
      <c r="P6" s="11">
        <f t="shared" si="3"/>
        <v>0.99483490130972141</v>
      </c>
      <c r="Q6" s="15">
        <f t="shared" si="4"/>
        <v>1740.8084333821378</v>
      </c>
      <c r="R6" s="16">
        <f t="shared" si="5"/>
        <v>99.099099099099092</v>
      </c>
      <c r="S6" s="14">
        <f t="shared" si="6"/>
        <v>99.483490130972143</v>
      </c>
      <c r="T6" s="9">
        <f t="shared" si="7"/>
        <v>25</v>
      </c>
      <c r="U6" s="17">
        <f t="shared" si="8"/>
        <v>27.384144315398856</v>
      </c>
      <c r="V6" s="9">
        <f t="shared" si="9"/>
        <v>66.400000000000006</v>
      </c>
      <c r="W6" s="22" t="str">
        <f t="shared" si="10"/>
        <v>Average</v>
      </c>
    </row>
    <row r="7" spans="1:23" x14ac:dyDescent="0.3">
      <c r="A7" s="21" t="s">
        <v>43</v>
      </c>
      <c r="B7" s="9" t="str">
        <f>_xlfn.XLOOKUP(A7,Supplier_Master!A$2:A$36,Supplier_Master!B$2:B$36)</f>
        <v>PrimeChem Industries</v>
      </c>
      <c r="C7" s="9" t="str">
        <f>_xlfn.XLOOKUP(A7,Supplier_Master!A$2:A$36,Supplier_Master!C$2:C$36)</f>
        <v>Chemical</v>
      </c>
      <c r="D7" s="9">
        <f>COUNTIF(tblPO[Supplier_ID],A7)</f>
        <v>113</v>
      </c>
      <c r="E7" s="10">
        <f>SUMIF(tblPO[Supplier_ID],A7,tblPO[Purchase_Value])</f>
        <v>2821323.0300000003</v>
      </c>
      <c r="F7" s="9">
        <f>SUMIF(tblPO[Supplier_ID],A7,tblPO[Ordered_Quantity])</f>
        <v>40476</v>
      </c>
      <c r="G7" s="9">
        <f>SUMIF(tblPO[Supplier_ID],A7,tblPO[Received_Quantity])</f>
        <v>40307</v>
      </c>
      <c r="H7" s="9">
        <f>SUMIFS(tblQuality[Accepted_Quantity],tblPO[Supplier_ID],A7)</f>
        <v>39419</v>
      </c>
      <c r="I7" s="9">
        <f>SUMIFS(tblQuality[Rejected_Quantity],tblPO[Supplier_ID],A7)</f>
        <v>888</v>
      </c>
      <c r="J7" s="9">
        <f>SUMIFS(tblPO[On_Time_Flag],tblPO[Supplier_ID],A7)</f>
        <v>102</v>
      </c>
      <c r="K7" s="11">
        <f t="shared" si="0"/>
        <v>0.90265486725663713</v>
      </c>
      <c r="L7" s="12">
        <f>SUMIFS(tblPO[Late Flag],tblPO[Supplier_ID],A7)</f>
        <v>11</v>
      </c>
      <c r="M7" s="13">
        <f t="shared" si="1"/>
        <v>9.7345132743362831E-2</v>
      </c>
      <c r="N7" s="14">
        <f>AVERAGEIFS(tblPO[Lead time Days],tblPO[Supplier_ID],A7)</f>
        <v>9.5840707964601766</v>
      </c>
      <c r="O7" s="11">
        <f t="shared" si="2"/>
        <v>2.2030912744684546E-2</v>
      </c>
      <c r="P7" s="11">
        <f t="shared" si="3"/>
        <v>0.97796908725531551</v>
      </c>
      <c r="Q7" s="15">
        <f t="shared" si="4"/>
        <v>69.703602875778245</v>
      </c>
      <c r="R7" s="16">
        <f t="shared" si="5"/>
        <v>90.265486725663706</v>
      </c>
      <c r="S7" s="14">
        <f t="shared" si="6"/>
        <v>97.796908725531551</v>
      </c>
      <c r="T7" s="9">
        <f t="shared" si="7"/>
        <v>95</v>
      </c>
      <c r="U7" s="17">
        <f t="shared" si="8"/>
        <v>98.677340202433086</v>
      </c>
      <c r="V7" s="9">
        <f t="shared" si="9"/>
        <v>95.2</v>
      </c>
      <c r="W7" s="22" t="str">
        <f t="shared" si="10"/>
        <v>Excellent</v>
      </c>
    </row>
    <row r="8" spans="1:23" x14ac:dyDescent="0.3">
      <c r="A8" s="21" t="s">
        <v>44</v>
      </c>
      <c r="B8" s="9" t="str">
        <f>_xlfn.XLOOKUP(A8,Supplier_Master!A$2:A$36,Supplier_Master!B$2:B$36)</f>
        <v>BestPack International</v>
      </c>
      <c r="C8" s="9" t="str">
        <f>_xlfn.XLOOKUP(A8,Supplier_Master!A$2:A$36,Supplier_Master!C$2:C$36)</f>
        <v>Packaging</v>
      </c>
      <c r="D8" s="9">
        <f>COUNTIF(tblPO[Supplier_ID],A8)</f>
        <v>103</v>
      </c>
      <c r="E8" s="10">
        <f>SUMIF(tblPO[Supplier_ID],A8,tblPO[Purchase_Value])</f>
        <v>1770957.83</v>
      </c>
      <c r="F8" s="9">
        <f>SUMIF(tblPO[Supplier_ID],A8,tblPO[Ordered_Quantity])</f>
        <v>41564</v>
      </c>
      <c r="G8" s="9">
        <f>SUMIF(tblPO[Supplier_ID],A8,tblPO[Received_Quantity])</f>
        <v>41315</v>
      </c>
      <c r="H8" s="9">
        <f>SUMIFS(tblQuality[Accepted_Quantity],tblPO[Supplier_ID],A8)</f>
        <v>39364</v>
      </c>
      <c r="I8" s="9">
        <f>SUMIFS(tblQuality[Rejected_Quantity],tblPO[Supplier_ID],A8)</f>
        <v>1951</v>
      </c>
      <c r="J8" s="9">
        <f>SUMIFS(tblPO[On_Time_Flag],tblPO[Supplier_ID],A8)</f>
        <v>79</v>
      </c>
      <c r="K8" s="11">
        <f t="shared" si="0"/>
        <v>0.76699029126213591</v>
      </c>
      <c r="L8" s="12">
        <f>SUMIFS(tblPO[Late Flag],tblPO[Supplier_ID],A8)</f>
        <v>24</v>
      </c>
      <c r="M8" s="13">
        <f t="shared" si="1"/>
        <v>0.23300970873786409</v>
      </c>
      <c r="N8" s="14">
        <f>AVERAGEIFS(tblPO[Lead time Days],tblPO[Supplier_ID],A8)</f>
        <v>22.553398058252426</v>
      </c>
      <c r="O8" s="11">
        <f t="shared" si="2"/>
        <v>4.7222558392835533E-2</v>
      </c>
      <c r="P8" s="11">
        <f t="shared" si="3"/>
        <v>0.95277744160716449</v>
      </c>
      <c r="Q8" s="15">
        <f t="shared" si="4"/>
        <v>42.6079739678568</v>
      </c>
      <c r="R8" s="16">
        <f t="shared" si="5"/>
        <v>76.699029126213588</v>
      </c>
      <c r="S8" s="14">
        <f t="shared" si="6"/>
        <v>95.277744160716452</v>
      </c>
      <c r="T8" s="9">
        <f t="shared" si="7"/>
        <v>0</v>
      </c>
      <c r="U8" s="17">
        <f t="shared" si="8"/>
        <v>99.833302380359129</v>
      </c>
      <c r="V8" s="9">
        <f t="shared" si="9"/>
        <v>71.8</v>
      </c>
      <c r="W8" s="22" t="str">
        <f t="shared" si="10"/>
        <v>Average</v>
      </c>
    </row>
    <row r="9" spans="1:23" x14ac:dyDescent="0.3">
      <c r="A9" s="21" t="s">
        <v>45</v>
      </c>
      <c r="B9" s="9" t="str">
        <f>_xlfn.XLOOKUP(A9,Supplier_Master!A$2:A$36,Supplier_Master!B$2:B$36)</f>
        <v>TechMet Alloys</v>
      </c>
      <c r="C9" s="9" t="str">
        <f>_xlfn.XLOOKUP(A9,Supplier_Master!A$2:A$36,Supplier_Master!C$2:C$36)</f>
        <v>Raw Material</v>
      </c>
      <c r="D9" s="9">
        <f>COUNTIF(tblPO[Supplier_ID],A9)</f>
        <v>91</v>
      </c>
      <c r="E9" s="10">
        <f>SUMIF(tblPO[Supplier_ID],A9,tblPO[Purchase_Value])</f>
        <v>2941532.0900000003</v>
      </c>
      <c r="F9" s="9">
        <f>SUMIF(tblPO[Supplier_ID],A9,tblPO[Ordered_Quantity])</f>
        <v>18144</v>
      </c>
      <c r="G9" s="9">
        <f>SUMIF(tblPO[Supplier_ID],A9,tblPO[Received_Quantity])</f>
        <v>18042</v>
      </c>
      <c r="H9" s="9">
        <f>SUMIFS(tblQuality[Accepted_Quantity],tblPO[Supplier_ID],A9)</f>
        <v>17685</v>
      </c>
      <c r="I9" s="9">
        <f>SUMIFS(tblQuality[Rejected_Quantity],tblPO[Supplier_ID],A9)</f>
        <v>357</v>
      </c>
      <c r="J9" s="9">
        <f>SUMIFS(tblPO[On_Time_Flag],tblPO[Supplier_ID],A9)</f>
        <v>82</v>
      </c>
      <c r="K9" s="11">
        <f t="shared" si="0"/>
        <v>0.90109890109890112</v>
      </c>
      <c r="L9" s="12">
        <f>SUMIFS(tblPO[Late Flag],tblPO[Supplier_ID],A9)</f>
        <v>9</v>
      </c>
      <c r="M9" s="13">
        <f t="shared" si="1"/>
        <v>9.8901098901098897E-2</v>
      </c>
      <c r="N9" s="14">
        <f>AVERAGEIFS(tblPO[Lead time Days],tblPO[Supplier_ID],A9)</f>
        <v>10.274725274725276</v>
      </c>
      <c r="O9" s="11">
        <f t="shared" si="2"/>
        <v>1.9787163285666778E-2</v>
      </c>
      <c r="P9" s="11">
        <f t="shared" si="3"/>
        <v>0.98021283671433324</v>
      </c>
      <c r="Q9" s="15">
        <f t="shared" si="4"/>
        <v>162.1214776234568</v>
      </c>
      <c r="R9" s="16">
        <f t="shared" si="5"/>
        <v>90.109890109890117</v>
      </c>
      <c r="S9" s="14">
        <f t="shared" si="6"/>
        <v>98.021283671433324</v>
      </c>
      <c r="T9" s="9">
        <f t="shared" si="7"/>
        <v>90</v>
      </c>
      <c r="U9" s="17">
        <f t="shared" si="8"/>
        <v>94.734579983223384</v>
      </c>
      <c r="V9" s="9">
        <f t="shared" si="9"/>
        <v>93.2</v>
      </c>
      <c r="W9" s="22" t="str">
        <f t="shared" si="10"/>
        <v>Excellent</v>
      </c>
    </row>
    <row r="10" spans="1:23" x14ac:dyDescent="0.3">
      <c r="A10" s="21" t="s">
        <v>46</v>
      </c>
      <c r="B10" s="9" t="str">
        <f>_xlfn.XLOOKUP(A10,Supplier_Master!A$2:A$36,Supplier_Master!B$2:B$36)</f>
        <v>FusionElec Components</v>
      </c>
      <c r="C10" s="9" t="str">
        <f>_xlfn.XLOOKUP(A10,Supplier_Master!A$2:A$36,Supplier_Master!C$2:C$36)</f>
        <v>Electrical Component</v>
      </c>
      <c r="D10" s="9">
        <f>COUNTIF(tblPO[Supplier_ID],A10)</f>
        <v>88</v>
      </c>
      <c r="E10" s="10">
        <f>SUMIF(tblPO[Supplier_ID],A10,tblPO[Purchase_Value])</f>
        <v>9779869.679999996</v>
      </c>
      <c r="F10" s="9">
        <f>SUMIF(tblPO[Supplier_ID],A10,tblPO[Ordered_Quantity])</f>
        <v>4340</v>
      </c>
      <c r="G10" s="9">
        <f>SUMIF(tblPO[Supplier_ID],A10,tblPO[Received_Quantity])</f>
        <v>4297</v>
      </c>
      <c r="H10" s="9">
        <f>SUMIFS(tblQuality[Accepted_Quantity],tblPO[Supplier_ID],A10)</f>
        <v>4265</v>
      </c>
      <c r="I10" s="9">
        <f>SUMIFS(tblQuality[Rejected_Quantity],tblPO[Supplier_ID],A10)</f>
        <v>32</v>
      </c>
      <c r="J10" s="9">
        <f>SUMIFS(tblPO[On_Time_Flag],tblPO[Supplier_ID],A10)</f>
        <v>87</v>
      </c>
      <c r="K10" s="11">
        <f t="shared" si="0"/>
        <v>0.98863636363636365</v>
      </c>
      <c r="L10" s="12">
        <f>SUMIFS(tblPO[Late Flag],tblPO[Supplier_ID],A10)</f>
        <v>1</v>
      </c>
      <c r="M10" s="13">
        <f t="shared" si="1"/>
        <v>1.1363636363636364E-2</v>
      </c>
      <c r="N10" s="14">
        <f>AVERAGEIFS(tblPO[Lead time Days],tblPO[Supplier_ID],A10)</f>
        <v>19.272727272727273</v>
      </c>
      <c r="O10" s="11">
        <f t="shared" si="2"/>
        <v>7.4470560856411449E-3</v>
      </c>
      <c r="P10" s="11">
        <f t="shared" si="3"/>
        <v>0.99255294391435889</v>
      </c>
      <c r="Q10" s="15">
        <f t="shared" si="4"/>
        <v>2253.426193548386</v>
      </c>
      <c r="R10" s="16">
        <f t="shared" si="5"/>
        <v>98.86363636363636</v>
      </c>
      <c r="S10" s="14">
        <f t="shared" si="6"/>
        <v>99.255294391435882</v>
      </c>
      <c r="T10" s="9">
        <f t="shared" si="7"/>
        <v>24</v>
      </c>
      <c r="U10" s="17">
        <f t="shared" si="8"/>
        <v>5.5146854259578753</v>
      </c>
      <c r="V10" s="9">
        <f t="shared" si="9"/>
        <v>60.7</v>
      </c>
      <c r="W10" s="22" t="str">
        <f t="shared" si="10"/>
        <v>Average</v>
      </c>
    </row>
    <row r="11" spans="1:23" x14ac:dyDescent="0.3">
      <c r="A11" s="21" t="s">
        <v>47</v>
      </c>
      <c r="B11" s="9" t="str">
        <f>_xlfn.XLOOKUP(A11,Supplier_Master!A$2:A$36,Supplier_Master!B$2:B$36)</f>
        <v>Bharat Raw Materials</v>
      </c>
      <c r="C11" s="9" t="str">
        <f>_xlfn.XLOOKUP(A11,Supplier_Master!A$2:A$36,Supplier_Master!C$2:C$36)</f>
        <v>Raw Material</v>
      </c>
      <c r="D11" s="9">
        <f>COUNTIF(tblPO[Supplier_ID],A11)</f>
        <v>84</v>
      </c>
      <c r="E11" s="10">
        <f>SUMIF(tblPO[Supplier_ID],A11,tblPO[Purchase_Value])</f>
        <v>1937314.26</v>
      </c>
      <c r="F11" s="9">
        <f>SUMIF(tblPO[Supplier_ID],A11,tblPO[Ordered_Quantity])</f>
        <v>13938</v>
      </c>
      <c r="G11" s="9">
        <f>SUMIF(tblPO[Supplier_ID],A11,tblPO[Received_Quantity])</f>
        <v>13761</v>
      </c>
      <c r="H11" s="9">
        <f>SUMIFS(tblQuality[Accepted_Quantity],tblPO[Supplier_ID],A11)</f>
        <v>12923</v>
      </c>
      <c r="I11" s="9">
        <f>SUMIFS(tblQuality[Rejected_Quantity],tblPO[Supplier_ID],A11)</f>
        <v>838</v>
      </c>
      <c r="J11" s="9">
        <f>SUMIFS(tblPO[On_Time_Flag],tblPO[Supplier_ID],A11)</f>
        <v>65</v>
      </c>
      <c r="K11" s="11">
        <f t="shared" si="0"/>
        <v>0.77380952380952384</v>
      </c>
      <c r="L11" s="12">
        <f>SUMIFS(tblPO[Late Flag],tblPO[Supplier_ID],A11)</f>
        <v>19</v>
      </c>
      <c r="M11" s="13">
        <f t="shared" si="1"/>
        <v>0.22619047619047619</v>
      </c>
      <c r="N11" s="14">
        <f>AVERAGEIFS(tblPO[Lead time Days],tblPO[Supplier_ID],A11)</f>
        <v>11.119047619047619</v>
      </c>
      <c r="O11" s="11">
        <f t="shared" si="2"/>
        <v>6.0896737155729963E-2</v>
      </c>
      <c r="P11" s="11">
        <f t="shared" si="3"/>
        <v>0.93910326284427004</v>
      </c>
      <c r="Q11" s="15">
        <f t="shared" si="4"/>
        <v>138.99513990529488</v>
      </c>
      <c r="R11" s="16">
        <f t="shared" si="5"/>
        <v>77.38095238095238</v>
      </c>
      <c r="S11" s="14">
        <f t="shared" si="6"/>
        <v>93.910326284427001</v>
      </c>
      <c r="T11" s="9">
        <f t="shared" si="7"/>
        <v>84</v>
      </c>
      <c r="U11" s="17">
        <f t="shared" si="8"/>
        <v>95.721203021462742</v>
      </c>
      <c r="V11" s="9">
        <f t="shared" si="9"/>
        <v>87.4</v>
      </c>
      <c r="W11" s="22" t="str">
        <f t="shared" si="10"/>
        <v>Good</v>
      </c>
    </row>
    <row r="12" spans="1:23" x14ac:dyDescent="0.3">
      <c r="A12" s="21" t="s">
        <v>48</v>
      </c>
      <c r="B12" s="9" t="str">
        <f>_xlfn.XLOOKUP(A12,Supplier_Master!A$2:A$36,Supplier_Master!B$2:B$36)</f>
        <v>EuroChem AG</v>
      </c>
      <c r="C12" s="9" t="str">
        <f>_xlfn.XLOOKUP(A12,Supplier_Master!A$2:A$36,Supplier_Master!C$2:C$36)</f>
        <v>Chemical</v>
      </c>
      <c r="D12" s="9">
        <f>COUNTIF(tblPO[Supplier_ID],A12)</f>
        <v>66</v>
      </c>
      <c r="E12" s="10">
        <f>SUMIF(tblPO[Supplier_ID],A12,tblPO[Purchase_Value])</f>
        <v>2006880.4900000007</v>
      </c>
      <c r="F12" s="9">
        <f>SUMIF(tblPO[Supplier_ID],A12,tblPO[Ordered_Quantity])</f>
        <v>22822</v>
      </c>
      <c r="G12" s="9">
        <f>SUMIF(tblPO[Supplier_ID],A12,tblPO[Received_Quantity])</f>
        <v>22706</v>
      </c>
      <c r="H12" s="9">
        <f>SUMIFS(tblQuality[Accepted_Quantity],tblPO[Supplier_ID],A12)</f>
        <v>22549</v>
      </c>
      <c r="I12" s="9">
        <f>SUMIFS(tblQuality[Rejected_Quantity],tblPO[Supplier_ID],A12)</f>
        <v>157</v>
      </c>
      <c r="J12" s="9">
        <f>SUMIFS(tblPO[On_Time_Flag],tblPO[Supplier_ID],A12)</f>
        <v>65</v>
      </c>
      <c r="K12" s="11">
        <f t="shared" si="0"/>
        <v>0.98484848484848486</v>
      </c>
      <c r="L12" s="12">
        <f>SUMIFS(tblPO[Late Flag],tblPO[Supplier_ID],A12)</f>
        <v>1</v>
      </c>
      <c r="M12" s="13">
        <f t="shared" si="1"/>
        <v>1.5151515151515152E-2</v>
      </c>
      <c r="N12" s="14">
        <f>AVERAGEIFS(tblPO[Lead time Days],tblPO[Supplier_ID],A12)</f>
        <v>19.454545454545453</v>
      </c>
      <c r="O12" s="11">
        <f t="shared" si="2"/>
        <v>6.9144719457412138E-3</v>
      </c>
      <c r="P12" s="11">
        <f t="shared" si="3"/>
        <v>0.99308552805425876</v>
      </c>
      <c r="Q12" s="15">
        <f t="shared" si="4"/>
        <v>87.936223380948235</v>
      </c>
      <c r="R12" s="16">
        <f t="shared" si="5"/>
        <v>98.484848484848484</v>
      </c>
      <c r="S12" s="14">
        <f t="shared" si="6"/>
        <v>99.308552805425876</v>
      </c>
      <c r="T12" s="9">
        <f t="shared" si="7"/>
        <v>23</v>
      </c>
      <c r="U12" s="17">
        <f t="shared" si="8"/>
        <v>97.899494455427998</v>
      </c>
      <c r="V12" s="9">
        <f t="shared" si="9"/>
        <v>83.4</v>
      </c>
      <c r="W12" s="22" t="str">
        <f t="shared" si="10"/>
        <v>Good</v>
      </c>
    </row>
    <row r="13" spans="1:23" x14ac:dyDescent="0.3">
      <c r="A13" s="21" t="s">
        <v>49</v>
      </c>
      <c r="B13" s="9" t="str">
        <f>_xlfn.XLOOKUP(A13,Supplier_Master!A$2:A$36,Supplier_Master!B$2:B$36)</f>
        <v>PackRight India</v>
      </c>
      <c r="C13" s="9" t="str">
        <f>_xlfn.XLOOKUP(A13,Supplier_Master!A$2:A$36,Supplier_Master!C$2:C$36)</f>
        <v>Packaging</v>
      </c>
      <c r="D13" s="9">
        <f>COUNTIF(tblPO[Supplier_ID],A13)</f>
        <v>64</v>
      </c>
      <c r="E13" s="10">
        <f>SUMIF(tblPO[Supplier_ID],A13,tblPO[Purchase_Value])</f>
        <v>1246546.5399999998</v>
      </c>
      <c r="F13" s="9">
        <f>SUMIF(tblPO[Supplier_ID],A13,tblPO[Ordered_Quantity])</f>
        <v>26408</v>
      </c>
      <c r="G13" s="9">
        <f>SUMIF(tblPO[Supplier_ID],A13,tblPO[Received_Quantity])</f>
        <v>26300</v>
      </c>
      <c r="H13" s="9">
        <f>SUMIFS(tblQuality[Accepted_Quantity],tblPO[Supplier_ID],A13)</f>
        <v>25667</v>
      </c>
      <c r="I13" s="9">
        <f>SUMIFS(tblQuality[Rejected_Quantity],tblPO[Supplier_ID],A13)</f>
        <v>633</v>
      </c>
      <c r="J13" s="9">
        <f>SUMIFS(tblPO[On_Time_Flag],tblPO[Supplier_ID],A13)</f>
        <v>54</v>
      </c>
      <c r="K13" s="11">
        <f t="shared" si="0"/>
        <v>0.84375</v>
      </c>
      <c r="L13" s="12">
        <f>SUMIFS(tblPO[Late Flag],tblPO[Supplier_ID],A13)</f>
        <v>10</v>
      </c>
      <c r="M13" s="13">
        <f t="shared" si="1"/>
        <v>0.15625</v>
      </c>
      <c r="N13" s="14">
        <f>AVERAGEIFS(tblPO[Lead time Days],tblPO[Supplier_ID],A13)</f>
        <v>10.765625</v>
      </c>
      <c r="O13" s="11">
        <f t="shared" si="2"/>
        <v>2.4068441064638783E-2</v>
      </c>
      <c r="P13" s="11">
        <f t="shared" si="3"/>
        <v>0.97593155893536121</v>
      </c>
      <c r="Q13" s="15">
        <f t="shared" si="4"/>
        <v>47.203367918812475</v>
      </c>
      <c r="R13" s="16">
        <f t="shared" si="5"/>
        <v>84.375</v>
      </c>
      <c r="S13" s="14">
        <f t="shared" si="6"/>
        <v>97.593155893536121</v>
      </c>
      <c r="T13" s="9">
        <f t="shared" si="7"/>
        <v>86</v>
      </c>
      <c r="U13" s="17">
        <f t="shared" si="8"/>
        <v>99.637252249246572</v>
      </c>
      <c r="V13" s="9">
        <f t="shared" si="9"/>
        <v>91.8</v>
      </c>
      <c r="W13" s="22" t="str">
        <f t="shared" si="10"/>
        <v>Excellent</v>
      </c>
    </row>
    <row r="14" spans="1:23" x14ac:dyDescent="0.3">
      <c r="A14" s="21" t="s">
        <v>50</v>
      </c>
      <c r="B14" s="9" t="str">
        <f>_xlfn.XLOOKUP(A14,Supplier_Master!A$2:A$36,Supplier_Master!B$2:B$36)</f>
        <v>PrecisionMech Ltd</v>
      </c>
      <c r="C14" s="9" t="str">
        <f>_xlfn.XLOOKUP(A14,Supplier_Master!A$2:A$36,Supplier_Master!C$2:C$36)</f>
        <v>Mechanical Component</v>
      </c>
      <c r="D14" s="9">
        <f>COUNTIF(tblPO[Supplier_ID],A14)</f>
        <v>72</v>
      </c>
      <c r="E14" s="10">
        <f>SUMIF(tblPO[Supplier_ID],A14,tblPO[Purchase_Value])</f>
        <v>4291013.9000000004</v>
      </c>
      <c r="F14" s="9">
        <f>SUMIF(tblPO[Supplier_ID],A14,tblPO[Ordered_Quantity])</f>
        <v>4334</v>
      </c>
      <c r="G14" s="9">
        <f>SUMIF(tblPO[Supplier_ID],A14,tblPO[Received_Quantity])</f>
        <v>4309</v>
      </c>
      <c r="H14" s="9">
        <f>SUMIFS(tblQuality[Accepted_Quantity],tblPO[Supplier_ID],A14)</f>
        <v>4246</v>
      </c>
      <c r="I14" s="9">
        <f>SUMIFS(tblQuality[Rejected_Quantity],tblPO[Supplier_ID],A14)</f>
        <v>63</v>
      </c>
      <c r="J14" s="9">
        <f>SUMIFS(tblPO[On_Time_Flag],tblPO[Supplier_ID],A14)</f>
        <v>68</v>
      </c>
      <c r="K14" s="11">
        <f t="shared" si="0"/>
        <v>0.94444444444444442</v>
      </c>
      <c r="L14" s="12">
        <f>SUMIFS(tblPO[Late Flag],tblPO[Supplier_ID],A14)</f>
        <v>4</v>
      </c>
      <c r="M14" s="13">
        <f t="shared" si="1"/>
        <v>5.5555555555555552E-2</v>
      </c>
      <c r="N14" s="14">
        <f>AVERAGEIFS(tblPO[Lead time Days],tblPO[Supplier_ID],A14)</f>
        <v>10.041666666666666</v>
      </c>
      <c r="O14" s="11">
        <f t="shared" si="2"/>
        <v>1.4620561615223951E-2</v>
      </c>
      <c r="P14" s="11">
        <f t="shared" si="3"/>
        <v>0.98537943838477604</v>
      </c>
      <c r="Q14" s="15">
        <f t="shared" si="4"/>
        <v>990.08165666820503</v>
      </c>
      <c r="R14" s="16">
        <f t="shared" si="5"/>
        <v>94.444444444444443</v>
      </c>
      <c r="S14" s="14">
        <f t="shared" si="6"/>
        <v>98.537943838477602</v>
      </c>
      <c r="T14" s="9">
        <f t="shared" si="7"/>
        <v>92</v>
      </c>
      <c r="U14" s="17">
        <f t="shared" si="8"/>
        <v>59.411884390622419</v>
      </c>
      <c r="V14" s="9">
        <f t="shared" si="9"/>
        <v>86.2</v>
      </c>
      <c r="W14" s="22" t="str">
        <f t="shared" si="10"/>
        <v>Good</v>
      </c>
    </row>
    <row r="15" spans="1:23" x14ac:dyDescent="0.3">
      <c r="A15" s="21" t="s">
        <v>51</v>
      </c>
      <c r="B15" s="9" t="str">
        <f>_xlfn.XLOOKUP(A15,Supplier_Master!A$2:A$36,Supplier_Master!B$2:B$36)</f>
        <v>SouthStar Chemicals</v>
      </c>
      <c r="C15" s="9" t="str">
        <f>_xlfn.XLOOKUP(A15,Supplier_Master!A$2:A$36,Supplier_Master!C$2:C$36)</f>
        <v>Chemical</v>
      </c>
      <c r="D15" s="9">
        <f>COUNTIF(tblPO[Supplier_ID],A15)</f>
        <v>61</v>
      </c>
      <c r="E15" s="10">
        <f>SUMIF(tblPO[Supplier_ID],A15,tblPO[Purchase_Value])</f>
        <v>1255858.8899999999</v>
      </c>
      <c r="F15" s="9">
        <f>SUMIF(tblPO[Supplier_ID],A15,tblPO[Ordered_Quantity])</f>
        <v>21907</v>
      </c>
      <c r="G15" s="9">
        <f>SUMIF(tblPO[Supplier_ID],A15,tblPO[Received_Quantity])</f>
        <v>21855</v>
      </c>
      <c r="H15" s="9">
        <f>SUMIFS(tblQuality[Accepted_Quantity],tblPO[Supplier_ID],A15)</f>
        <v>20851</v>
      </c>
      <c r="I15" s="9">
        <f>SUMIFS(tblQuality[Rejected_Quantity],tblPO[Supplier_ID],A15)</f>
        <v>1004</v>
      </c>
      <c r="J15" s="9">
        <f>SUMIFS(tblPO[On_Time_Flag],tblPO[Supplier_ID],A15)</f>
        <v>42</v>
      </c>
      <c r="K15" s="11">
        <f t="shared" si="0"/>
        <v>0.68852459016393441</v>
      </c>
      <c r="L15" s="12">
        <f>SUMIFS(tblPO[Late Flag],tblPO[Supplier_ID],A15)</f>
        <v>19</v>
      </c>
      <c r="M15" s="13">
        <f t="shared" si="1"/>
        <v>0.31147540983606559</v>
      </c>
      <c r="N15" s="14">
        <f>AVERAGEIFS(tblPO[Lead time Days],tblPO[Supplier_ID],A15)</f>
        <v>11.016393442622951</v>
      </c>
      <c r="O15" s="11">
        <f t="shared" si="2"/>
        <v>4.5939144360558223E-2</v>
      </c>
      <c r="P15" s="11">
        <f t="shared" si="3"/>
        <v>0.95406085563944176</v>
      </c>
      <c r="Q15" s="15">
        <f t="shared" si="4"/>
        <v>57.326831149860773</v>
      </c>
      <c r="R15" s="16">
        <f t="shared" si="5"/>
        <v>68.852459016393439</v>
      </c>
      <c r="S15" s="14">
        <f t="shared" si="6"/>
        <v>95.406085563944174</v>
      </c>
      <c r="T15" s="9">
        <f t="shared" si="7"/>
        <v>85</v>
      </c>
      <c r="U15" s="17">
        <f t="shared" si="8"/>
        <v>99.205361901010534</v>
      </c>
      <c r="V15" s="9">
        <f t="shared" si="9"/>
        <v>86.3</v>
      </c>
      <c r="W15" s="22" t="str">
        <f t="shared" si="10"/>
        <v>Good</v>
      </c>
    </row>
    <row r="16" spans="1:23" x14ac:dyDescent="0.3">
      <c r="A16" s="21" t="s">
        <v>52</v>
      </c>
      <c r="B16" s="9" t="str">
        <f>_xlfn.XLOOKUP(A16,Supplier_Master!A$2:A$36,Supplier_Master!B$2:B$36)</f>
        <v>FastTrack Suppliers</v>
      </c>
      <c r="C16" s="9" t="str">
        <f>_xlfn.XLOOKUP(A16,Supplier_Master!A$2:A$36,Supplier_Master!C$2:C$36)</f>
        <v>Raw Material</v>
      </c>
      <c r="D16" s="9">
        <f>COUNTIF(tblPO[Supplier_ID],A16)</f>
        <v>60</v>
      </c>
      <c r="E16" s="10">
        <f>SUMIF(tblPO[Supplier_ID],A16,tblPO[Purchase_Value])</f>
        <v>1950216.28</v>
      </c>
      <c r="F16" s="9">
        <f>SUMIF(tblPO[Supplier_ID],A16,tblPO[Ordered_Quantity])</f>
        <v>9946</v>
      </c>
      <c r="G16" s="9">
        <f>SUMIF(tblPO[Supplier_ID],A16,tblPO[Received_Quantity])</f>
        <v>9863</v>
      </c>
      <c r="H16" s="9">
        <f>SUMIFS(tblQuality[Accepted_Quantity],tblPO[Supplier_ID],A16)</f>
        <v>9687</v>
      </c>
      <c r="I16" s="9">
        <f>SUMIFS(tblQuality[Rejected_Quantity],tblPO[Supplier_ID],A16)</f>
        <v>176</v>
      </c>
      <c r="J16" s="9">
        <f>SUMIFS(tblPO[On_Time_Flag],tblPO[Supplier_ID],A16)</f>
        <v>57</v>
      </c>
      <c r="K16" s="11">
        <f t="shared" si="0"/>
        <v>0.95</v>
      </c>
      <c r="L16" s="12">
        <f>SUMIFS(tblPO[Late Flag],tblPO[Supplier_ID],A16)</f>
        <v>3</v>
      </c>
      <c r="M16" s="13">
        <f t="shared" si="1"/>
        <v>0.05</v>
      </c>
      <c r="N16" s="14">
        <f>AVERAGEIFS(tblPO[Lead time Days],tblPO[Supplier_ID],A16)</f>
        <v>8.9166666666666661</v>
      </c>
      <c r="O16" s="11">
        <f t="shared" si="2"/>
        <v>1.7844469228429485E-2</v>
      </c>
      <c r="P16" s="11">
        <f t="shared" si="3"/>
        <v>0.98215553077157047</v>
      </c>
      <c r="Q16" s="15">
        <f t="shared" si="4"/>
        <v>196.08046249748642</v>
      </c>
      <c r="R16" s="16">
        <f t="shared" si="5"/>
        <v>95</v>
      </c>
      <c r="S16" s="14">
        <f t="shared" si="6"/>
        <v>98.215553077157054</v>
      </c>
      <c r="T16" s="9">
        <f t="shared" si="7"/>
        <v>100</v>
      </c>
      <c r="U16" s="17">
        <f t="shared" si="8"/>
        <v>93.285811170787241</v>
      </c>
      <c r="V16" s="9">
        <f t="shared" si="9"/>
        <v>96.4</v>
      </c>
      <c r="W16" s="22" t="str">
        <f t="shared" si="10"/>
        <v>Excellent</v>
      </c>
    </row>
    <row r="17" spans="1:23" x14ac:dyDescent="0.3">
      <c r="A17" s="21" t="s">
        <v>53</v>
      </c>
      <c r="B17" s="9" t="str">
        <f>_xlfn.XLOOKUP(A17,Supplier_Master!A$2:A$36,Supplier_Master!B$2:B$36)</f>
        <v>Global Electrics Co</v>
      </c>
      <c r="C17" s="9" t="str">
        <f>_xlfn.XLOOKUP(A17,Supplier_Master!A$2:A$36,Supplier_Master!C$2:C$36)</f>
        <v>Electrical Component</v>
      </c>
      <c r="D17" s="9">
        <f>COUNTIF(tblPO[Supplier_ID],A17)</f>
        <v>45</v>
      </c>
      <c r="E17" s="10">
        <f>SUMIF(tblPO[Supplier_ID],A17,tblPO[Purchase_Value])</f>
        <v>3994238.1900000009</v>
      </c>
      <c r="F17" s="9">
        <f>SUMIF(tblPO[Supplier_ID],A17,tblPO[Ordered_Quantity])</f>
        <v>2429</v>
      </c>
      <c r="G17" s="9">
        <f>SUMIF(tblPO[Supplier_ID],A17,tblPO[Received_Quantity])</f>
        <v>2425</v>
      </c>
      <c r="H17" s="9">
        <f>SUMIFS(tblQuality[Accepted_Quantity],tblPO[Supplier_ID],A17)</f>
        <v>2381</v>
      </c>
      <c r="I17" s="9">
        <f>SUMIFS(tblQuality[Rejected_Quantity],tblPO[Supplier_ID],A17)</f>
        <v>44</v>
      </c>
      <c r="J17" s="9">
        <f>SUMIFS(tblPO[On_Time_Flag],tblPO[Supplier_ID],A17)</f>
        <v>38</v>
      </c>
      <c r="K17" s="11">
        <f t="shared" si="0"/>
        <v>0.84444444444444444</v>
      </c>
      <c r="L17" s="12">
        <f>SUMIFS(tblPO[Late Flag],tblPO[Supplier_ID],A17)</f>
        <v>7</v>
      </c>
      <c r="M17" s="13">
        <f t="shared" si="1"/>
        <v>0.15555555555555556</v>
      </c>
      <c r="N17" s="14">
        <f>AVERAGEIFS(tblPO[Lead time Days],tblPO[Supplier_ID],A17)</f>
        <v>21.622222222222224</v>
      </c>
      <c r="O17" s="11">
        <f t="shared" si="2"/>
        <v>1.8144329896907216E-2</v>
      </c>
      <c r="P17" s="11">
        <f t="shared" si="3"/>
        <v>0.98185567010309283</v>
      </c>
      <c r="Q17" s="15">
        <f t="shared" si="4"/>
        <v>1644.3961259777691</v>
      </c>
      <c r="R17" s="16">
        <f t="shared" si="5"/>
        <v>84.444444444444443</v>
      </c>
      <c r="S17" s="14">
        <f t="shared" si="6"/>
        <v>98.185567010309285</v>
      </c>
      <c r="T17" s="9">
        <f t="shared" si="7"/>
        <v>7</v>
      </c>
      <c r="U17" s="17">
        <f t="shared" si="8"/>
        <v>31.49731626740493</v>
      </c>
      <c r="V17" s="9">
        <f t="shared" si="9"/>
        <v>59.2</v>
      </c>
      <c r="W17" s="22" t="str">
        <f t="shared" si="10"/>
        <v>Poor</v>
      </c>
    </row>
    <row r="18" spans="1:23" x14ac:dyDescent="0.3">
      <c r="A18" s="21" t="s">
        <v>54</v>
      </c>
      <c r="B18" s="9" t="str">
        <f>_xlfn.XLOOKUP(A18,Supplier_Master!A$2:A$36,Supplier_Master!B$2:B$36)</f>
        <v>IndiaPack Pvt Ltd</v>
      </c>
      <c r="C18" s="9" t="str">
        <f>_xlfn.XLOOKUP(A18,Supplier_Master!A$2:A$36,Supplier_Master!C$2:C$36)</f>
        <v>Packaging</v>
      </c>
      <c r="D18" s="9">
        <f>COUNTIF(tblPO[Supplier_ID],A18)</f>
        <v>42</v>
      </c>
      <c r="E18" s="10">
        <f>SUMIF(tblPO[Supplier_ID],A18,tblPO[Purchase_Value])</f>
        <v>699513.34</v>
      </c>
      <c r="F18" s="9">
        <f>SUMIF(tblPO[Supplier_ID],A18,tblPO[Ordered_Quantity])</f>
        <v>18075</v>
      </c>
      <c r="G18" s="9">
        <f>SUMIF(tblPO[Supplier_ID],A18,tblPO[Received_Quantity])</f>
        <v>17969</v>
      </c>
      <c r="H18" s="9">
        <f>SUMIFS(tblQuality[Accepted_Quantity],tblPO[Supplier_ID],A18)</f>
        <v>17055</v>
      </c>
      <c r="I18" s="9">
        <f>SUMIFS(tblQuality[Rejected_Quantity],tblPO[Supplier_ID],A18)</f>
        <v>914</v>
      </c>
      <c r="J18" s="9">
        <f>SUMIFS(tblPO[On_Time_Flag],tblPO[Supplier_ID],A18)</f>
        <v>33</v>
      </c>
      <c r="K18" s="11">
        <f t="shared" si="0"/>
        <v>0.7857142857142857</v>
      </c>
      <c r="L18" s="12">
        <f>SUMIFS(tblPO[Late Flag],tblPO[Supplier_ID],A18)</f>
        <v>9</v>
      </c>
      <c r="M18" s="13">
        <f t="shared" si="1"/>
        <v>0.21428571428571427</v>
      </c>
      <c r="N18" s="14">
        <f>AVERAGEIFS(tblPO[Lead time Days],tblPO[Supplier_ID],A18)</f>
        <v>12.095238095238095</v>
      </c>
      <c r="O18" s="11">
        <f t="shared" si="2"/>
        <v>5.0865379264288496E-2</v>
      </c>
      <c r="P18" s="11">
        <f t="shared" si="3"/>
        <v>0.94913462073571153</v>
      </c>
      <c r="Q18" s="15">
        <f t="shared" si="4"/>
        <v>38.700599723374822</v>
      </c>
      <c r="R18" s="16">
        <f t="shared" si="5"/>
        <v>78.571428571428569</v>
      </c>
      <c r="S18" s="14">
        <f t="shared" si="6"/>
        <v>94.913462073571154</v>
      </c>
      <c r="T18" s="9">
        <f t="shared" si="7"/>
        <v>77</v>
      </c>
      <c r="U18" s="17">
        <f t="shared" si="8"/>
        <v>100</v>
      </c>
      <c r="V18" s="9">
        <f t="shared" si="9"/>
        <v>87.7</v>
      </c>
      <c r="W18" s="22" t="str">
        <f t="shared" si="10"/>
        <v>Good</v>
      </c>
    </row>
    <row r="19" spans="1:23" x14ac:dyDescent="0.3">
      <c r="A19" s="21" t="s">
        <v>55</v>
      </c>
      <c r="B19" s="9" t="str">
        <f>_xlfn.XLOOKUP(A19,Supplier_Master!A$2:A$36,Supplier_Master!B$2:B$36)</f>
        <v>Nordic Raw Imports</v>
      </c>
      <c r="C19" s="9" t="str">
        <f>_xlfn.XLOOKUP(A19,Supplier_Master!A$2:A$36,Supplier_Master!C$2:C$36)</f>
        <v>Raw Material</v>
      </c>
      <c r="D19" s="9">
        <f>COUNTIF(tblPO[Supplier_ID],A19)</f>
        <v>46</v>
      </c>
      <c r="E19" s="10">
        <f>SUMIF(tblPO[Supplier_ID],A19,tblPO[Purchase_Value])</f>
        <v>1299382.5600000005</v>
      </c>
      <c r="F19" s="9">
        <f>SUMIF(tblPO[Supplier_ID],A19,tblPO[Ordered_Quantity])</f>
        <v>8793</v>
      </c>
      <c r="G19" s="9">
        <f>SUMIF(tblPO[Supplier_ID],A19,tblPO[Received_Quantity])</f>
        <v>8734</v>
      </c>
      <c r="H19" s="9">
        <f>SUMIFS(tblQuality[Accepted_Quantity],tblPO[Supplier_ID],A19)</f>
        <v>8645</v>
      </c>
      <c r="I19" s="9">
        <f>SUMIFS(tblQuality[Rejected_Quantity],tblPO[Supplier_ID],A19)</f>
        <v>89</v>
      </c>
      <c r="J19" s="9">
        <f>SUMIFS(tblPO[On_Time_Flag],tblPO[Supplier_ID],A19)</f>
        <v>44</v>
      </c>
      <c r="K19" s="11">
        <f t="shared" si="0"/>
        <v>0.95652173913043481</v>
      </c>
      <c r="L19" s="12">
        <f>SUMIFS(tblPO[Late Flag],tblPO[Supplier_ID],A19)</f>
        <v>2</v>
      </c>
      <c r="M19" s="13">
        <f t="shared" si="1"/>
        <v>4.3478260869565216E-2</v>
      </c>
      <c r="N19" s="14">
        <f>AVERAGEIFS(tblPO[Lead time Days],tblPO[Supplier_ID],A19)</f>
        <v>18.891304347826086</v>
      </c>
      <c r="O19" s="11">
        <f t="shared" si="2"/>
        <v>1.0190061827341425E-2</v>
      </c>
      <c r="P19" s="11">
        <f t="shared" si="3"/>
        <v>0.98980993817265861</v>
      </c>
      <c r="Q19" s="15">
        <f t="shared" si="4"/>
        <v>147.77465711361316</v>
      </c>
      <c r="R19" s="16">
        <f t="shared" si="5"/>
        <v>95.652173913043484</v>
      </c>
      <c r="S19" s="14">
        <f t="shared" si="6"/>
        <v>98.980993817265855</v>
      </c>
      <c r="T19" s="9">
        <f t="shared" si="7"/>
        <v>27</v>
      </c>
      <c r="U19" s="17">
        <f t="shared" si="8"/>
        <v>95.34664851793913</v>
      </c>
      <c r="V19" s="9">
        <f t="shared" si="9"/>
        <v>82.7</v>
      </c>
      <c r="W19" s="22" t="str">
        <f t="shared" si="10"/>
        <v>Good</v>
      </c>
    </row>
    <row r="20" spans="1:23" x14ac:dyDescent="0.3">
      <c r="A20" s="21" t="s">
        <v>56</v>
      </c>
      <c r="B20" s="9" t="str">
        <f>_xlfn.XLOOKUP(A20,Supplier_Master!A$2:A$36,Supplier_Master!B$2:B$36)</f>
        <v>MechPro Industries</v>
      </c>
      <c r="C20" s="9" t="str">
        <f>_xlfn.XLOOKUP(A20,Supplier_Master!A$2:A$36,Supplier_Master!C$2:C$36)</f>
        <v>Mechanical Component</v>
      </c>
      <c r="D20" s="9">
        <f>COUNTIF(tblPO[Supplier_ID],A20)</f>
        <v>32</v>
      </c>
      <c r="E20" s="10">
        <f>SUMIF(tblPO[Supplier_ID],A20,tblPO[Purchase_Value])</f>
        <v>1426029.8899999997</v>
      </c>
      <c r="F20" s="9">
        <f>SUMIF(tblPO[Supplier_ID],A20,tblPO[Ordered_Quantity])</f>
        <v>2196</v>
      </c>
      <c r="G20" s="9">
        <f>SUMIF(tblPO[Supplier_ID],A20,tblPO[Received_Quantity])</f>
        <v>2190</v>
      </c>
      <c r="H20" s="9">
        <f>SUMIFS(tblQuality[Accepted_Quantity],tblPO[Supplier_ID],A20)</f>
        <v>2109</v>
      </c>
      <c r="I20" s="9">
        <f>SUMIFS(tblQuality[Rejected_Quantity],tblPO[Supplier_ID],A20)</f>
        <v>81</v>
      </c>
      <c r="J20" s="9">
        <f>SUMIFS(tblPO[On_Time_Flag],tblPO[Supplier_ID],A20)</f>
        <v>26</v>
      </c>
      <c r="K20" s="11">
        <f t="shared" si="0"/>
        <v>0.8125</v>
      </c>
      <c r="L20" s="12">
        <f>SUMIFS(tblPO[Late Flag],tblPO[Supplier_ID],A20)</f>
        <v>6</v>
      </c>
      <c r="M20" s="13">
        <f t="shared" si="1"/>
        <v>0.1875</v>
      </c>
      <c r="N20" s="14">
        <f>AVERAGEIFS(tblPO[Lead time Days],tblPO[Supplier_ID],A20)</f>
        <v>10.9375</v>
      </c>
      <c r="O20" s="11">
        <f t="shared" si="2"/>
        <v>3.6986301369863014E-2</v>
      </c>
      <c r="P20" s="11">
        <f t="shared" si="3"/>
        <v>0.96301369863013697</v>
      </c>
      <c r="Q20" s="15">
        <f t="shared" si="4"/>
        <v>649.37608834244065</v>
      </c>
      <c r="R20" s="16">
        <f t="shared" si="5"/>
        <v>81.25</v>
      </c>
      <c r="S20" s="14">
        <f t="shared" si="6"/>
        <v>96.30136986301369</v>
      </c>
      <c r="T20" s="9">
        <f t="shared" si="7"/>
        <v>85</v>
      </c>
      <c r="U20" s="17">
        <f t="shared" si="8"/>
        <v>73.947171692192825</v>
      </c>
      <c r="V20" s="9">
        <f t="shared" si="9"/>
        <v>83.9</v>
      </c>
      <c r="W20" s="22" t="str">
        <f t="shared" si="10"/>
        <v>Good</v>
      </c>
    </row>
    <row r="21" spans="1:23" x14ac:dyDescent="0.3">
      <c r="A21" s="21" t="s">
        <v>57</v>
      </c>
      <c r="B21" s="9" t="str">
        <f>_xlfn.XLOOKUP(A21,Supplier_Master!A$2:A$36,Supplier_Master!B$2:B$36)</f>
        <v>AllPack Trading</v>
      </c>
      <c r="C21" s="9" t="str">
        <f>_xlfn.XLOOKUP(A21,Supplier_Master!A$2:A$36,Supplier_Master!C$2:C$36)</f>
        <v>Packaging</v>
      </c>
      <c r="D21" s="9">
        <f>COUNTIF(tblPO[Supplier_ID],A21)</f>
        <v>35</v>
      </c>
      <c r="E21" s="10">
        <f>SUMIF(tblPO[Supplier_ID],A21,tblPO[Purchase_Value])</f>
        <v>847435.6100000001</v>
      </c>
      <c r="F21" s="9">
        <f>SUMIF(tblPO[Supplier_ID],A21,tblPO[Ordered_Quantity])</f>
        <v>12388</v>
      </c>
      <c r="G21" s="9">
        <f>SUMIF(tblPO[Supplier_ID],A21,tblPO[Received_Quantity])</f>
        <v>12310</v>
      </c>
      <c r="H21" s="9">
        <f>SUMIFS(tblQuality[Accepted_Quantity],tblPO[Supplier_ID],A21)</f>
        <v>11797</v>
      </c>
      <c r="I21" s="9">
        <f>SUMIFS(tblQuality[Rejected_Quantity],tblPO[Supplier_ID],A21)</f>
        <v>513</v>
      </c>
      <c r="J21" s="9">
        <f>SUMIFS(tblPO[On_Time_Flag],tblPO[Supplier_ID],A21)</f>
        <v>28</v>
      </c>
      <c r="K21" s="11">
        <f t="shared" si="0"/>
        <v>0.8</v>
      </c>
      <c r="L21" s="12">
        <f>SUMIFS(tblPO[Late Flag],tblPO[Supplier_ID],A21)</f>
        <v>7</v>
      </c>
      <c r="M21" s="13">
        <f t="shared" si="1"/>
        <v>0.2</v>
      </c>
      <c r="N21" s="14">
        <f>AVERAGEIFS(tblPO[Lead time Days],tblPO[Supplier_ID],A21)</f>
        <v>21.085714285714285</v>
      </c>
      <c r="O21" s="11">
        <f t="shared" si="2"/>
        <v>4.167343623070674E-2</v>
      </c>
      <c r="P21" s="11">
        <f t="shared" si="3"/>
        <v>0.95832656376929326</v>
      </c>
      <c r="Q21" s="15">
        <f t="shared" si="4"/>
        <v>68.407782531482084</v>
      </c>
      <c r="R21" s="16">
        <f t="shared" si="5"/>
        <v>80</v>
      </c>
      <c r="S21" s="14">
        <f t="shared" si="6"/>
        <v>95.832656376929322</v>
      </c>
      <c r="T21" s="9">
        <f t="shared" si="7"/>
        <v>11</v>
      </c>
      <c r="U21" s="17">
        <f t="shared" si="8"/>
        <v>98.732622894430534</v>
      </c>
      <c r="V21" s="9">
        <f t="shared" si="9"/>
        <v>74.8</v>
      </c>
      <c r="W21" s="22" t="str">
        <f t="shared" si="10"/>
        <v>Average</v>
      </c>
    </row>
    <row r="22" spans="1:23" x14ac:dyDescent="0.3">
      <c r="A22" s="21" t="s">
        <v>58</v>
      </c>
      <c r="B22" s="9" t="str">
        <f>_xlfn.XLOOKUP(A22,Supplier_Master!A$2:A$36,Supplier_Master!B$2:B$36)</f>
        <v>ChemSupply Corp</v>
      </c>
      <c r="C22" s="9" t="str">
        <f>_xlfn.XLOOKUP(A22,Supplier_Master!A$2:A$36,Supplier_Master!C$2:C$36)</f>
        <v>Chemical</v>
      </c>
      <c r="D22" s="9">
        <f>COUNTIF(tblPO[Supplier_ID],A22)</f>
        <v>41</v>
      </c>
      <c r="E22" s="10">
        <f>SUMIF(tblPO[Supplier_ID],A22,tblPO[Purchase_Value])</f>
        <v>1488683.6400000001</v>
      </c>
      <c r="F22" s="9">
        <f>SUMIF(tblPO[Supplier_ID],A22,tblPO[Ordered_Quantity])</f>
        <v>16346</v>
      </c>
      <c r="G22" s="9">
        <f>SUMIF(tblPO[Supplier_ID],A22,tblPO[Received_Quantity])</f>
        <v>16222</v>
      </c>
      <c r="H22" s="9">
        <f>SUMIFS(tblQuality[Accepted_Quantity],tblPO[Supplier_ID],A22)</f>
        <v>15842</v>
      </c>
      <c r="I22" s="9">
        <f>SUMIFS(tblQuality[Rejected_Quantity],tblPO[Supplier_ID],A22)</f>
        <v>380</v>
      </c>
      <c r="J22" s="9">
        <f>SUMIFS(tblPO[On_Time_Flag],tblPO[Supplier_ID],A22)</f>
        <v>39</v>
      </c>
      <c r="K22" s="11">
        <f t="shared" si="0"/>
        <v>0.95121951219512191</v>
      </c>
      <c r="L22" s="12">
        <f>SUMIFS(tblPO[Late Flag],tblPO[Supplier_ID],A22)</f>
        <v>2</v>
      </c>
      <c r="M22" s="13">
        <f t="shared" si="1"/>
        <v>4.878048780487805E-2</v>
      </c>
      <c r="N22" s="14">
        <f>AVERAGEIFS(tblPO[Lead time Days],tblPO[Supplier_ID],A22)</f>
        <v>21.512195121951219</v>
      </c>
      <c r="O22" s="11">
        <f t="shared" si="2"/>
        <v>2.3424978424361979E-2</v>
      </c>
      <c r="P22" s="11">
        <f t="shared" si="3"/>
        <v>0.97657502157563802</v>
      </c>
      <c r="Q22" s="15">
        <f t="shared" si="4"/>
        <v>91.073268077817204</v>
      </c>
      <c r="R22" s="16">
        <f t="shared" si="5"/>
        <v>95.121951219512198</v>
      </c>
      <c r="S22" s="14">
        <f t="shared" si="6"/>
        <v>97.657502157563798</v>
      </c>
      <c r="T22" s="9">
        <f t="shared" si="7"/>
        <v>8</v>
      </c>
      <c r="U22" s="17">
        <f t="shared" si="8"/>
        <v>97.765660875393095</v>
      </c>
      <c r="V22" s="9">
        <f t="shared" si="9"/>
        <v>79</v>
      </c>
      <c r="W22" s="22" t="str">
        <f t="shared" si="10"/>
        <v>Good</v>
      </c>
    </row>
    <row r="23" spans="1:23" x14ac:dyDescent="0.3">
      <c r="A23" s="21" t="s">
        <v>59</v>
      </c>
      <c r="B23" s="9" t="str">
        <f>_xlfn.XLOOKUP(A23,Supplier_Master!A$2:A$36,Supplier_Master!B$2:B$36)</f>
        <v>VistaElec Pvt Ltd</v>
      </c>
      <c r="C23" s="9" t="str">
        <f>_xlfn.XLOOKUP(A23,Supplier_Master!A$2:A$36,Supplier_Master!C$2:C$36)</f>
        <v>Electrical Component</v>
      </c>
      <c r="D23" s="9">
        <f>COUNTIF(tblPO[Supplier_ID],A23)</f>
        <v>35</v>
      </c>
      <c r="E23" s="10">
        <f>SUMIF(tblPO[Supplier_ID],A23,tblPO[Purchase_Value])</f>
        <v>1749340.74</v>
      </c>
      <c r="F23" s="9">
        <f>SUMIF(tblPO[Supplier_ID],A23,tblPO[Ordered_Quantity])</f>
        <v>1451</v>
      </c>
      <c r="G23" s="9">
        <f>SUMIF(tblPO[Supplier_ID],A23,tblPO[Received_Quantity])</f>
        <v>1444</v>
      </c>
      <c r="H23" s="9">
        <f>SUMIFS(tblQuality[Accepted_Quantity],tblPO[Supplier_ID],A23)</f>
        <v>1334</v>
      </c>
      <c r="I23" s="9">
        <f>SUMIFS(tblQuality[Rejected_Quantity],tblPO[Supplier_ID],A23)</f>
        <v>110</v>
      </c>
      <c r="J23" s="9">
        <f>SUMIFS(tblPO[On_Time_Flag],tblPO[Supplier_ID],A23)</f>
        <v>20</v>
      </c>
      <c r="K23" s="11">
        <f t="shared" si="0"/>
        <v>0.5714285714285714</v>
      </c>
      <c r="L23" s="12">
        <f>SUMIFS(tblPO[Late Flag],tblPO[Supplier_ID],A23)</f>
        <v>15</v>
      </c>
      <c r="M23" s="13">
        <f t="shared" si="1"/>
        <v>0.42857142857142855</v>
      </c>
      <c r="N23" s="14">
        <f>AVERAGEIFS(tblPO[Lead time Days],tblPO[Supplier_ID],A23)</f>
        <v>13.942857142857143</v>
      </c>
      <c r="O23" s="11">
        <f t="shared" si="2"/>
        <v>7.6177285318559551E-2</v>
      </c>
      <c r="P23" s="11">
        <f t="shared" si="3"/>
        <v>0.92382271468144039</v>
      </c>
      <c r="Q23" s="15">
        <f t="shared" si="4"/>
        <v>1205.6104341833218</v>
      </c>
      <c r="R23" s="16">
        <f t="shared" si="5"/>
        <v>57.142857142857139</v>
      </c>
      <c r="S23" s="14">
        <f t="shared" si="6"/>
        <v>92.38227146814404</v>
      </c>
      <c r="T23" s="9">
        <f t="shared" si="7"/>
        <v>63</v>
      </c>
      <c r="U23" s="17">
        <f t="shared" si="8"/>
        <v>50.216928410498618</v>
      </c>
      <c r="V23" s="9">
        <f t="shared" si="9"/>
        <v>65.400000000000006</v>
      </c>
      <c r="W23" s="22" t="str">
        <f t="shared" si="10"/>
        <v>Average</v>
      </c>
    </row>
    <row r="24" spans="1:23" x14ac:dyDescent="0.3">
      <c r="A24" s="21" t="s">
        <v>60</v>
      </c>
      <c r="B24" s="9" t="str">
        <f>_xlfn.XLOOKUP(A24,Supplier_Master!A$2:A$36,Supplier_Master!B$2:B$36)</f>
        <v>RajMech Components</v>
      </c>
      <c r="C24" s="9" t="str">
        <f>_xlfn.XLOOKUP(A24,Supplier_Master!A$2:A$36,Supplier_Master!C$2:C$36)</f>
        <v>Mechanical Component</v>
      </c>
      <c r="D24" s="9">
        <f>COUNTIF(tblPO[Supplier_ID],A24)</f>
        <v>36</v>
      </c>
      <c r="E24" s="10">
        <f>SUMIF(tblPO[Supplier_ID],A24,tblPO[Purchase_Value])</f>
        <v>1459600.4300000004</v>
      </c>
      <c r="F24" s="9">
        <f>SUMIF(tblPO[Supplier_ID],A24,tblPO[Ordered_Quantity])</f>
        <v>2616</v>
      </c>
      <c r="G24" s="9">
        <f>SUMIF(tblPO[Supplier_ID],A24,tblPO[Received_Quantity])</f>
        <v>2600</v>
      </c>
      <c r="H24" s="9">
        <f>SUMIFS(tblQuality[Accepted_Quantity],tblPO[Supplier_ID],A24)</f>
        <v>2427</v>
      </c>
      <c r="I24" s="9">
        <f>SUMIFS(tblQuality[Rejected_Quantity],tblPO[Supplier_ID],A24)</f>
        <v>173</v>
      </c>
      <c r="J24" s="9">
        <f>SUMIFS(tblPO[On_Time_Flag],tblPO[Supplier_ID],A24)</f>
        <v>25</v>
      </c>
      <c r="K24" s="11">
        <f t="shared" si="0"/>
        <v>0.69444444444444442</v>
      </c>
      <c r="L24" s="12">
        <f>SUMIFS(tblPO[Late Flag],tblPO[Supplier_ID],A24)</f>
        <v>11</v>
      </c>
      <c r="M24" s="13">
        <f t="shared" si="1"/>
        <v>0.30555555555555558</v>
      </c>
      <c r="N24" s="14">
        <f>AVERAGEIFS(tblPO[Lead time Days],tblPO[Supplier_ID],A24)</f>
        <v>12.305555555555555</v>
      </c>
      <c r="O24" s="11">
        <f t="shared" si="2"/>
        <v>6.6538461538461532E-2</v>
      </c>
      <c r="P24" s="11">
        <f t="shared" si="3"/>
        <v>0.93346153846153845</v>
      </c>
      <c r="Q24" s="15">
        <f t="shared" si="4"/>
        <v>557.95123470948033</v>
      </c>
      <c r="R24" s="16">
        <f t="shared" si="5"/>
        <v>69.444444444444443</v>
      </c>
      <c r="S24" s="14">
        <f t="shared" si="6"/>
        <v>93.34615384615384</v>
      </c>
      <c r="T24" s="9">
        <f t="shared" si="7"/>
        <v>75</v>
      </c>
      <c r="U24" s="17">
        <f t="shared" si="8"/>
        <v>77.84756733465116</v>
      </c>
      <c r="V24" s="9">
        <f t="shared" si="9"/>
        <v>78.599999999999994</v>
      </c>
      <c r="W24" s="22" t="str">
        <f t="shared" si="10"/>
        <v>Good</v>
      </c>
    </row>
    <row r="25" spans="1:23" x14ac:dyDescent="0.3">
      <c r="A25" s="21" t="s">
        <v>61</v>
      </c>
      <c r="B25" s="9" t="str">
        <f>_xlfn.XLOOKUP(A25,Supplier_Master!A$2:A$36,Supplier_Master!B$2:B$36)</f>
        <v>Sunrise Materials</v>
      </c>
      <c r="C25" s="9" t="str">
        <f>_xlfn.XLOOKUP(A25,Supplier_Master!A$2:A$36,Supplier_Master!C$2:C$36)</f>
        <v>Raw Material</v>
      </c>
      <c r="D25" s="9">
        <f>COUNTIF(tblPO[Supplier_ID],A25)</f>
        <v>22</v>
      </c>
      <c r="E25" s="10">
        <f>SUMIF(tblPO[Supplier_ID],A25,tblPO[Purchase_Value])</f>
        <v>547917</v>
      </c>
      <c r="F25" s="9">
        <f>SUMIF(tblPO[Supplier_ID],A25,tblPO[Ordered_Quantity])</f>
        <v>3738</v>
      </c>
      <c r="G25" s="9">
        <f>SUMIF(tblPO[Supplier_ID],A25,tblPO[Received_Quantity])</f>
        <v>3730</v>
      </c>
      <c r="H25" s="9">
        <f>SUMIFS(tblQuality[Accepted_Quantity],tblPO[Supplier_ID],A25)</f>
        <v>3597</v>
      </c>
      <c r="I25" s="9">
        <f>SUMIFS(tblQuality[Rejected_Quantity],tblPO[Supplier_ID],A25)</f>
        <v>133</v>
      </c>
      <c r="J25" s="9">
        <f>SUMIFS(tblPO[On_Time_Flag],tblPO[Supplier_ID],A25)</f>
        <v>17</v>
      </c>
      <c r="K25" s="11">
        <f t="shared" si="0"/>
        <v>0.77272727272727271</v>
      </c>
      <c r="L25" s="12">
        <f>SUMIFS(tblPO[Late Flag],tblPO[Supplier_ID],A25)</f>
        <v>5</v>
      </c>
      <c r="M25" s="13">
        <f t="shared" si="1"/>
        <v>0.22727272727272727</v>
      </c>
      <c r="N25" s="14">
        <f>AVERAGEIFS(tblPO[Lead time Days],tblPO[Supplier_ID],A25)</f>
        <v>11.272727272727273</v>
      </c>
      <c r="O25" s="11">
        <f t="shared" si="2"/>
        <v>3.5656836461126003E-2</v>
      </c>
      <c r="P25" s="11">
        <f t="shared" si="3"/>
        <v>0.96434316353887395</v>
      </c>
      <c r="Q25" s="15">
        <f t="shared" si="4"/>
        <v>146.58025682182986</v>
      </c>
      <c r="R25" s="16">
        <f t="shared" si="5"/>
        <v>77.272727272727266</v>
      </c>
      <c r="S25" s="14">
        <f t="shared" si="6"/>
        <v>96.434316353887397</v>
      </c>
      <c r="T25" s="9">
        <f t="shared" si="7"/>
        <v>83</v>
      </c>
      <c r="U25" s="17">
        <f t="shared" si="8"/>
        <v>95.397604395999636</v>
      </c>
      <c r="V25" s="9">
        <f t="shared" si="9"/>
        <v>87.7</v>
      </c>
      <c r="W25" s="22" t="str">
        <f t="shared" si="10"/>
        <v>Good</v>
      </c>
    </row>
    <row r="26" spans="1:23" x14ac:dyDescent="0.3">
      <c r="A26" s="21" t="s">
        <v>62</v>
      </c>
      <c r="B26" s="9" t="str">
        <f>_xlfn.XLOOKUP(A26,Supplier_Master!A$2:A$36,Supplier_Master!B$2:B$36)</f>
        <v>PolyPack Solutions</v>
      </c>
      <c r="C26" s="9" t="str">
        <f>_xlfn.XLOOKUP(A26,Supplier_Master!A$2:A$36,Supplier_Master!C$2:C$36)</f>
        <v>Packaging</v>
      </c>
      <c r="D26" s="9">
        <f>COUNTIF(tblPO[Supplier_ID],A26)</f>
        <v>27</v>
      </c>
      <c r="E26" s="10">
        <f>SUMIF(tblPO[Supplier_ID],A26,tblPO[Purchase_Value])</f>
        <v>650263.95000000007</v>
      </c>
      <c r="F26" s="9">
        <f>SUMIF(tblPO[Supplier_ID],A26,tblPO[Ordered_Quantity])</f>
        <v>12295</v>
      </c>
      <c r="G26" s="9">
        <f>SUMIF(tblPO[Supplier_ID],A26,tblPO[Received_Quantity])</f>
        <v>12277</v>
      </c>
      <c r="H26" s="9">
        <f>SUMIFS(tblQuality[Accepted_Quantity],tblPO[Supplier_ID],A26)</f>
        <v>12002</v>
      </c>
      <c r="I26" s="9">
        <f>SUMIFS(tblQuality[Rejected_Quantity],tblPO[Supplier_ID],A26)</f>
        <v>275</v>
      </c>
      <c r="J26" s="9">
        <f>SUMIFS(tblPO[On_Time_Flag],tblPO[Supplier_ID],A26)</f>
        <v>24</v>
      </c>
      <c r="K26" s="11">
        <f t="shared" si="0"/>
        <v>0.88888888888888884</v>
      </c>
      <c r="L26" s="12">
        <f>SUMIFS(tblPO[Late Flag],tblPO[Supplier_ID],A26)</f>
        <v>3</v>
      </c>
      <c r="M26" s="13">
        <f t="shared" si="1"/>
        <v>0.1111111111111111</v>
      </c>
      <c r="N26" s="14">
        <f>AVERAGEIFS(tblPO[Lead time Days],tblPO[Supplier_ID],A26)</f>
        <v>10.333333333333334</v>
      </c>
      <c r="O26" s="11">
        <f t="shared" si="2"/>
        <v>2.2399609025006109E-2</v>
      </c>
      <c r="P26" s="11">
        <f t="shared" si="3"/>
        <v>0.97760039097499385</v>
      </c>
      <c r="Q26" s="15">
        <f t="shared" si="4"/>
        <v>52.888487189914606</v>
      </c>
      <c r="R26" s="16">
        <f t="shared" si="5"/>
        <v>88.888888888888886</v>
      </c>
      <c r="S26" s="14">
        <f t="shared" si="6"/>
        <v>97.760039097499387</v>
      </c>
      <c r="T26" s="9">
        <f t="shared" si="7"/>
        <v>90</v>
      </c>
      <c r="U26" s="17">
        <f t="shared" si="8"/>
        <v>99.394711916386058</v>
      </c>
      <c r="V26" s="9">
        <f t="shared" si="9"/>
        <v>94</v>
      </c>
      <c r="W26" s="22" t="str">
        <f t="shared" si="10"/>
        <v>Excellent</v>
      </c>
    </row>
    <row r="27" spans="1:23" x14ac:dyDescent="0.3">
      <c r="A27" s="21" t="s">
        <v>63</v>
      </c>
      <c r="B27" s="9" t="str">
        <f>_xlfn.XLOOKUP(A27,Supplier_Master!A$2:A$36,Supplier_Master!B$2:B$36)</f>
        <v>QualChem International</v>
      </c>
      <c r="C27" s="9" t="str">
        <f>_xlfn.XLOOKUP(A27,Supplier_Master!A$2:A$36,Supplier_Master!C$2:C$36)</f>
        <v>Chemical</v>
      </c>
      <c r="D27" s="9">
        <f>COUNTIF(tblPO[Supplier_ID],A27)</f>
        <v>18</v>
      </c>
      <c r="E27" s="10">
        <f>SUMIF(tblPO[Supplier_ID],A27,tblPO[Purchase_Value])</f>
        <v>612308.93999999983</v>
      </c>
      <c r="F27" s="9">
        <f>SUMIF(tblPO[Supplier_ID],A27,tblPO[Ordered_Quantity])</f>
        <v>6577</v>
      </c>
      <c r="G27" s="9">
        <f>SUMIF(tblPO[Supplier_ID],A27,tblPO[Received_Quantity])</f>
        <v>6577</v>
      </c>
      <c r="H27" s="9">
        <f>SUMIFS(tblQuality[Accepted_Quantity],tblPO[Supplier_ID],A27)</f>
        <v>6524</v>
      </c>
      <c r="I27" s="9">
        <f>SUMIFS(tblQuality[Rejected_Quantity],tblPO[Supplier_ID],A27)</f>
        <v>53</v>
      </c>
      <c r="J27" s="9">
        <f>SUMIFS(tblPO[On_Time_Flag],tblPO[Supplier_ID],A27)</f>
        <v>17</v>
      </c>
      <c r="K27" s="11">
        <f t="shared" si="0"/>
        <v>0.94444444444444442</v>
      </c>
      <c r="L27" s="12">
        <f>SUMIFS(tblPO[Late Flag],tblPO[Supplier_ID],A27)</f>
        <v>1</v>
      </c>
      <c r="M27" s="13">
        <f t="shared" si="1"/>
        <v>5.5555555555555552E-2</v>
      </c>
      <c r="N27" s="14">
        <f>AVERAGEIFS(tblPO[Lead time Days],tblPO[Supplier_ID],A27)</f>
        <v>21.388888888888889</v>
      </c>
      <c r="O27" s="11">
        <f t="shared" si="2"/>
        <v>8.0583852820434853E-3</v>
      </c>
      <c r="P27" s="11">
        <f t="shared" si="3"/>
        <v>0.9919416147179565</v>
      </c>
      <c r="Q27" s="15">
        <f t="shared" si="4"/>
        <v>93.098516040748038</v>
      </c>
      <c r="R27" s="16">
        <f t="shared" si="5"/>
        <v>94.444444444444443</v>
      </c>
      <c r="S27" s="14">
        <f t="shared" si="6"/>
        <v>99.194161471795653</v>
      </c>
      <c r="T27" s="9">
        <f t="shared" si="7"/>
        <v>9</v>
      </c>
      <c r="U27" s="17">
        <f t="shared" si="8"/>
        <v>97.679259114650606</v>
      </c>
      <c r="V27" s="9">
        <f t="shared" si="9"/>
        <v>79.400000000000006</v>
      </c>
      <c r="W27" s="22" t="str">
        <f t="shared" si="10"/>
        <v>Good</v>
      </c>
    </row>
    <row r="28" spans="1:23" x14ac:dyDescent="0.3">
      <c r="A28" s="21" t="s">
        <v>64</v>
      </c>
      <c r="B28" s="9" t="str">
        <f>_xlfn.XLOOKUP(A28,Supplier_Master!A$2:A$36,Supplier_Master!B$2:B$36)</f>
        <v>Eastern Mech Ltd</v>
      </c>
      <c r="C28" s="9" t="str">
        <f>_xlfn.XLOOKUP(A28,Supplier_Master!A$2:A$36,Supplier_Master!C$2:C$36)</f>
        <v>Mechanical Component</v>
      </c>
      <c r="D28" s="9">
        <f>COUNTIF(tblPO[Supplier_ID],A28)</f>
        <v>21</v>
      </c>
      <c r="E28" s="10">
        <f>SUMIF(tblPO[Supplier_ID],A28,tblPO[Purchase_Value])</f>
        <v>771352.3899999999</v>
      </c>
      <c r="F28" s="9">
        <f>SUMIF(tblPO[Supplier_ID],A28,tblPO[Ordered_Quantity])</f>
        <v>985</v>
      </c>
      <c r="G28" s="9">
        <f>SUMIF(tblPO[Supplier_ID],A28,tblPO[Received_Quantity])</f>
        <v>979</v>
      </c>
      <c r="H28" s="9">
        <f>SUMIFS(tblQuality[Accepted_Quantity],tblPO[Supplier_ID],A28)</f>
        <v>871</v>
      </c>
      <c r="I28" s="9">
        <f>SUMIFS(tblQuality[Rejected_Quantity],tblPO[Supplier_ID],A28)</f>
        <v>108</v>
      </c>
      <c r="J28" s="9">
        <f>SUMIFS(tblPO[On_Time_Flag],tblPO[Supplier_ID],A28)</f>
        <v>18</v>
      </c>
      <c r="K28" s="11">
        <f t="shared" si="0"/>
        <v>0.8571428571428571</v>
      </c>
      <c r="L28" s="12">
        <f>SUMIFS(tblPO[Late Flag],tblPO[Supplier_ID],A28)</f>
        <v>3</v>
      </c>
      <c r="M28" s="13">
        <f t="shared" si="1"/>
        <v>0.14285714285714285</v>
      </c>
      <c r="N28" s="14">
        <f>AVERAGEIFS(tblPO[Lead time Days],tblPO[Supplier_ID],A28)</f>
        <v>10.571428571428571</v>
      </c>
      <c r="O28" s="11">
        <f t="shared" si="2"/>
        <v>0.11031664964249234</v>
      </c>
      <c r="P28" s="11">
        <f t="shared" si="3"/>
        <v>0.88968335035750767</v>
      </c>
      <c r="Q28" s="15">
        <f t="shared" si="4"/>
        <v>783.0988730964466</v>
      </c>
      <c r="R28" s="16">
        <f t="shared" si="5"/>
        <v>85.714285714285708</v>
      </c>
      <c r="S28" s="14">
        <f t="shared" si="6"/>
        <v>88.968335035750769</v>
      </c>
      <c r="T28" s="9">
        <f t="shared" si="7"/>
        <v>88</v>
      </c>
      <c r="U28" s="17">
        <f t="shared" si="8"/>
        <v>68.242248509642806</v>
      </c>
      <c r="V28" s="9">
        <f t="shared" si="9"/>
        <v>82.6</v>
      </c>
      <c r="W28" s="22" t="str">
        <f t="shared" si="10"/>
        <v>Good</v>
      </c>
    </row>
    <row r="29" spans="1:23" x14ac:dyDescent="0.3">
      <c r="A29" s="21" t="s">
        <v>65</v>
      </c>
      <c r="B29" s="9" t="str">
        <f>_xlfn.XLOOKUP(A29,Supplier_Master!A$2:A$36,Supplier_Master!B$2:B$36)</f>
        <v>TrustPack Industries</v>
      </c>
      <c r="C29" s="9" t="str">
        <f>_xlfn.XLOOKUP(A29,Supplier_Master!A$2:A$36,Supplier_Master!C$2:C$36)</f>
        <v>Packaging</v>
      </c>
      <c r="D29" s="9">
        <f>COUNTIF(tblPO[Supplier_ID],A29)</f>
        <v>21</v>
      </c>
      <c r="E29" s="10">
        <f>SUMIF(tblPO[Supplier_ID],A29,tblPO[Purchase_Value])</f>
        <v>432406.86000000004</v>
      </c>
      <c r="F29" s="9">
        <f>SUMIF(tblPO[Supplier_ID],A29,tblPO[Ordered_Quantity])</f>
        <v>8965</v>
      </c>
      <c r="G29" s="9">
        <f>SUMIF(tblPO[Supplier_ID],A29,tblPO[Received_Quantity])</f>
        <v>8965</v>
      </c>
      <c r="H29" s="9">
        <f>SUMIFS(tblQuality[Accepted_Quantity],tblPO[Supplier_ID],A29)</f>
        <v>8814</v>
      </c>
      <c r="I29" s="9">
        <f>SUMIFS(tblQuality[Rejected_Quantity],tblPO[Supplier_ID],A29)</f>
        <v>151</v>
      </c>
      <c r="J29" s="9">
        <f>SUMIFS(tblPO[On_Time_Flag],tblPO[Supplier_ID],A29)</f>
        <v>19</v>
      </c>
      <c r="K29" s="11">
        <f t="shared" si="0"/>
        <v>0.90476190476190477</v>
      </c>
      <c r="L29" s="12">
        <f>SUMIFS(tblPO[Late Flag],tblPO[Supplier_ID],A29)</f>
        <v>2</v>
      </c>
      <c r="M29" s="13">
        <f t="shared" si="1"/>
        <v>9.5238095238095233E-2</v>
      </c>
      <c r="N29" s="14">
        <f>AVERAGEIFS(tblPO[Lead time Days],tblPO[Supplier_ID],A29)</f>
        <v>9.1904761904761898</v>
      </c>
      <c r="O29" s="11">
        <f t="shared" si="2"/>
        <v>1.6843279419966536E-2</v>
      </c>
      <c r="P29" s="11">
        <f t="shared" si="3"/>
        <v>0.98315672058003345</v>
      </c>
      <c r="Q29" s="15">
        <f t="shared" si="4"/>
        <v>48.232778583379819</v>
      </c>
      <c r="R29" s="16">
        <f t="shared" si="5"/>
        <v>90.476190476190482</v>
      </c>
      <c r="S29" s="14">
        <f t="shared" si="6"/>
        <v>98.315672058003344</v>
      </c>
      <c r="T29" s="9">
        <f t="shared" si="7"/>
        <v>98</v>
      </c>
      <c r="U29" s="17">
        <f t="shared" si="8"/>
        <v>99.593335210161143</v>
      </c>
      <c r="V29" s="9">
        <f t="shared" si="9"/>
        <v>96.2</v>
      </c>
      <c r="W29" s="22" t="str">
        <f t="shared" si="10"/>
        <v>Excellent</v>
      </c>
    </row>
    <row r="30" spans="1:23" x14ac:dyDescent="0.3">
      <c r="A30" s="21" t="s">
        <v>66</v>
      </c>
      <c r="B30" s="9" t="str">
        <f>_xlfn.XLOOKUP(A30,Supplier_Master!A$2:A$36,Supplier_Master!B$2:B$36)</f>
        <v>MetalWorks India</v>
      </c>
      <c r="C30" s="9" t="str">
        <f>_xlfn.XLOOKUP(A30,Supplier_Master!A$2:A$36,Supplier_Master!C$2:C$36)</f>
        <v>Raw Material</v>
      </c>
      <c r="D30" s="9">
        <f>COUNTIF(tblPO[Supplier_ID],A30)</f>
        <v>26</v>
      </c>
      <c r="E30" s="10">
        <f>SUMIF(tblPO[Supplier_ID],A30,tblPO[Purchase_Value])</f>
        <v>544232.80000000005</v>
      </c>
      <c r="F30" s="9">
        <f>SUMIF(tblPO[Supplier_ID],A30,tblPO[Ordered_Quantity])</f>
        <v>3025</v>
      </c>
      <c r="G30" s="9">
        <f>SUMIF(tblPO[Supplier_ID],A30,tblPO[Received_Quantity])</f>
        <v>2991</v>
      </c>
      <c r="H30" s="9">
        <f>SUMIFS(tblQuality[Accepted_Quantity],tblPO[Supplier_ID],A30)</f>
        <v>2846</v>
      </c>
      <c r="I30" s="9">
        <f>SUMIFS(tblQuality[Rejected_Quantity],tblPO[Supplier_ID],A30)</f>
        <v>145</v>
      </c>
      <c r="J30" s="9">
        <f>SUMIFS(tblPO[On_Time_Flag],tblPO[Supplier_ID],A30)</f>
        <v>24</v>
      </c>
      <c r="K30" s="11">
        <f t="shared" si="0"/>
        <v>0.92307692307692313</v>
      </c>
      <c r="L30" s="12">
        <f>SUMIFS(tblPO[Late Flag],tblPO[Supplier_ID],A30)</f>
        <v>2</v>
      </c>
      <c r="M30" s="13">
        <f t="shared" si="1"/>
        <v>7.6923076923076927E-2</v>
      </c>
      <c r="N30" s="14">
        <f>AVERAGEIFS(tblPO[Lead time Days],tblPO[Supplier_ID],A30)</f>
        <v>9.384615384615385</v>
      </c>
      <c r="O30" s="11">
        <f t="shared" si="2"/>
        <v>4.8478769642260111E-2</v>
      </c>
      <c r="P30" s="11">
        <f t="shared" si="3"/>
        <v>0.95152123035773983</v>
      </c>
      <c r="Q30" s="15">
        <f t="shared" si="4"/>
        <v>179.91166942148763</v>
      </c>
      <c r="R30" s="16">
        <f t="shared" si="5"/>
        <v>92.307692307692307</v>
      </c>
      <c r="S30" s="14">
        <f t="shared" si="6"/>
        <v>95.152123035773982</v>
      </c>
      <c r="T30" s="9">
        <f t="shared" si="7"/>
        <v>97</v>
      </c>
      <c r="U30" s="17">
        <f t="shared" si="8"/>
        <v>93.975609267819138</v>
      </c>
      <c r="V30" s="9">
        <f t="shared" si="9"/>
        <v>94.4</v>
      </c>
      <c r="W30" s="22" t="str">
        <f t="shared" si="10"/>
        <v>Excellent</v>
      </c>
    </row>
    <row r="31" spans="1:23" x14ac:dyDescent="0.3">
      <c r="A31" s="21" t="s">
        <v>67</v>
      </c>
      <c r="B31" s="9" t="str">
        <f>_xlfn.XLOOKUP(A31,Supplier_Master!A$2:A$36,Supplier_Master!B$2:B$36)</f>
        <v>ProElec Taiwan</v>
      </c>
      <c r="C31" s="9" t="str">
        <f>_xlfn.XLOOKUP(A31,Supplier_Master!A$2:A$36,Supplier_Master!C$2:C$36)</f>
        <v>Electrical Component</v>
      </c>
      <c r="D31" s="9">
        <f>COUNTIF(tblPO[Supplier_ID],A31)</f>
        <v>23</v>
      </c>
      <c r="E31" s="10">
        <f>SUMIF(tblPO[Supplier_ID],A31,tblPO[Purchase_Value])</f>
        <v>2051495.9400000002</v>
      </c>
      <c r="F31" s="9">
        <f>SUMIF(tblPO[Supplier_ID],A31,tblPO[Ordered_Quantity])</f>
        <v>861</v>
      </c>
      <c r="G31" s="9">
        <f>SUMIF(tblPO[Supplier_ID],A31,tblPO[Received_Quantity])</f>
        <v>853</v>
      </c>
      <c r="H31" s="9">
        <f>SUMIFS(tblQuality[Accepted_Quantity],tblPO[Supplier_ID],A31)</f>
        <v>841</v>
      </c>
      <c r="I31" s="9">
        <f>SUMIFS(tblQuality[Rejected_Quantity],tblPO[Supplier_ID],A31)</f>
        <v>12</v>
      </c>
      <c r="J31" s="9">
        <f>SUMIFS(tblPO[On_Time_Flag],tblPO[Supplier_ID],A31)</f>
        <v>22</v>
      </c>
      <c r="K31" s="11">
        <f t="shared" si="0"/>
        <v>0.95652173913043481</v>
      </c>
      <c r="L31" s="12">
        <f>SUMIFS(tblPO[Late Flag],tblPO[Supplier_ID],A31)</f>
        <v>1</v>
      </c>
      <c r="M31" s="13">
        <f t="shared" si="1"/>
        <v>4.3478260869565216E-2</v>
      </c>
      <c r="N31" s="14">
        <f>AVERAGEIFS(tblPO[Lead time Days],tblPO[Supplier_ID],A31)</f>
        <v>19.695652173913043</v>
      </c>
      <c r="O31" s="11">
        <f t="shared" si="2"/>
        <v>1.4067995310668231E-2</v>
      </c>
      <c r="P31" s="11">
        <f t="shared" si="3"/>
        <v>0.98593200468933173</v>
      </c>
      <c r="Q31" s="15">
        <f t="shared" si="4"/>
        <v>2382.6898257839725</v>
      </c>
      <c r="R31" s="16">
        <f t="shared" si="5"/>
        <v>95.652173913043484</v>
      </c>
      <c r="S31" s="14">
        <f t="shared" si="6"/>
        <v>98.593200468933176</v>
      </c>
      <c r="T31" s="9">
        <f t="shared" si="7"/>
        <v>21</v>
      </c>
      <c r="U31" s="17">
        <f t="shared" si="8"/>
        <v>0</v>
      </c>
      <c r="V31" s="9">
        <f t="shared" si="9"/>
        <v>57.5</v>
      </c>
      <c r="W31" s="22" t="str">
        <f t="shared" si="10"/>
        <v>Poor</v>
      </c>
    </row>
    <row r="32" spans="1:23" x14ac:dyDescent="0.3">
      <c r="A32" s="21" t="s">
        <v>68</v>
      </c>
      <c r="B32" s="9" t="str">
        <f>_xlfn.XLOOKUP(A32,Supplier_Master!A$2:A$36,Supplier_Master!B$2:B$36)</f>
        <v>DeltaChem Industries</v>
      </c>
      <c r="C32" s="9" t="str">
        <f>_xlfn.XLOOKUP(A32,Supplier_Master!A$2:A$36,Supplier_Master!C$2:C$36)</f>
        <v>Chemical</v>
      </c>
      <c r="D32" s="9">
        <f>COUNTIF(tblPO[Supplier_ID],A32)</f>
        <v>18</v>
      </c>
      <c r="E32" s="10">
        <f>SUMIF(tblPO[Supplier_ID],A32,tblPO[Purchase_Value])</f>
        <v>380630.98000000004</v>
      </c>
      <c r="F32" s="9">
        <f>SUMIF(tblPO[Supplier_ID],A32,tblPO[Ordered_Quantity])</f>
        <v>3640</v>
      </c>
      <c r="G32" s="9">
        <f>SUMIF(tblPO[Supplier_ID],A32,tblPO[Received_Quantity])</f>
        <v>3639</v>
      </c>
      <c r="H32" s="9">
        <f>SUMIFS(tblQuality[Accepted_Quantity],tblPO[Supplier_ID],A32)</f>
        <v>3346</v>
      </c>
      <c r="I32" s="9">
        <f>SUMIFS(tblQuality[Rejected_Quantity],tblPO[Supplier_ID],A32)</f>
        <v>293</v>
      </c>
      <c r="J32" s="9">
        <f>SUMIFS(tblPO[On_Time_Flag],tblPO[Supplier_ID],A32)</f>
        <v>12</v>
      </c>
      <c r="K32" s="11">
        <f t="shared" si="0"/>
        <v>0.66666666666666663</v>
      </c>
      <c r="L32" s="12">
        <f>SUMIFS(tblPO[Late Flag],tblPO[Supplier_ID],A32)</f>
        <v>6</v>
      </c>
      <c r="M32" s="13">
        <f t="shared" si="1"/>
        <v>0.33333333333333331</v>
      </c>
      <c r="N32" s="14">
        <f>AVERAGEIFS(tblPO[Lead time Days],tblPO[Supplier_ID],A32)</f>
        <v>11.722222222222221</v>
      </c>
      <c r="O32" s="11">
        <f t="shared" si="2"/>
        <v>8.0516625446551249E-2</v>
      </c>
      <c r="P32" s="11">
        <f t="shared" si="3"/>
        <v>0.91948337455344875</v>
      </c>
      <c r="Q32" s="15">
        <f t="shared" si="4"/>
        <v>104.56895054945056</v>
      </c>
      <c r="R32" s="16">
        <f t="shared" si="5"/>
        <v>66.666666666666657</v>
      </c>
      <c r="S32" s="14">
        <f t="shared" si="6"/>
        <v>91.94833745534487</v>
      </c>
      <c r="T32" s="9">
        <f t="shared" si="7"/>
        <v>79</v>
      </c>
      <c r="U32" s="17">
        <f t="shared" si="8"/>
        <v>97.189903857332297</v>
      </c>
      <c r="V32" s="9">
        <f t="shared" si="9"/>
        <v>83.1</v>
      </c>
      <c r="W32" s="22" t="str">
        <f t="shared" si="10"/>
        <v>Good</v>
      </c>
    </row>
    <row r="33" spans="1:23" x14ac:dyDescent="0.3">
      <c r="A33" s="21" t="s">
        <v>69</v>
      </c>
      <c r="B33" s="9" t="str">
        <f>_xlfn.XLOOKUP(A33,Supplier_Master!A$2:A$36,Supplier_Master!B$2:B$36)</f>
        <v>OmegaMech Solutions</v>
      </c>
      <c r="C33" s="9" t="str">
        <f>_xlfn.XLOOKUP(A33,Supplier_Master!A$2:A$36,Supplier_Master!C$2:C$36)</f>
        <v>Mechanical Component</v>
      </c>
      <c r="D33" s="9">
        <f>COUNTIF(tblPO[Supplier_ID],A33)</f>
        <v>12</v>
      </c>
      <c r="E33" s="10">
        <f>SUMIF(tblPO[Supplier_ID],A33,tblPO[Purchase_Value])</f>
        <v>331691.39</v>
      </c>
      <c r="F33" s="9">
        <f>SUMIF(tblPO[Supplier_ID],A33,tblPO[Ordered_Quantity])</f>
        <v>778</v>
      </c>
      <c r="G33" s="9">
        <f>SUMIF(tblPO[Supplier_ID],A33,tblPO[Received_Quantity])</f>
        <v>778</v>
      </c>
      <c r="H33" s="9">
        <f>SUMIFS(tblQuality[Accepted_Quantity],tblPO[Supplier_ID],A33)</f>
        <v>744</v>
      </c>
      <c r="I33" s="9">
        <f>SUMIFS(tblQuality[Rejected_Quantity],tblPO[Supplier_ID],A33)</f>
        <v>34</v>
      </c>
      <c r="J33" s="9">
        <f>SUMIFS(tblPO[On_Time_Flag],tblPO[Supplier_ID],A33)</f>
        <v>11</v>
      </c>
      <c r="K33" s="11">
        <f t="shared" si="0"/>
        <v>0.91666666666666663</v>
      </c>
      <c r="L33" s="12">
        <f>SUMIFS(tblPO[Late Flag],tblPO[Supplier_ID],A33)</f>
        <v>1</v>
      </c>
      <c r="M33" s="13">
        <f t="shared" si="1"/>
        <v>8.3333333333333329E-2</v>
      </c>
      <c r="N33" s="14">
        <f>AVERAGEIFS(tblPO[Lead time Days],tblPO[Supplier_ID],A33)</f>
        <v>9.75</v>
      </c>
      <c r="O33" s="11">
        <f t="shared" si="2"/>
        <v>4.3701799485861184E-2</v>
      </c>
      <c r="P33" s="11">
        <f t="shared" si="3"/>
        <v>0.95629820051413883</v>
      </c>
      <c r="Q33" s="15">
        <f t="shared" si="4"/>
        <v>426.33854755784063</v>
      </c>
      <c r="R33" s="16">
        <f t="shared" si="5"/>
        <v>91.666666666666657</v>
      </c>
      <c r="S33" s="14">
        <f t="shared" si="6"/>
        <v>95.629820051413887</v>
      </c>
      <c r="T33" s="9">
        <f t="shared" si="7"/>
        <v>94</v>
      </c>
      <c r="U33" s="17">
        <f t="shared" si="8"/>
        <v>83.462468874656665</v>
      </c>
      <c r="V33" s="9">
        <f t="shared" si="9"/>
        <v>91.1</v>
      </c>
      <c r="W33" s="22" t="str">
        <f t="shared" si="10"/>
        <v>Excellent</v>
      </c>
    </row>
    <row r="34" spans="1:23" x14ac:dyDescent="0.3">
      <c r="A34" s="21" t="s">
        <v>70</v>
      </c>
      <c r="B34" s="9" t="str">
        <f>_xlfn.XLOOKUP(A34,Supplier_Master!A$2:A$36,Supplier_Master!B$2:B$36)</f>
        <v>GreenPack Pvt Ltd</v>
      </c>
      <c r="C34" s="9" t="str">
        <f>_xlfn.XLOOKUP(A34,Supplier_Master!A$2:A$36,Supplier_Master!C$2:C$36)</f>
        <v>Packaging</v>
      </c>
      <c r="D34" s="9">
        <f>COUNTIF(tblPO[Supplier_ID],A34)</f>
        <v>19</v>
      </c>
      <c r="E34" s="10">
        <f>SUMIF(tblPO[Supplier_ID],A34,tblPO[Purchase_Value])</f>
        <v>336719.51999999996</v>
      </c>
      <c r="F34" s="9">
        <f>SUMIF(tblPO[Supplier_ID],A34,tblPO[Ordered_Quantity])</f>
        <v>5834</v>
      </c>
      <c r="G34" s="9">
        <f>SUMIF(tblPO[Supplier_ID],A34,tblPO[Received_Quantity])</f>
        <v>5810</v>
      </c>
      <c r="H34" s="9">
        <f>SUMIFS(tblQuality[Accepted_Quantity],tblPO[Supplier_ID],A34)</f>
        <v>5652</v>
      </c>
      <c r="I34" s="9">
        <f>SUMIFS(tblQuality[Rejected_Quantity],tblPO[Supplier_ID],A34)</f>
        <v>158</v>
      </c>
      <c r="J34" s="9">
        <f>SUMIFS(tblPO[On_Time_Flag],tblPO[Supplier_ID],A34)</f>
        <v>19</v>
      </c>
      <c r="K34" s="11">
        <f t="shared" si="0"/>
        <v>1</v>
      </c>
      <c r="L34" s="12">
        <f>SUMIFS(tblPO[Late Flag],tblPO[Supplier_ID],A34)</f>
        <v>0</v>
      </c>
      <c r="M34" s="13">
        <f t="shared" si="1"/>
        <v>0</v>
      </c>
      <c r="N34" s="14">
        <f>AVERAGEIFS(tblPO[Lead time Days],tblPO[Supplier_ID],A34)</f>
        <v>9.2631578947368425</v>
      </c>
      <c r="O34" s="11">
        <f t="shared" si="2"/>
        <v>2.7194492254733218E-2</v>
      </c>
      <c r="P34" s="11">
        <f t="shared" si="3"/>
        <v>0.97280550774526675</v>
      </c>
      <c r="Q34" s="15">
        <f t="shared" si="4"/>
        <v>57.716750085704483</v>
      </c>
      <c r="R34" s="16">
        <f t="shared" si="5"/>
        <v>100</v>
      </c>
      <c r="S34" s="14">
        <f t="shared" si="6"/>
        <v>97.280550774526674</v>
      </c>
      <c r="T34" s="9">
        <f t="shared" si="7"/>
        <v>97</v>
      </c>
      <c r="U34" s="17">
        <f t="shared" si="8"/>
        <v>99.188727057662774</v>
      </c>
      <c r="V34" s="9">
        <f t="shared" si="9"/>
        <v>98.5</v>
      </c>
      <c r="W34" s="22" t="str">
        <f t="shared" si="10"/>
        <v>Excellent</v>
      </c>
    </row>
    <row r="35" spans="1:23" x14ac:dyDescent="0.3">
      <c r="A35" s="21" t="s">
        <v>71</v>
      </c>
      <c r="B35" s="9" t="str">
        <f>_xlfn.XLOOKUP(A35,Supplier_Master!A$2:A$36,Supplier_Master!B$2:B$36)</f>
        <v>ClearChem Ltd</v>
      </c>
      <c r="C35" s="9" t="str">
        <f>_xlfn.XLOOKUP(A35,Supplier_Master!A$2:A$36,Supplier_Master!C$2:C$36)</f>
        <v>Chemical</v>
      </c>
      <c r="D35" s="9">
        <f>COUNTIF(tblPO[Supplier_ID],A35)</f>
        <v>13</v>
      </c>
      <c r="E35" s="10">
        <f>SUMIF(tblPO[Supplier_ID],A35,tblPO[Purchase_Value])</f>
        <v>344653.42</v>
      </c>
      <c r="F35" s="9">
        <f>SUMIF(tblPO[Supplier_ID],A35,tblPO[Ordered_Quantity])</f>
        <v>4536</v>
      </c>
      <c r="G35" s="9">
        <f>SUMIF(tblPO[Supplier_ID],A35,tblPO[Received_Quantity])</f>
        <v>4501</v>
      </c>
      <c r="H35" s="9">
        <f>SUMIFS(tblQuality[Accepted_Quantity],tblPO[Supplier_ID],A35)</f>
        <v>4371</v>
      </c>
      <c r="I35" s="9">
        <f>SUMIFS(tblQuality[Rejected_Quantity],tblPO[Supplier_ID],A35)</f>
        <v>130</v>
      </c>
      <c r="J35" s="9">
        <f>SUMIFS(tblPO[On_Time_Flag],tblPO[Supplier_ID],A35)</f>
        <v>12</v>
      </c>
      <c r="K35" s="11">
        <f t="shared" si="0"/>
        <v>0.92307692307692313</v>
      </c>
      <c r="L35" s="12">
        <f>SUMIFS(tblPO[Late Flag],tblPO[Supplier_ID],A35)</f>
        <v>1</v>
      </c>
      <c r="M35" s="13">
        <f t="shared" si="1"/>
        <v>7.6923076923076927E-2</v>
      </c>
      <c r="N35" s="14">
        <f>AVERAGEIFS(tblPO[Lead time Days],tblPO[Supplier_ID],A35)</f>
        <v>10.461538461538462</v>
      </c>
      <c r="O35" s="11">
        <f t="shared" si="2"/>
        <v>2.888247056209731E-2</v>
      </c>
      <c r="P35" s="11">
        <f t="shared" si="3"/>
        <v>0.97111752943790264</v>
      </c>
      <c r="Q35" s="15">
        <f t="shared" si="4"/>
        <v>75.981794532627859</v>
      </c>
      <c r="R35" s="16">
        <f t="shared" si="5"/>
        <v>92.307692307692307</v>
      </c>
      <c r="S35" s="14">
        <f t="shared" si="6"/>
        <v>97.111752943790265</v>
      </c>
      <c r="T35" s="9">
        <f t="shared" si="7"/>
        <v>89</v>
      </c>
      <c r="U35" s="17">
        <f t="shared" si="8"/>
        <v>98.409498030333992</v>
      </c>
      <c r="V35" s="9">
        <f t="shared" si="9"/>
        <v>94.4</v>
      </c>
      <c r="W35" s="22" t="str">
        <f t="shared" si="10"/>
        <v>Excellent</v>
      </c>
    </row>
    <row r="36" spans="1:23" x14ac:dyDescent="0.3">
      <c r="A36" s="28" t="s">
        <v>72</v>
      </c>
      <c r="B36" s="29" t="str">
        <f>_xlfn.XLOOKUP(A36,Supplier_Master!A$2:A$36,Supplier_Master!B$2:B$36)</f>
        <v>StarRaw Suppliers</v>
      </c>
      <c r="C36" s="29" t="str">
        <f>_xlfn.XLOOKUP(A36,Supplier_Master!A$2:A$36,Supplier_Master!C$2:C$36)</f>
        <v>Raw Material</v>
      </c>
      <c r="D36" s="29">
        <f>COUNTIF(tblPO[Supplier_ID],A36)</f>
        <v>13</v>
      </c>
      <c r="E36" s="30">
        <f>SUMIF(tblPO[Supplier_ID],A36,tblPO[Purchase_Value])</f>
        <v>285577.99</v>
      </c>
      <c r="F36" s="29">
        <f>SUMIF(tblPO[Supplier_ID],A36,tblPO[Ordered_Quantity])</f>
        <v>1704</v>
      </c>
      <c r="G36" s="29">
        <f>SUMIF(tblPO[Supplier_ID],A36,tblPO[Received_Quantity])</f>
        <v>1702</v>
      </c>
      <c r="H36" s="29">
        <f>SUMIFS(tblQuality[Accepted_Quantity],tblPO[Supplier_ID],A36)</f>
        <v>1523</v>
      </c>
      <c r="I36" s="29">
        <f>SUMIFS(tblQuality[Rejected_Quantity],tblPO[Supplier_ID],A36)</f>
        <v>179</v>
      </c>
      <c r="J36" s="29">
        <f>SUMIFS(tblPO[On_Time_Flag],tblPO[Supplier_ID],A36)</f>
        <v>9</v>
      </c>
      <c r="K36" s="31">
        <f t="shared" si="0"/>
        <v>0.69230769230769229</v>
      </c>
      <c r="L36" s="32">
        <f>SUMIFS(tblPO[Late Flag],tblPO[Supplier_ID],A36)</f>
        <v>4</v>
      </c>
      <c r="M36" s="33">
        <f t="shared" si="1"/>
        <v>0.30769230769230771</v>
      </c>
      <c r="N36" s="34">
        <f>AVERAGEIFS(tblPO[Lead time Days],tblPO[Supplier_ID],A36)</f>
        <v>12.692307692307692</v>
      </c>
      <c r="O36" s="31">
        <f t="shared" si="2"/>
        <v>0.10517038777908343</v>
      </c>
      <c r="P36" s="31">
        <f t="shared" si="3"/>
        <v>0.89482961222091661</v>
      </c>
      <c r="Q36" s="35">
        <f t="shared" si="4"/>
        <v>167.59271713615024</v>
      </c>
      <c r="R36" s="36">
        <f t="shared" si="5"/>
        <v>69.230769230769226</v>
      </c>
      <c r="S36" s="34">
        <f t="shared" si="6"/>
        <v>89.48296122209166</v>
      </c>
      <c r="T36" s="29">
        <f t="shared" si="7"/>
        <v>72</v>
      </c>
      <c r="U36" s="37">
        <f t="shared" si="8"/>
        <v>94.501164255375159</v>
      </c>
      <c r="V36" s="29">
        <f t="shared" si="9"/>
        <v>81.2</v>
      </c>
      <c r="W36" s="38" t="str">
        <f t="shared" si="10"/>
        <v>Good</v>
      </c>
    </row>
    <row r="37" spans="1:23" x14ac:dyDescent="0.3">
      <c r="E37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1A9E-A846-4D84-8FCF-94B32C63C4D9}">
  <dimension ref="A1:E81"/>
  <sheetViews>
    <sheetView topLeftCell="A57" workbookViewId="0">
      <selection activeCell="C6" sqref="C6"/>
    </sheetView>
  </sheetViews>
  <sheetFormatPr defaultRowHeight="14.4" x14ac:dyDescent="0.3"/>
  <cols>
    <col min="1" max="1" width="12" customWidth="1"/>
    <col min="2" max="2" width="22.88671875" bestFit="1" customWidth="1"/>
    <col min="3" max="3" width="20.21875" bestFit="1" customWidth="1"/>
    <col min="4" max="4" width="7.33203125" bestFit="1" customWidth="1"/>
    <col min="5" max="5" width="15.109375" customWidth="1"/>
  </cols>
  <sheetData>
    <row r="1" spans="1:5" x14ac:dyDescent="0.3">
      <c r="A1" t="s">
        <v>256</v>
      </c>
      <c r="B1" t="s">
        <v>255</v>
      </c>
      <c r="C1" t="s">
        <v>254</v>
      </c>
      <c r="D1" t="s">
        <v>253</v>
      </c>
      <c r="E1" t="s">
        <v>252</v>
      </c>
    </row>
    <row r="2" spans="1:5" x14ac:dyDescent="0.3">
      <c r="A2" t="s">
        <v>251</v>
      </c>
      <c r="B2" t="s">
        <v>250</v>
      </c>
      <c r="C2" t="s">
        <v>210</v>
      </c>
      <c r="D2" t="s">
        <v>150</v>
      </c>
      <c r="E2">
        <v>85</v>
      </c>
    </row>
    <row r="3" spans="1:5" x14ac:dyDescent="0.3">
      <c r="A3" t="s">
        <v>249</v>
      </c>
      <c r="B3" t="s">
        <v>248</v>
      </c>
      <c r="C3" t="s">
        <v>210</v>
      </c>
      <c r="D3" t="s">
        <v>150</v>
      </c>
      <c r="E3">
        <v>72</v>
      </c>
    </row>
    <row r="4" spans="1:5" x14ac:dyDescent="0.3">
      <c r="A4" t="s">
        <v>247</v>
      </c>
      <c r="B4" t="s">
        <v>246</v>
      </c>
      <c r="C4" t="s">
        <v>210</v>
      </c>
      <c r="D4" t="s">
        <v>150</v>
      </c>
      <c r="E4">
        <v>620</v>
      </c>
    </row>
    <row r="5" spans="1:5" x14ac:dyDescent="0.3">
      <c r="A5" t="s">
        <v>245</v>
      </c>
      <c r="B5" t="s">
        <v>244</v>
      </c>
      <c r="C5" t="s">
        <v>210</v>
      </c>
      <c r="D5" t="s">
        <v>213</v>
      </c>
      <c r="E5">
        <v>4200</v>
      </c>
    </row>
    <row r="6" spans="1:5" x14ac:dyDescent="0.3">
      <c r="A6" t="s">
        <v>243</v>
      </c>
      <c r="B6" t="s">
        <v>242</v>
      </c>
      <c r="C6" t="s">
        <v>210</v>
      </c>
      <c r="D6" t="s">
        <v>150</v>
      </c>
      <c r="E6">
        <v>180</v>
      </c>
    </row>
    <row r="7" spans="1:5" x14ac:dyDescent="0.3">
      <c r="A7" t="s">
        <v>241</v>
      </c>
      <c r="B7" t="s">
        <v>240</v>
      </c>
      <c r="C7" t="s">
        <v>210</v>
      </c>
      <c r="D7" t="s">
        <v>213</v>
      </c>
      <c r="E7">
        <v>3200</v>
      </c>
    </row>
    <row r="8" spans="1:5" x14ac:dyDescent="0.3">
      <c r="A8" t="s">
        <v>239</v>
      </c>
      <c r="B8" t="s">
        <v>238</v>
      </c>
      <c r="C8" t="s">
        <v>210</v>
      </c>
      <c r="D8" t="s">
        <v>150</v>
      </c>
      <c r="E8">
        <v>95</v>
      </c>
    </row>
    <row r="9" spans="1:5" x14ac:dyDescent="0.3">
      <c r="A9" t="s">
        <v>237</v>
      </c>
      <c r="B9" t="s">
        <v>236</v>
      </c>
      <c r="C9" t="s">
        <v>210</v>
      </c>
      <c r="D9" t="s">
        <v>150</v>
      </c>
      <c r="E9">
        <v>88</v>
      </c>
    </row>
    <row r="10" spans="1:5" x14ac:dyDescent="0.3">
      <c r="A10" t="s">
        <v>235</v>
      </c>
      <c r="B10" t="s">
        <v>234</v>
      </c>
      <c r="C10" t="s">
        <v>210</v>
      </c>
      <c r="D10" t="s">
        <v>150</v>
      </c>
      <c r="E10">
        <v>76</v>
      </c>
    </row>
    <row r="11" spans="1:5" x14ac:dyDescent="0.3">
      <c r="A11" t="s">
        <v>233</v>
      </c>
      <c r="B11" t="s">
        <v>232</v>
      </c>
      <c r="C11" t="s">
        <v>210</v>
      </c>
      <c r="D11" t="s">
        <v>150</v>
      </c>
      <c r="E11">
        <v>210</v>
      </c>
    </row>
    <row r="12" spans="1:5" x14ac:dyDescent="0.3">
      <c r="A12" t="s">
        <v>231</v>
      </c>
      <c r="B12" t="s">
        <v>230</v>
      </c>
      <c r="C12" t="s">
        <v>210</v>
      </c>
      <c r="D12" t="s">
        <v>150</v>
      </c>
      <c r="E12">
        <v>145</v>
      </c>
    </row>
    <row r="13" spans="1:5" x14ac:dyDescent="0.3">
      <c r="A13" t="s">
        <v>229</v>
      </c>
      <c r="B13" t="s">
        <v>228</v>
      </c>
      <c r="C13" t="s">
        <v>210</v>
      </c>
      <c r="D13" t="s">
        <v>150</v>
      </c>
      <c r="E13">
        <v>1800</v>
      </c>
    </row>
    <row r="14" spans="1:5" x14ac:dyDescent="0.3">
      <c r="A14" t="s">
        <v>227</v>
      </c>
      <c r="B14" t="s">
        <v>226</v>
      </c>
      <c r="C14" t="s">
        <v>210</v>
      </c>
      <c r="D14" t="s">
        <v>150</v>
      </c>
      <c r="E14">
        <v>1250</v>
      </c>
    </row>
    <row r="15" spans="1:5" x14ac:dyDescent="0.3">
      <c r="A15" t="s">
        <v>225</v>
      </c>
      <c r="B15" t="s">
        <v>224</v>
      </c>
      <c r="C15" t="s">
        <v>210</v>
      </c>
      <c r="D15" t="s">
        <v>150</v>
      </c>
      <c r="E15">
        <v>220</v>
      </c>
    </row>
    <row r="16" spans="1:5" x14ac:dyDescent="0.3">
      <c r="A16" t="s">
        <v>223</v>
      </c>
      <c r="B16" t="s">
        <v>222</v>
      </c>
      <c r="C16" t="s">
        <v>210</v>
      </c>
      <c r="D16" t="s">
        <v>150</v>
      </c>
      <c r="E16">
        <v>165</v>
      </c>
    </row>
    <row r="17" spans="1:5" x14ac:dyDescent="0.3">
      <c r="A17" t="s">
        <v>221</v>
      </c>
      <c r="B17" t="s">
        <v>220</v>
      </c>
      <c r="C17" t="s">
        <v>210</v>
      </c>
      <c r="D17" t="s">
        <v>150</v>
      </c>
      <c r="E17">
        <v>1950</v>
      </c>
    </row>
    <row r="18" spans="1:5" x14ac:dyDescent="0.3">
      <c r="A18" t="s">
        <v>219</v>
      </c>
      <c r="B18" t="s">
        <v>218</v>
      </c>
      <c r="C18" t="s">
        <v>210</v>
      </c>
      <c r="D18" t="s">
        <v>150</v>
      </c>
      <c r="E18">
        <v>95</v>
      </c>
    </row>
    <row r="19" spans="1:5" x14ac:dyDescent="0.3">
      <c r="A19" t="s">
        <v>217</v>
      </c>
      <c r="B19" t="s">
        <v>216</v>
      </c>
      <c r="C19" t="s">
        <v>210</v>
      </c>
      <c r="D19" t="s">
        <v>150</v>
      </c>
      <c r="E19">
        <v>28</v>
      </c>
    </row>
    <row r="20" spans="1:5" x14ac:dyDescent="0.3">
      <c r="A20" t="s">
        <v>215</v>
      </c>
      <c r="B20" t="s">
        <v>214</v>
      </c>
      <c r="C20" t="s">
        <v>210</v>
      </c>
      <c r="D20" t="s">
        <v>213</v>
      </c>
      <c r="E20">
        <v>3800</v>
      </c>
    </row>
    <row r="21" spans="1:5" x14ac:dyDescent="0.3">
      <c r="A21" t="s">
        <v>212</v>
      </c>
      <c r="B21" t="s">
        <v>211</v>
      </c>
      <c r="C21" t="s">
        <v>210</v>
      </c>
      <c r="D21" t="s">
        <v>150</v>
      </c>
      <c r="E21">
        <v>320</v>
      </c>
    </row>
    <row r="22" spans="1:5" x14ac:dyDescent="0.3">
      <c r="A22" t="s">
        <v>209</v>
      </c>
      <c r="B22" t="s">
        <v>208</v>
      </c>
      <c r="C22" t="s">
        <v>177</v>
      </c>
      <c r="D22" t="s">
        <v>78</v>
      </c>
      <c r="E22">
        <v>18.5</v>
      </c>
    </row>
    <row r="23" spans="1:5" x14ac:dyDescent="0.3">
      <c r="A23" t="s">
        <v>207</v>
      </c>
      <c r="B23" t="s">
        <v>206</v>
      </c>
      <c r="C23" t="s">
        <v>177</v>
      </c>
      <c r="D23" t="s">
        <v>78</v>
      </c>
      <c r="E23">
        <v>12</v>
      </c>
    </row>
    <row r="24" spans="1:5" x14ac:dyDescent="0.3">
      <c r="A24" t="s">
        <v>205</v>
      </c>
      <c r="B24" t="s">
        <v>204</v>
      </c>
      <c r="C24" t="s">
        <v>177</v>
      </c>
      <c r="D24" t="s">
        <v>186</v>
      </c>
      <c r="E24">
        <v>450</v>
      </c>
    </row>
    <row r="25" spans="1:5" x14ac:dyDescent="0.3">
      <c r="A25" t="s">
        <v>203</v>
      </c>
      <c r="B25" t="s">
        <v>202</v>
      </c>
      <c r="C25" t="s">
        <v>177</v>
      </c>
      <c r="D25" t="s">
        <v>186</v>
      </c>
      <c r="E25">
        <v>380</v>
      </c>
    </row>
    <row r="26" spans="1:5" x14ac:dyDescent="0.3">
      <c r="A26" t="s">
        <v>201</v>
      </c>
      <c r="B26" t="s">
        <v>200</v>
      </c>
      <c r="C26" t="s">
        <v>177</v>
      </c>
      <c r="D26" t="s">
        <v>186</v>
      </c>
      <c r="E26">
        <v>45</v>
      </c>
    </row>
    <row r="27" spans="1:5" x14ac:dyDescent="0.3">
      <c r="A27" t="s">
        <v>199</v>
      </c>
      <c r="B27" t="s">
        <v>198</v>
      </c>
      <c r="C27" t="s">
        <v>177</v>
      </c>
      <c r="D27" t="s">
        <v>186</v>
      </c>
      <c r="E27">
        <v>320</v>
      </c>
    </row>
    <row r="28" spans="1:5" x14ac:dyDescent="0.3">
      <c r="A28" t="s">
        <v>197</v>
      </c>
      <c r="B28" t="s">
        <v>196</v>
      </c>
      <c r="C28" t="s">
        <v>177</v>
      </c>
      <c r="D28" t="s">
        <v>78</v>
      </c>
      <c r="E28">
        <v>280</v>
      </c>
    </row>
    <row r="29" spans="1:5" x14ac:dyDescent="0.3">
      <c r="A29" t="s">
        <v>195</v>
      </c>
      <c r="B29" t="s">
        <v>194</v>
      </c>
      <c r="C29" t="s">
        <v>177</v>
      </c>
      <c r="D29" t="s">
        <v>78</v>
      </c>
      <c r="E29">
        <v>650</v>
      </c>
    </row>
    <row r="30" spans="1:5" x14ac:dyDescent="0.3">
      <c r="A30" t="s">
        <v>193</v>
      </c>
      <c r="B30" t="s">
        <v>192</v>
      </c>
      <c r="C30" t="s">
        <v>177</v>
      </c>
      <c r="D30" t="s">
        <v>191</v>
      </c>
      <c r="E30">
        <v>35</v>
      </c>
    </row>
    <row r="31" spans="1:5" x14ac:dyDescent="0.3">
      <c r="A31" t="s">
        <v>190</v>
      </c>
      <c r="B31" t="s">
        <v>189</v>
      </c>
      <c r="C31" t="s">
        <v>177</v>
      </c>
      <c r="D31" t="s">
        <v>186</v>
      </c>
      <c r="E31">
        <v>120</v>
      </c>
    </row>
    <row r="32" spans="1:5" x14ac:dyDescent="0.3">
      <c r="A32" t="s">
        <v>188</v>
      </c>
      <c r="B32" t="s">
        <v>187</v>
      </c>
      <c r="C32" t="s">
        <v>177</v>
      </c>
      <c r="D32" t="s">
        <v>186</v>
      </c>
      <c r="E32">
        <v>38</v>
      </c>
    </row>
    <row r="33" spans="1:5" x14ac:dyDescent="0.3">
      <c r="A33" t="s">
        <v>185</v>
      </c>
      <c r="B33" t="s">
        <v>184</v>
      </c>
      <c r="C33" t="s">
        <v>177</v>
      </c>
      <c r="D33" t="s">
        <v>78</v>
      </c>
      <c r="E33">
        <v>8.5</v>
      </c>
    </row>
    <row r="34" spans="1:5" x14ac:dyDescent="0.3">
      <c r="A34" t="s">
        <v>183</v>
      </c>
      <c r="B34" t="s">
        <v>182</v>
      </c>
      <c r="C34" t="s">
        <v>177</v>
      </c>
      <c r="D34" t="s">
        <v>78</v>
      </c>
      <c r="E34">
        <v>12</v>
      </c>
    </row>
    <row r="35" spans="1:5" x14ac:dyDescent="0.3">
      <c r="A35" t="s">
        <v>181</v>
      </c>
      <c r="B35" t="s">
        <v>180</v>
      </c>
      <c r="C35" t="s">
        <v>177</v>
      </c>
      <c r="D35" t="s">
        <v>78</v>
      </c>
      <c r="E35">
        <v>4.5</v>
      </c>
    </row>
    <row r="36" spans="1:5" x14ac:dyDescent="0.3">
      <c r="A36" t="s">
        <v>179</v>
      </c>
      <c r="B36" t="s">
        <v>178</v>
      </c>
      <c r="C36" t="s">
        <v>177</v>
      </c>
      <c r="D36" t="s">
        <v>78</v>
      </c>
      <c r="E36">
        <v>22</v>
      </c>
    </row>
    <row r="37" spans="1:5" x14ac:dyDescent="0.3">
      <c r="A37" t="s">
        <v>176</v>
      </c>
      <c r="B37" t="s">
        <v>175</v>
      </c>
      <c r="C37" t="s">
        <v>144</v>
      </c>
      <c r="D37" t="s">
        <v>150</v>
      </c>
      <c r="E37">
        <v>42</v>
      </c>
    </row>
    <row r="38" spans="1:5" x14ac:dyDescent="0.3">
      <c r="A38" t="s">
        <v>174</v>
      </c>
      <c r="B38" t="s">
        <v>173</v>
      </c>
      <c r="C38" t="s">
        <v>144</v>
      </c>
      <c r="D38" t="s">
        <v>147</v>
      </c>
      <c r="E38">
        <v>38</v>
      </c>
    </row>
    <row r="39" spans="1:5" x14ac:dyDescent="0.3">
      <c r="A39" t="s">
        <v>172</v>
      </c>
      <c r="B39" t="s">
        <v>171</v>
      </c>
      <c r="C39" t="s">
        <v>144</v>
      </c>
      <c r="D39" t="s">
        <v>147</v>
      </c>
      <c r="E39">
        <v>32</v>
      </c>
    </row>
    <row r="40" spans="1:5" x14ac:dyDescent="0.3">
      <c r="A40" t="s">
        <v>170</v>
      </c>
      <c r="B40" t="s">
        <v>169</v>
      </c>
      <c r="C40" t="s">
        <v>144</v>
      </c>
      <c r="D40" t="s">
        <v>147</v>
      </c>
      <c r="E40">
        <v>78</v>
      </c>
    </row>
    <row r="41" spans="1:5" x14ac:dyDescent="0.3">
      <c r="A41" t="s">
        <v>168</v>
      </c>
      <c r="B41" t="s">
        <v>167</v>
      </c>
      <c r="C41" t="s">
        <v>144</v>
      </c>
      <c r="D41" t="s">
        <v>147</v>
      </c>
      <c r="E41">
        <v>65</v>
      </c>
    </row>
    <row r="42" spans="1:5" x14ac:dyDescent="0.3">
      <c r="A42" t="s">
        <v>166</v>
      </c>
      <c r="B42" t="s">
        <v>165</v>
      </c>
      <c r="C42" t="s">
        <v>144</v>
      </c>
      <c r="D42" t="s">
        <v>147</v>
      </c>
      <c r="E42">
        <v>82</v>
      </c>
    </row>
    <row r="43" spans="1:5" x14ac:dyDescent="0.3">
      <c r="A43" t="s">
        <v>164</v>
      </c>
      <c r="B43" t="s">
        <v>163</v>
      </c>
      <c r="C43" t="s">
        <v>144</v>
      </c>
      <c r="D43" t="s">
        <v>150</v>
      </c>
      <c r="E43">
        <v>125</v>
      </c>
    </row>
    <row r="44" spans="1:5" x14ac:dyDescent="0.3">
      <c r="A44" t="s">
        <v>162</v>
      </c>
      <c r="B44" t="s">
        <v>161</v>
      </c>
      <c r="C44" t="s">
        <v>144</v>
      </c>
      <c r="D44" t="s">
        <v>150</v>
      </c>
      <c r="E44">
        <v>38</v>
      </c>
    </row>
    <row r="45" spans="1:5" x14ac:dyDescent="0.3">
      <c r="A45" t="s">
        <v>160</v>
      </c>
      <c r="B45" t="s">
        <v>159</v>
      </c>
      <c r="C45" t="s">
        <v>144</v>
      </c>
      <c r="D45" t="s">
        <v>147</v>
      </c>
      <c r="E45">
        <v>95</v>
      </c>
    </row>
    <row r="46" spans="1:5" x14ac:dyDescent="0.3">
      <c r="A46" t="s">
        <v>158</v>
      </c>
      <c r="B46" t="s">
        <v>157</v>
      </c>
      <c r="C46" t="s">
        <v>144</v>
      </c>
      <c r="D46" t="s">
        <v>147</v>
      </c>
      <c r="E46">
        <v>110</v>
      </c>
    </row>
    <row r="47" spans="1:5" x14ac:dyDescent="0.3">
      <c r="A47" t="s">
        <v>156</v>
      </c>
      <c r="B47" t="s">
        <v>155</v>
      </c>
      <c r="C47" t="s">
        <v>144</v>
      </c>
      <c r="D47" t="s">
        <v>147</v>
      </c>
      <c r="E47">
        <v>55</v>
      </c>
    </row>
    <row r="48" spans="1:5" x14ac:dyDescent="0.3">
      <c r="A48" t="s">
        <v>154</v>
      </c>
      <c r="B48" t="s">
        <v>153</v>
      </c>
      <c r="C48" t="s">
        <v>144</v>
      </c>
      <c r="D48" t="s">
        <v>150</v>
      </c>
      <c r="E48">
        <v>68</v>
      </c>
    </row>
    <row r="49" spans="1:5" x14ac:dyDescent="0.3">
      <c r="A49" t="s">
        <v>152</v>
      </c>
      <c r="B49" t="s">
        <v>151</v>
      </c>
      <c r="C49" t="s">
        <v>144</v>
      </c>
      <c r="D49" t="s">
        <v>150</v>
      </c>
      <c r="E49">
        <v>88</v>
      </c>
    </row>
    <row r="50" spans="1:5" x14ac:dyDescent="0.3">
      <c r="A50" t="s">
        <v>149</v>
      </c>
      <c r="B50" t="s">
        <v>148</v>
      </c>
      <c r="C50" t="s">
        <v>144</v>
      </c>
      <c r="D50" t="s">
        <v>147</v>
      </c>
      <c r="E50">
        <v>72</v>
      </c>
    </row>
    <row r="51" spans="1:5" x14ac:dyDescent="0.3">
      <c r="A51" t="s">
        <v>146</v>
      </c>
      <c r="B51" t="s">
        <v>145</v>
      </c>
      <c r="C51" t="s">
        <v>144</v>
      </c>
      <c r="D51" t="s">
        <v>143</v>
      </c>
      <c r="E51">
        <v>2800</v>
      </c>
    </row>
    <row r="52" spans="1:5" x14ac:dyDescent="0.3">
      <c r="A52" t="s">
        <v>142</v>
      </c>
      <c r="B52" t="s">
        <v>141</v>
      </c>
      <c r="C52" t="s">
        <v>111</v>
      </c>
      <c r="D52" t="s">
        <v>78</v>
      </c>
      <c r="E52">
        <v>180</v>
      </c>
    </row>
    <row r="53" spans="1:5" x14ac:dyDescent="0.3">
      <c r="A53" t="s">
        <v>140</v>
      </c>
      <c r="B53" t="s">
        <v>139</v>
      </c>
      <c r="C53" t="s">
        <v>111</v>
      </c>
      <c r="D53" t="s">
        <v>78</v>
      </c>
      <c r="E53">
        <v>420</v>
      </c>
    </row>
    <row r="54" spans="1:5" x14ac:dyDescent="0.3">
      <c r="A54" t="s">
        <v>138</v>
      </c>
      <c r="B54" t="s">
        <v>137</v>
      </c>
      <c r="C54" t="s">
        <v>111</v>
      </c>
      <c r="D54" t="s">
        <v>78</v>
      </c>
      <c r="E54">
        <v>3800</v>
      </c>
    </row>
    <row r="55" spans="1:5" x14ac:dyDescent="0.3">
      <c r="A55" t="s">
        <v>136</v>
      </c>
      <c r="B55" t="s">
        <v>135</v>
      </c>
      <c r="C55" t="s">
        <v>111</v>
      </c>
      <c r="D55" t="s">
        <v>78</v>
      </c>
      <c r="E55">
        <v>650</v>
      </c>
    </row>
    <row r="56" spans="1:5" x14ac:dyDescent="0.3">
      <c r="A56" t="s">
        <v>134</v>
      </c>
      <c r="B56" t="s">
        <v>133</v>
      </c>
      <c r="C56" t="s">
        <v>111</v>
      </c>
      <c r="D56" t="s">
        <v>78</v>
      </c>
      <c r="E56">
        <v>4200</v>
      </c>
    </row>
    <row r="57" spans="1:5" x14ac:dyDescent="0.3">
      <c r="A57" t="s">
        <v>132</v>
      </c>
      <c r="B57" t="s">
        <v>131</v>
      </c>
      <c r="C57" t="s">
        <v>111</v>
      </c>
      <c r="D57" t="s">
        <v>78</v>
      </c>
      <c r="E57">
        <v>2800</v>
      </c>
    </row>
    <row r="58" spans="1:5" x14ac:dyDescent="0.3">
      <c r="A58" t="s">
        <v>130</v>
      </c>
      <c r="B58" t="s">
        <v>129</v>
      </c>
      <c r="C58" t="s">
        <v>111</v>
      </c>
      <c r="D58" t="s">
        <v>128</v>
      </c>
      <c r="E58">
        <v>380</v>
      </c>
    </row>
    <row r="59" spans="1:5" x14ac:dyDescent="0.3">
      <c r="A59" t="s">
        <v>127</v>
      </c>
      <c r="B59" t="s">
        <v>126</v>
      </c>
      <c r="C59" t="s">
        <v>111</v>
      </c>
      <c r="D59" t="s">
        <v>78</v>
      </c>
      <c r="E59">
        <v>5500</v>
      </c>
    </row>
    <row r="60" spans="1:5" x14ac:dyDescent="0.3">
      <c r="A60" t="s">
        <v>125</v>
      </c>
      <c r="B60" t="s">
        <v>124</v>
      </c>
      <c r="C60" t="s">
        <v>111</v>
      </c>
      <c r="D60" t="s">
        <v>78</v>
      </c>
      <c r="E60">
        <v>950</v>
      </c>
    </row>
    <row r="61" spans="1:5" x14ac:dyDescent="0.3">
      <c r="A61" t="s">
        <v>123</v>
      </c>
      <c r="B61" t="s">
        <v>122</v>
      </c>
      <c r="C61" t="s">
        <v>111</v>
      </c>
      <c r="D61" t="s">
        <v>78</v>
      </c>
      <c r="E61">
        <v>1200</v>
      </c>
    </row>
    <row r="62" spans="1:5" x14ac:dyDescent="0.3">
      <c r="A62" t="s">
        <v>121</v>
      </c>
      <c r="B62" t="s">
        <v>120</v>
      </c>
      <c r="C62" t="s">
        <v>111</v>
      </c>
      <c r="D62" t="s">
        <v>78</v>
      </c>
      <c r="E62">
        <v>680</v>
      </c>
    </row>
    <row r="63" spans="1:5" x14ac:dyDescent="0.3">
      <c r="A63" t="s">
        <v>119</v>
      </c>
      <c r="B63" t="s">
        <v>118</v>
      </c>
      <c r="C63" t="s">
        <v>111</v>
      </c>
      <c r="D63" t="s">
        <v>78</v>
      </c>
      <c r="E63">
        <v>8500</v>
      </c>
    </row>
    <row r="64" spans="1:5" x14ac:dyDescent="0.3">
      <c r="A64" t="s">
        <v>117</v>
      </c>
      <c r="B64" t="s">
        <v>116</v>
      </c>
      <c r="C64" t="s">
        <v>111</v>
      </c>
      <c r="D64" t="s">
        <v>78</v>
      </c>
      <c r="E64">
        <v>320</v>
      </c>
    </row>
    <row r="65" spans="1:5" x14ac:dyDescent="0.3">
      <c r="A65" t="s">
        <v>115</v>
      </c>
      <c r="B65" t="s">
        <v>114</v>
      </c>
      <c r="C65" t="s">
        <v>111</v>
      </c>
      <c r="D65" t="s">
        <v>78</v>
      </c>
      <c r="E65">
        <v>3200</v>
      </c>
    </row>
    <row r="66" spans="1:5" x14ac:dyDescent="0.3">
      <c r="A66" t="s">
        <v>113</v>
      </c>
      <c r="B66" t="s">
        <v>112</v>
      </c>
      <c r="C66" t="s">
        <v>111</v>
      </c>
      <c r="D66" t="s">
        <v>82</v>
      </c>
      <c r="E66">
        <v>480</v>
      </c>
    </row>
    <row r="67" spans="1:5" x14ac:dyDescent="0.3">
      <c r="A67" t="s">
        <v>110</v>
      </c>
      <c r="B67" t="s">
        <v>109</v>
      </c>
      <c r="C67" t="s">
        <v>79</v>
      </c>
      <c r="D67" t="s">
        <v>78</v>
      </c>
      <c r="E67">
        <v>4500</v>
      </c>
    </row>
    <row r="68" spans="1:5" x14ac:dyDescent="0.3">
      <c r="A68" t="s">
        <v>108</v>
      </c>
      <c r="B68" t="s">
        <v>107</v>
      </c>
      <c r="C68" t="s">
        <v>79</v>
      </c>
      <c r="D68" t="s">
        <v>78</v>
      </c>
      <c r="E68">
        <v>12000</v>
      </c>
    </row>
    <row r="69" spans="1:5" x14ac:dyDescent="0.3">
      <c r="A69" t="s">
        <v>106</v>
      </c>
      <c r="B69" t="s">
        <v>105</v>
      </c>
      <c r="C69" t="s">
        <v>79</v>
      </c>
      <c r="D69" t="s">
        <v>78</v>
      </c>
      <c r="E69">
        <v>18500</v>
      </c>
    </row>
    <row r="70" spans="1:5" x14ac:dyDescent="0.3">
      <c r="A70" t="s">
        <v>104</v>
      </c>
      <c r="B70" t="s">
        <v>103</v>
      </c>
      <c r="C70" t="s">
        <v>79</v>
      </c>
      <c r="D70" t="s">
        <v>78</v>
      </c>
      <c r="E70">
        <v>380</v>
      </c>
    </row>
    <row r="71" spans="1:5" x14ac:dyDescent="0.3">
      <c r="A71" t="s">
        <v>102</v>
      </c>
      <c r="B71" t="s">
        <v>101</v>
      </c>
      <c r="C71" t="s">
        <v>79</v>
      </c>
      <c r="D71" t="s">
        <v>78</v>
      </c>
      <c r="E71">
        <v>520</v>
      </c>
    </row>
    <row r="72" spans="1:5" x14ac:dyDescent="0.3">
      <c r="A72" t="s">
        <v>100</v>
      </c>
      <c r="B72" t="s">
        <v>99</v>
      </c>
      <c r="C72" t="s">
        <v>79</v>
      </c>
      <c r="D72" t="s">
        <v>78</v>
      </c>
      <c r="E72">
        <v>45000</v>
      </c>
    </row>
    <row r="73" spans="1:5" x14ac:dyDescent="0.3">
      <c r="A73" t="s">
        <v>98</v>
      </c>
      <c r="B73" t="s">
        <v>97</v>
      </c>
      <c r="C73" t="s">
        <v>79</v>
      </c>
      <c r="D73" t="s">
        <v>78</v>
      </c>
      <c r="E73">
        <v>8200</v>
      </c>
    </row>
    <row r="74" spans="1:5" x14ac:dyDescent="0.3">
      <c r="A74" t="s">
        <v>96</v>
      </c>
      <c r="B74" t="s">
        <v>95</v>
      </c>
      <c r="C74" t="s">
        <v>79</v>
      </c>
      <c r="D74" t="s">
        <v>78</v>
      </c>
      <c r="E74">
        <v>650</v>
      </c>
    </row>
    <row r="75" spans="1:5" x14ac:dyDescent="0.3">
      <c r="A75" t="s">
        <v>94</v>
      </c>
      <c r="B75" t="s">
        <v>93</v>
      </c>
      <c r="C75" t="s">
        <v>79</v>
      </c>
      <c r="D75" t="s">
        <v>78</v>
      </c>
      <c r="E75">
        <v>420</v>
      </c>
    </row>
    <row r="76" spans="1:5" x14ac:dyDescent="0.3">
      <c r="A76" t="s">
        <v>92</v>
      </c>
      <c r="B76" t="s">
        <v>91</v>
      </c>
      <c r="C76" t="s">
        <v>79</v>
      </c>
      <c r="D76" t="s">
        <v>78</v>
      </c>
      <c r="E76">
        <v>3800</v>
      </c>
    </row>
    <row r="77" spans="1:5" x14ac:dyDescent="0.3">
      <c r="A77" t="s">
        <v>90</v>
      </c>
      <c r="B77" t="s">
        <v>89</v>
      </c>
      <c r="C77" t="s">
        <v>79</v>
      </c>
      <c r="D77" t="s">
        <v>78</v>
      </c>
      <c r="E77">
        <v>28000</v>
      </c>
    </row>
    <row r="78" spans="1:5" x14ac:dyDescent="0.3">
      <c r="A78" t="s">
        <v>88</v>
      </c>
      <c r="B78" t="s">
        <v>87</v>
      </c>
      <c r="C78" t="s">
        <v>79</v>
      </c>
      <c r="D78" t="s">
        <v>78</v>
      </c>
      <c r="E78">
        <v>15500</v>
      </c>
    </row>
    <row r="79" spans="1:5" x14ac:dyDescent="0.3">
      <c r="A79" t="s">
        <v>86</v>
      </c>
      <c r="B79" t="s">
        <v>85</v>
      </c>
      <c r="C79" t="s">
        <v>79</v>
      </c>
      <c r="D79" t="s">
        <v>78</v>
      </c>
      <c r="E79">
        <v>280</v>
      </c>
    </row>
    <row r="80" spans="1:5" x14ac:dyDescent="0.3">
      <c r="A80" t="s">
        <v>84</v>
      </c>
      <c r="B80" t="s">
        <v>83</v>
      </c>
      <c r="C80" t="s">
        <v>79</v>
      </c>
      <c r="D80" t="s">
        <v>82</v>
      </c>
      <c r="E80">
        <v>185</v>
      </c>
    </row>
    <row r="81" spans="1:5" x14ac:dyDescent="0.3">
      <c r="A81" t="s">
        <v>81</v>
      </c>
      <c r="B81" t="s">
        <v>80</v>
      </c>
      <c r="C81" t="s">
        <v>79</v>
      </c>
      <c r="D81" t="s">
        <v>78</v>
      </c>
      <c r="E81">
        <v>22000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07F30-3D49-43EE-A79D-EF3FFFE5EFDE}">
  <dimension ref="A1:M2001"/>
  <sheetViews>
    <sheetView topLeftCell="A1998" workbookViewId="0">
      <selection activeCell="J2003" sqref="J2003"/>
    </sheetView>
  </sheetViews>
  <sheetFormatPr defaultRowHeight="14.4" x14ac:dyDescent="0.3"/>
  <cols>
    <col min="1" max="1" width="12.88671875" customWidth="1"/>
    <col min="2" max="2" width="10.33203125" bestFit="1" customWidth="1"/>
    <col min="3" max="3" width="12.5546875" customWidth="1"/>
    <col min="4" max="4" width="12" customWidth="1"/>
    <col min="5" max="5" width="17.6640625" customWidth="1"/>
    <col min="6" max="6" width="11.44140625" customWidth="1"/>
    <col min="7" max="7" width="22.88671875" customWidth="1"/>
    <col min="8" max="8" width="20.44140625" customWidth="1"/>
    <col min="9" max="9" width="18.44140625" customWidth="1"/>
    <col min="10" max="10" width="16" customWidth="1"/>
    <col min="11" max="11" width="14.6640625" bestFit="1" customWidth="1"/>
    <col min="12" max="12" width="10.5546875" bestFit="1" customWidth="1"/>
    <col min="13" max="13" width="15.88671875" bestFit="1" customWidth="1"/>
  </cols>
  <sheetData>
    <row r="1" spans="1:13" x14ac:dyDescent="0.3">
      <c r="A1" t="s">
        <v>2267</v>
      </c>
      <c r="B1" t="s">
        <v>2266</v>
      </c>
      <c r="C1" t="s">
        <v>23</v>
      </c>
      <c r="D1" t="s">
        <v>256</v>
      </c>
      <c r="E1" t="s">
        <v>2265</v>
      </c>
      <c r="F1" t="s">
        <v>2264</v>
      </c>
      <c r="G1" t="s">
        <v>2263</v>
      </c>
      <c r="H1" t="s">
        <v>2262</v>
      </c>
      <c r="I1" t="s">
        <v>2261</v>
      </c>
      <c r="J1" t="s">
        <v>2260</v>
      </c>
      <c r="K1" t="s">
        <v>2259</v>
      </c>
      <c r="L1" t="s">
        <v>2258</v>
      </c>
      <c r="M1" t="s">
        <v>2257</v>
      </c>
    </row>
    <row r="2" spans="1:13" x14ac:dyDescent="0.3">
      <c r="A2" t="s">
        <v>2256</v>
      </c>
      <c r="B2" s="18">
        <v>45298</v>
      </c>
      <c r="C2" t="s">
        <v>39</v>
      </c>
      <c r="D2" t="s">
        <v>158</v>
      </c>
      <c r="E2">
        <v>97</v>
      </c>
      <c r="F2">
        <v>126.8</v>
      </c>
      <c r="G2" s="18">
        <v>45318</v>
      </c>
      <c r="H2" s="18">
        <v>45317</v>
      </c>
      <c r="I2">
        <v>97</v>
      </c>
      <c r="J2">
        <v>12299.6</v>
      </c>
      <c r="K2">
        <f>IF(tblPO[[#This Row],[Actual_Delivery_Date]]&lt;=tblPO[[#This Row],[Expected_Delivery_Date]],1,0)</f>
        <v>1</v>
      </c>
      <c r="L2">
        <f>IF(tblPO[[#This Row],[Actual_Delivery_Date]]&gt;tblPO[[#This Row],[Expected_Delivery_Date]],1,0)</f>
        <v>0</v>
      </c>
      <c r="M2">
        <f>tblPO[[#This Row],[Actual_Delivery_Date]]-tblPO[[#This Row],[PO_Date]]</f>
        <v>19</v>
      </c>
    </row>
    <row r="3" spans="1:13" x14ac:dyDescent="0.3">
      <c r="A3" t="s">
        <v>2255</v>
      </c>
      <c r="B3" s="18">
        <v>45318</v>
      </c>
      <c r="C3" t="s">
        <v>45</v>
      </c>
      <c r="D3" t="s">
        <v>249</v>
      </c>
      <c r="E3">
        <v>483</v>
      </c>
      <c r="F3">
        <v>66.17</v>
      </c>
      <c r="G3" s="18">
        <v>45329</v>
      </c>
      <c r="H3" s="18">
        <v>45328</v>
      </c>
      <c r="I3">
        <v>483</v>
      </c>
      <c r="J3">
        <v>31960.11</v>
      </c>
      <c r="K3">
        <f>IF(tblPO[[#This Row],[Actual_Delivery_Date]]&lt;=tblPO[[#This Row],[Expected_Delivery_Date]],1,0)</f>
        <v>1</v>
      </c>
      <c r="L3">
        <f>IF(tblPO[[#This Row],[Actual_Delivery_Date]]&gt;tblPO[[#This Row],[Expected_Delivery_Date]],1,0)</f>
        <v>0</v>
      </c>
      <c r="M3">
        <f>tblPO[[#This Row],[Actual_Delivery_Date]]-tblPO[[#This Row],[PO_Date]]</f>
        <v>10</v>
      </c>
    </row>
    <row r="4" spans="1:13" x14ac:dyDescent="0.3">
      <c r="A4" t="s">
        <v>2254</v>
      </c>
      <c r="B4" s="18">
        <v>45309</v>
      </c>
      <c r="C4" t="s">
        <v>47</v>
      </c>
      <c r="D4" t="s">
        <v>235</v>
      </c>
      <c r="E4">
        <v>502</v>
      </c>
      <c r="F4">
        <v>59.15</v>
      </c>
      <c r="G4" s="18">
        <v>45325</v>
      </c>
      <c r="H4" s="18">
        <v>45322</v>
      </c>
      <c r="I4">
        <v>490</v>
      </c>
      <c r="J4">
        <v>29693.3</v>
      </c>
      <c r="K4">
        <f>IF(tblPO[[#This Row],[Actual_Delivery_Date]]&lt;=tblPO[[#This Row],[Expected_Delivery_Date]],1,0)</f>
        <v>1</v>
      </c>
      <c r="L4">
        <f>IF(tblPO[[#This Row],[Actual_Delivery_Date]]&gt;tblPO[[#This Row],[Expected_Delivery_Date]],1,0)</f>
        <v>0</v>
      </c>
      <c r="M4">
        <f>tblPO[[#This Row],[Actual_Delivery_Date]]-tblPO[[#This Row],[PO_Date]]</f>
        <v>13</v>
      </c>
    </row>
    <row r="5" spans="1:13" x14ac:dyDescent="0.3">
      <c r="A5" t="s">
        <v>2253</v>
      </c>
      <c r="B5" s="18">
        <v>45318</v>
      </c>
      <c r="C5" t="s">
        <v>41</v>
      </c>
      <c r="D5" t="s">
        <v>179</v>
      </c>
      <c r="E5">
        <v>86</v>
      </c>
      <c r="F5">
        <v>19.670000000000002</v>
      </c>
      <c r="G5" s="18">
        <v>45332</v>
      </c>
      <c r="H5" s="18">
        <v>45330</v>
      </c>
      <c r="I5">
        <v>86</v>
      </c>
      <c r="J5">
        <v>1691.62</v>
      </c>
      <c r="K5">
        <f>IF(tblPO[[#This Row],[Actual_Delivery_Date]]&lt;=tblPO[[#This Row],[Expected_Delivery_Date]],1,0)</f>
        <v>1</v>
      </c>
      <c r="L5">
        <f>IF(tblPO[[#This Row],[Actual_Delivery_Date]]&gt;tblPO[[#This Row],[Expected_Delivery_Date]],1,0)</f>
        <v>0</v>
      </c>
      <c r="M5">
        <f>tblPO[[#This Row],[Actual_Delivery_Date]]-tblPO[[#This Row],[PO_Date]]</f>
        <v>12</v>
      </c>
    </row>
    <row r="6" spans="1:13" x14ac:dyDescent="0.3">
      <c r="A6" t="s">
        <v>2252</v>
      </c>
      <c r="B6" s="18">
        <v>45320</v>
      </c>
      <c r="C6" t="s">
        <v>60</v>
      </c>
      <c r="D6" t="s">
        <v>142</v>
      </c>
      <c r="E6">
        <v>20</v>
      </c>
      <c r="F6">
        <v>127.61</v>
      </c>
      <c r="G6" s="18">
        <v>45334</v>
      </c>
      <c r="H6" s="18">
        <v>45332</v>
      </c>
      <c r="I6">
        <v>20</v>
      </c>
      <c r="J6">
        <v>2552.1999999999998</v>
      </c>
      <c r="K6">
        <f>IF(tblPO[[#This Row],[Actual_Delivery_Date]]&lt;=tblPO[[#This Row],[Expected_Delivery_Date]],1,0)</f>
        <v>1</v>
      </c>
      <c r="L6">
        <f>IF(tblPO[[#This Row],[Actual_Delivery_Date]]&gt;tblPO[[#This Row],[Expected_Delivery_Date]],1,0)</f>
        <v>0</v>
      </c>
      <c r="M6">
        <f>tblPO[[#This Row],[Actual_Delivery_Date]]-tblPO[[#This Row],[PO_Date]]</f>
        <v>12</v>
      </c>
    </row>
    <row r="7" spans="1:13" x14ac:dyDescent="0.3">
      <c r="A7" t="s">
        <v>2251</v>
      </c>
      <c r="B7" s="18">
        <v>45311</v>
      </c>
      <c r="C7" t="s">
        <v>44</v>
      </c>
      <c r="D7" t="s">
        <v>199</v>
      </c>
      <c r="E7">
        <v>114</v>
      </c>
      <c r="F7">
        <v>268.27999999999997</v>
      </c>
      <c r="G7" s="18">
        <v>45327</v>
      </c>
      <c r="H7" s="18">
        <v>45336</v>
      </c>
      <c r="I7">
        <v>114</v>
      </c>
      <c r="J7">
        <v>30583.919999999998</v>
      </c>
      <c r="K7">
        <f>IF(tblPO[[#This Row],[Actual_Delivery_Date]]&lt;=tblPO[[#This Row],[Expected_Delivery_Date]],1,0)</f>
        <v>0</v>
      </c>
      <c r="L7">
        <f>IF(tblPO[[#This Row],[Actual_Delivery_Date]]&gt;tblPO[[#This Row],[Expected_Delivery_Date]],1,0)</f>
        <v>1</v>
      </c>
      <c r="M7">
        <f>tblPO[[#This Row],[Actual_Delivery_Date]]-tblPO[[#This Row],[PO_Date]]</f>
        <v>25</v>
      </c>
    </row>
    <row r="8" spans="1:13" x14ac:dyDescent="0.3">
      <c r="A8" t="s">
        <v>2250</v>
      </c>
      <c r="B8" s="18">
        <v>45292</v>
      </c>
      <c r="C8" t="s">
        <v>40</v>
      </c>
      <c r="D8" t="s">
        <v>117</v>
      </c>
      <c r="E8">
        <v>115</v>
      </c>
      <c r="F8">
        <v>344.35</v>
      </c>
      <c r="G8" s="18">
        <v>45300</v>
      </c>
      <c r="H8" s="18">
        <v>45299</v>
      </c>
      <c r="I8">
        <v>115</v>
      </c>
      <c r="J8">
        <v>39600.25</v>
      </c>
      <c r="K8">
        <f>IF(tblPO[[#This Row],[Actual_Delivery_Date]]&lt;=tblPO[[#This Row],[Expected_Delivery_Date]],1,0)</f>
        <v>1</v>
      </c>
      <c r="L8">
        <f>IF(tblPO[[#This Row],[Actual_Delivery_Date]]&gt;tblPO[[#This Row],[Expected_Delivery_Date]],1,0)</f>
        <v>0</v>
      </c>
      <c r="M8">
        <f>tblPO[[#This Row],[Actual_Delivery_Date]]-tblPO[[#This Row],[PO_Date]]</f>
        <v>7</v>
      </c>
    </row>
    <row r="9" spans="1:13" x14ac:dyDescent="0.3">
      <c r="A9" t="s">
        <v>2249</v>
      </c>
      <c r="B9" s="18">
        <v>45317</v>
      </c>
      <c r="C9" t="s">
        <v>47</v>
      </c>
      <c r="D9" t="s">
        <v>225</v>
      </c>
      <c r="E9">
        <v>198</v>
      </c>
      <c r="F9">
        <v>180.26</v>
      </c>
      <c r="G9" s="18">
        <v>45327</v>
      </c>
      <c r="H9" s="18">
        <v>45324</v>
      </c>
      <c r="I9">
        <v>198</v>
      </c>
      <c r="J9">
        <v>35691.480000000003</v>
      </c>
      <c r="K9">
        <f>IF(tblPO[[#This Row],[Actual_Delivery_Date]]&lt;=tblPO[[#This Row],[Expected_Delivery_Date]],1,0)</f>
        <v>1</v>
      </c>
      <c r="L9">
        <f>IF(tblPO[[#This Row],[Actual_Delivery_Date]]&gt;tblPO[[#This Row],[Expected_Delivery_Date]],1,0)</f>
        <v>0</v>
      </c>
      <c r="M9">
        <f>tblPO[[#This Row],[Actual_Delivery_Date]]-tblPO[[#This Row],[PO_Date]]</f>
        <v>7</v>
      </c>
    </row>
    <row r="10" spans="1:13" x14ac:dyDescent="0.3">
      <c r="A10" t="s">
        <v>2248</v>
      </c>
      <c r="B10" s="18">
        <v>45298</v>
      </c>
      <c r="C10" t="s">
        <v>53</v>
      </c>
      <c r="D10" t="s">
        <v>110</v>
      </c>
      <c r="E10">
        <v>9</v>
      </c>
      <c r="F10">
        <v>5323.46</v>
      </c>
      <c r="G10" s="18">
        <v>45324</v>
      </c>
      <c r="H10" s="18">
        <v>45322</v>
      </c>
      <c r="I10">
        <v>9</v>
      </c>
      <c r="J10">
        <v>47911.14</v>
      </c>
      <c r="K10">
        <f>IF(tblPO[[#This Row],[Actual_Delivery_Date]]&lt;=tblPO[[#This Row],[Expected_Delivery_Date]],1,0)</f>
        <v>1</v>
      </c>
      <c r="L10">
        <f>IF(tblPO[[#This Row],[Actual_Delivery_Date]]&gt;tblPO[[#This Row],[Expected_Delivery_Date]],1,0)</f>
        <v>0</v>
      </c>
      <c r="M10">
        <f>tblPO[[#This Row],[Actual_Delivery_Date]]-tblPO[[#This Row],[PO_Date]]</f>
        <v>24</v>
      </c>
    </row>
    <row r="11" spans="1:13" x14ac:dyDescent="0.3">
      <c r="A11" t="s">
        <v>2247</v>
      </c>
      <c r="B11" s="18">
        <v>45300</v>
      </c>
      <c r="C11" t="s">
        <v>40</v>
      </c>
      <c r="D11" t="s">
        <v>121</v>
      </c>
      <c r="E11">
        <v>94</v>
      </c>
      <c r="F11">
        <v>696.47</v>
      </c>
      <c r="G11" s="18">
        <v>45305</v>
      </c>
      <c r="H11" s="18">
        <v>45308</v>
      </c>
      <c r="I11">
        <v>94</v>
      </c>
      <c r="J11">
        <v>65468.18</v>
      </c>
      <c r="K11">
        <f>IF(tblPO[[#This Row],[Actual_Delivery_Date]]&lt;=tblPO[[#This Row],[Expected_Delivery_Date]],1,0)</f>
        <v>0</v>
      </c>
      <c r="L11">
        <f>IF(tblPO[[#This Row],[Actual_Delivery_Date]]&gt;tblPO[[#This Row],[Expected_Delivery_Date]],1,0)</f>
        <v>1</v>
      </c>
      <c r="M11">
        <f>tblPO[[#This Row],[Actual_Delivery_Date]]-tblPO[[#This Row],[PO_Date]]</f>
        <v>8</v>
      </c>
    </row>
    <row r="12" spans="1:13" x14ac:dyDescent="0.3">
      <c r="A12" t="s">
        <v>2246</v>
      </c>
      <c r="B12" s="18">
        <v>45302</v>
      </c>
      <c r="C12" t="s">
        <v>42</v>
      </c>
      <c r="D12" t="s">
        <v>94</v>
      </c>
      <c r="E12">
        <v>147</v>
      </c>
      <c r="F12">
        <v>508.29</v>
      </c>
      <c r="G12" s="18">
        <v>45314</v>
      </c>
      <c r="H12" s="18">
        <v>45313</v>
      </c>
      <c r="I12">
        <v>147</v>
      </c>
      <c r="J12">
        <v>74718.63</v>
      </c>
      <c r="K12">
        <f>IF(tblPO[[#This Row],[Actual_Delivery_Date]]&lt;=tblPO[[#This Row],[Expected_Delivery_Date]],1,0)</f>
        <v>1</v>
      </c>
      <c r="L12">
        <f>IF(tblPO[[#This Row],[Actual_Delivery_Date]]&gt;tblPO[[#This Row],[Expected_Delivery_Date]],1,0)</f>
        <v>0</v>
      </c>
      <c r="M12">
        <f>tblPO[[#This Row],[Actual_Delivery_Date]]-tblPO[[#This Row],[PO_Date]]</f>
        <v>11</v>
      </c>
    </row>
    <row r="13" spans="1:13" x14ac:dyDescent="0.3">
      <c r="A13" t="s">
        <v>2245</v>
      </c>
      <c r="B13" s="18">
        <v>45305</v>
      </c>
      <c r="C13" t="s">
        <v>71</v>
      </c>
      <c r="D13" t="s">
        <v>168</v>
      </c>
      <c r="E13">
        <v>660</v>
      </c>
      <c r="F13">
        <v>57.59</v>
      </c>
      <c r="G13" s="18">
        <v>45319</v>
      </c>
      <c r="H13" s="18">
        <v>45318</v>
      </c>
      <c r="I13">
        <v>660</v>
      </c>
      <c r="J13">
        <v>38009.4</v>
      </c>
      <c r="K13">
        <f>IF(tblPO[[#This Row],[Actual_Delivery_Date]]&lt;=tblPO[[#This Row],[Expected_Delivery_Date]],1,0)</f>
        <v>1</v>
      </c>
      <c r="L13">
        <f>IF(tblPO[[#This Row],[Actual_Delivery_Date]]&gt;tblPO[[#This Row],[Expected_Delivery_Date]],1,0)</f>
        <v>0</v>
      </c>
      <c r="M13">
        <f>tblPO[[#This Row],[Actual_Delivery_Date]]-tblPO[[#This Row],[PO_Date]]</f>
        <v>13</v>
      </c>
    </row>
    <row r="14" spans="1:13" x14ac:dyDescent="0.3">
      <c r="A14" t="s">
        <v>2244</v>
      </c>
      <c r="B14" s="18">
        <v>45298</v>
      </c>
      <c r="C14" t="s">
        <v>50</v>
      </c>
      <c r="D14" t="s">
        <v>125</v>
      </c>
      <c r="E14">
        <v>157</v>
      </c>
      <c r="F14">
        <v>939.2</v>
      </c>
      <c r="G14" s="18">
        <v>45309</v>
      </c>
      <c r="H14" s="18">
        <v>45309</v>
      </c>
      <c r="I14">
        <v>154</v>
      </c>
      <c r="J14">
        <v>147454.39999999999</v>
      </c>
      <c r="K14">
        <f>IF(tblPO[[#This Row],[Actual_Delivery_Date]]&lt;=tblPO[[#This Row],[Expected_Delivery_Date]],1,0)</f>
        <v>1</v>
      </c>
      <c r="L14">
        <f>IF(tblPO[[#This Row],[Actual_Delivery_Date]]&gt;tblPO[[#This Row],[Expected_Delivery_Date]],1,0)</f>
        <v>0</v>
      </c>
      <c r="M14">
        <f>tblPO[[#This Row],[Actual_Delivery_Date]]-tblPO[[#This Row],[PO_Date]]</f>
        <v>11</v>
      </c>
    </row>
    <row r="15" spans="1:13" x14ac:dyDescent="0.3">
      <c r="A15" t="s">
        <v>2243</v>
      </c>
      <c r="B15" s="18">
        <v>45298</v>
      </c>
      <c r="C15" t="s">
        <v>44</v>
      </c>
      <c r="D15" t="s">
        <v>193</v>
      </c>
      <c r="E15">
        <v>736</v>
      </c>
      <c r="F15">
        <v>29.13</v>
      </c>
      <c r="G15" s="18">
        <v>45321</v>
      </c>
      <c r="H15" s="18">
        <v>45320</v>
      </c>
      <c r="I15">
        <v>736</v>
      </c>
      <c r="J15">
        <v>21439.68</v>
      </c>
      <c r="K15">
        <f>IF(tblPO[[#This Row],[Actual_Delivery_Date]]&lt;=tblPO[[#This Row],[Expected_Delivery_Date]],1,0)</f>
        <v>1</v>
      </c>
      <c r="L15">
        <f>IF(tblPO[[#This Row],[Actual_Delivery_Date]]&gt;tblPO[[#This Row],[Expected_Delivery_Date]],1,0)</f>
        <v>0</v>
      </c>
      <c r="M15">
        <f>tblPO[[#This Row],[Actual_Delivery_Date]]-tblPO[[#This Row],[PO_Date]]</f>
        <v>22</v>
      </c>
    </row>
    <row r="16" spans="1:13" x14ac:dyDescent="0.3">
      <c r="A16" t="s">
        <v>2242</v>
      </c>
      <c r="B16" s="18">
        <v>45308</v>
      </c>
      <c r="C16" t="s">
        <v>46</v>
      </c>
      <c r="D16" t="s">
        <v>90</v>
      </c>
      <c r="E16">
        <v>5</v>
      </c>
      <c r="F16">
        <v>35974.44</v>
      </c>
      <c r="G16" s="18">
        <v>45329</v>
      </c>
      <c r="H16" s="18">
        <v>45328</v>
      </c>
      <c r="I16">
        <v>5</v>
      </c>
      <c r="J16">
        <v>179872.2</v>
      </c>
      <c r="K16">
        <f>IF(tblPO[[#This Row],[Actual_Delivery_Date]]&lt;=tblPO[[#This Row],[Expected_Delivery_Date]],1,0)</f>
        <v>1</v>
      </c>
      <c r="L16">
        <f>IF(tblPO[[#This Row],[Actual_Delivery_Date]]&gt;tblPO[[#This Row],[Expected_Delivery_Date]],1,0)</f>
        <v>0</v>
      </c>
      <c r="M16">
        <f>tblPO[[#This Row],[Actual_Delivery_Date]]-tblPO[[#This Row],[PO_Date]]</f>
        <v>20</v>
      </c>
    </row>
    <row r="17" spans="1:13" x14ac:dyDescent="0.3">
      <c r="A17" t="s">
        <v>2241</v>
      </c>
      <c r="B17" s="18">
        <v>45305</v>
      </c>
      <c r="C17" t="s">
        <v>39</v>
      </c>
      <c r="D17" t="s">
        <v>168</v>
      </c>
      <c r="E17">
        <v>246</v>
      </c>
      <c r="F17">
        <v>77.03</v>
      </c>
      <c r="G17" s="18">
        <v>45329</v>
      </c>
      <c r="H17" s="18">
        <v>45327</v>
      </c>
      <c r="I17">
        <v>246</v>
      </c>
      <c r="J17">
        <v>18949.38</v>
      </c>
      <c r="K17">
        <f>IF(tblPO[[#This Row],[Actual_Delivery_Date]]&lt;=tblPO[[#This Row],[Expected_Delivery_Date]],1,0)</f>
        <v>1</v>
      </c>
      <c r="L17">
        <f>IF(tblPO[[#This Row],[Actual_Delivery_Date]]&gt;tblPO[[#This Row],[Expected_Delivery_Date]],1,0)</f>
        <v>0</v>
      </c>
      <c r="M17">
        <f>tblPO[[#This Row],[Actual_Delivery_Date]]-tblPO[[#This Row],[PO_Date]]</f>
        <v>22</v>
      </c>
    </row>
    <row r="18" spans="1:13" x14ac:dyDescent="0.3">
      <c r="A18" t="s">
        <v>2240</v>
      </c>
      <c r="B18" s="18">
        <v>45301</v>
      </c>
      <c r="C18" t="s">
        <v>40</v>
      </c>
      <c r="D18" t="s">
        <v>134</v>
      </c>
      <c r="E18">
        <v>2</v>
      </c>
      <c r="F18">
        <v>4376.8599999999997</v>
      </c>
      <c r="G18" s="18">
        <v>45313</v>
      </c>
      <c r="H18" s="18">
        <v>45312</v>
      </c>
      <c r="I18">
        <v>2</v>
      </c>
      <c r="J18">
        <v>8753.7199999999993</v>
      </c>
      <c r="K18">
        <f>IF(tblPO[[#This Row],[Actual_Delivery_Date]]&lt;=tblPO[[#This Row],[Expected_Delivery_Date]],1,0)</f>
        <v>1</v>
      </c>
      <c r="L18">
        <f>IF(tblPO[[#This Row],[Actual_Delivery_Date]]&gt;tblPO[[#This Row],[Expected_Delivery_Date]],1,0)</f>
        <v>0</v>
      </c>
      <c r="M18">
        <f>tblPO[[#This Row],[Actual_Delivery_Date]]-tblPO[[#This Row],[PO_Date]]</f>
        <v>11</v>
      </c>
    </row>
    <row r="19" spans="1:13" x14ac:dyDescent="0.3">
      <c r="A19" t="s">
        <v>2239</v>
      </c>
      <c r="B19" s="18">
        <v>45307</v>
      </c>
      <c r="C19" t="s">
        <v>42</v>
      </c>
      <c r="D19" t="s">
        <v>96</v>
      </c>
      <c r="E19">
        <v>140</v>
      </c>
      <c r="F19">
        <v>804.14</v>
      </c>
      <c r="G19" s="18">
        <v>45324</v>
      </c>
      <c r="H19" s="18">
        <v>45323</v>
      </c>
      <c r="I19">
        <v>140</v>
      </c>
      <c r="J19">
        <v>112579.6</v>
      </c>
      <c r="K19">
        <f>IF(tblPO[[#This Row],[Actual_Delivery_Date]]&lt;=tblPO[[#This Row],[Expected_Delivery_Date]],1,0)</f>
        <v>1</v>
      </c>
      <c r="L19">
        <f>IF(tblPO[[#This Row],[Actual_Delivery_Date]]&gt;tblPO[[#This Row],[Expected_Delivery_Date]],1,0)</f>
        <v>0</v>
      </c>
      <c r="M19">
        <f>tblPO[[#This Row],[Actual_Delivery_Date]]-tblPO[[#This Row],[PO_Date]]</f>
        <v>16</v>
      </c>
    </row>
    <row r="20" spans="1:13" x14ac:dyDescent="0.3">
      <c r="A20" t="s">
        <v>2238</v>
      </c>
      <c r="B20" s="18">
        <v>45318</v>
      </c>
      <c r="C20" t="s">
        <v>48</v>
      </c>
      <c r="D20" t="s">
        <v>156</v>
      </c>
      <c r="E20">
        <v>145</v>
      </c>
      <c r="F20">
        <v>72.180000000000007</v>
      </c>
      <c r="G20" s="18">
        <v>45337</v>
      </c>
      <c r="H20" s="18">
        <v>45335</v>
      </c>
      <c r="I20">
        <v>145</v>
      </c>
      <c r="J20">
        <v>10466.1</v>
      </c>
      <c r="K20">
        <f>IF(tblPO[[#This Row],[Actual_Delivery_Date]]&lt;=tblPO[[#This Row],[Expected_Delivery_Date]],1,0)</f>
        <v>1</v>
      </c>
      <c r="L20">
        <f>IF(tblPO[[#This Row],[Actual_Delivery_Date]]&gt;tblPO[[#This Row],[Expected_Delivery_Date]],1,0)</f>
        <v>0</v>
      </c>
      <c r="M20">
        <f>tblPO[[#This Row],[Actual_Delivery_Date]]-tblPO[[#This Row],[PO_Date]]</f>
        <v>17</v>
      </c>
    </row>
    <row r="21" spans="1:13" x14ac:dyDescent="0.3">
      <c r="A21" t="s">
        <v>2237</v>
      </c>
      <c r="B21" s="18">
        <v>45307</v>
      </c>
      <c r="C21" t="s">
        <v>40</v>
      </c>
      <c r="D21" t="s">
        <v>138</v>
      </c>
      <c r="E21">
        <v>9</v>
      </c>
      <c r="F21">
        <v>3838.2</v>
      </c>
      <c r="G21" s="18">
        <v>45312</v>
      </c>
      <c r="H21" s="18">
        <v>45310</v>
      </c>
      <c r="I21">
        <v>9</v>
      </c>
      <c r="J21">
        <v>34543.800000000003</v>
      </c>
      <c r="K21">
        <f>IF(tblPO[[#This Row],[Actual_Delivery_Date]]&lt;=tblPO[[#This Row],[Expected_Delivery_Date]],1,0)</f>
        <v>1</v>
      </c>
      <c r="L21">
        <f>IF(tblPO[[#This Row],[Actual_Delivery_Date]]&gt;tblPO[[#This Row],[Expected_Delivery_Date]],1,0)</f>
        <v>0</v>
      </c>
      <c r="M21">
        <f>tblPO[[#This Row],[Actual_Delivery_Date]]-tblPO[[#This Row],[PO_Date]]</f>
        <v>3</v>
      </c>
    </row>
    <row r="22" spans="1:13" x14ac:dyDescent="0.3">
      <c r="A22" t="s">
        <v>2236</v>
      </c>
      <c r="B22" s="18">
        <v>45296</v>
      </c>
      <c r="C22" t="s">
        <v>40</v>
      </c>
      <c r="D22" t="s">
        <v>130</v>
      </c>
      <c r="E22">
        <v>72</v>
      </c>
      <c r="F22">
        <v>398.82</v>
      </c>
      <c r="G22" s="18">
        <v>45299</v>
      </c>
      <c r="H22" s="18">
        <v>45296</v>
      </c>
      <c r="I22">
        <v>72</v>
      </c>
      <c r="J22">
        <v>28715.040000000001</v>
      </c>
      <c r="K22">
        <f>IF(tblPO[[#This Row],[Actual_Delivery_Date]]&lt;=tblPO[[#This Row],[Expected_Delivery_Date]],1,0)</f>
        <v>1</v>
      </c>
      <c r="L22">
        <f>IF(tblPO[[#This Row],[Actual_Delivery_Date]]&gt;tblPO[[#This Row],[Expected_Delivery_Date]],1,0)</f>
        <v>0</v>
      </c>
      <c r="M22">
        <f>tblPO[[#This Row],[Actual_Delivery_Date]]-tblPO[[#This Row],[PO_Date]]</f>
        <v>0</v>
      </c>
    </row>
    <row r="23" spans="1:13" x14ac:dyDescent="0.3">
      <c r="A23" t="s">
        <v>2235</v>
      </c>
      <c r="B23" s="18">
        <v>45308</v>
      </c>
      <c r="C23" t="s">
        <v>38</v>
      </c>
      <c r="D23" t="s">
        <v>237</v>
      </c>
      <c r="E23">
        <v>762</v>
      </c>
      <c r="F23">
        <v>85.72</v>
      </c>
      <c r="G23" s="18">
        <v>45325</v>
      </c>
      <c r="H23" s="18">
        <v>45323</v>
      </c>
      <c r="I23">
        <v>762</v>
      </c>
      <c r="J23">
        <v>65318.64</v>
      </c>
      <c r="K23">
        <f>IF(tblPO[[#This Row],[Actual_Delivery_Date]]&lt;=tblPO[[#This Row],[Expected_Delivery_Date]],1,0)</f>
        <v>1</v>
      </c>
      <c r="L23">
        <f>IF(tblPO[[#This Row],[Actual_Delivery_Date]]&gt;tblPO[[#This Row],[Expected_Delivery_Date]],1,0)</f>
        <v>0</v>
      </c>
      <c r="M23">
        <f>tblPO[[#This Row],[Actual_Delivery_Date]]-tblPO[[#This Row],[PO_Date]]</f>
        <v>15</v>
      </c>
    </row>
    <row r="24" spans="1:13" x14ac:dyDescent="0.3">
      <c r="A24" t="s">
        <v>2234</v>
      </c>
      <c r="B24" s="18">
        <v>45313</v>
      </c>
      <c r="C24" t="s">
        <v>49</v>
      </c>
      <c r="D24" t="s">
        <v>207</v>
      </c>
      <c r="E24">
        <v>525</v>
      </c>
      <c r="F24">
        <v>10.52</v>
      </c>
      <c r="G24" s="18">
        <v>45326</v>
      </c>
      <c r="H24" s="18">
        <v>45346</v>
      </c>
      <c r="I24">
        <v>525</v>
      </c>
      <c r="J24">
        <v>5523</v>
      </c>
      <c r="K24">
        <f>IF(tblPO[[#This Row],[Actual_Delivery_Date]]&lt;=tblPO[[#This Row],[Expected_Delivery_Date]],1,0)</f>
        <v>0</v>
      </c>
      <c r="L24">
        <f>IF(tblPO[[#This Row],[Actual_Delivery_Date]]&gt;tblPO[[#This Row],[Expected_Delivery_Date]],1,0)</f>
        <v>1</v>
      </c>
      <c r="M24">
        <f>tblPO[[#This Row],[Actual_Delivery_Date]]-tblPO[[#This Row],[PO_Date]]</f>
        <v>33</v>
      </c>
    </row>
    <row r="25" spans="1:13" x14ac:dyDescent="0.3">
      <c r="A25" t="s">
        <v>2233</v>
      </c>
      <c r="B25" s="18">
        <v>45305</v>
      </c>
      <c r="C25" t="s">
        <v>40</v>
      </c>
      <c r="D25" t="s">
        <v>115</v>
      </c>
      <c r="E25">
        <v>18</v>
      </c>
      <c r="F25">
        <v>3418.94</v>
      </c>
      <c r="G25" s="18">
        <v>45322</v>
      </c>
      <c r="H25" s="18">
        <v>45322</v>
      </c>
      <c r="I25">
        <v>18</v>
      </c>
      <c r="J25">
        <v>61540.92</v>
      </c>
      <c r="K25">
        <f>IF(tblPO[[#This Row],[Actual_Delivery_Date]]&lt;=tblPO[[#This Row],[Expected_Delivery_Date]],1,0)</f>
        <v>1</v>
      </c>
      <c r="L25">
        <f>IF(tblPO[[#This Row],[Actual_Delivery_Date]]&gt;tblPO[[#This Row],[Expected_Delivery_Date]],1,0)</f>
        <v>0</v>
      </c>
      <c r="M25">
        <f>tblPO[[#This Row],[Actual_Delivery_Date]]-tblPO[[#This Row],[PO_Date]]</f>
        <v>17</v>
      </c>
    </row>
    <row r="26" spans="1:13" x14ac:dyDescent="0.3">
      <c r="A26" t="s">
        <v>2232</v>
      </c>
      <c r="B26" s="18">
        <v>45300</v>
      </c>
      <c r="C26" t="s">
        <v>62</v>
      </c>
      <c r="D26" t="s">
        <v>183</v>
      </c>
      <c r="E26">
        <v>702</v>
      </c>
      <c r="F26">
        <v>10.93</v>
      </c>
      <c r="G26" s="18">
        <v>45318</v>
      </c>
      <c r="H26" s="18">
        <v>45317</v>
      </c>
      <c r="I26">
        <v>702</v>
      </c>
      <c r="J26">
        <v>7672.86</v>
      </c>
      <c r="K26">
        <f>IF(tblPO[[#This Row],[Actual_Delivery_Date]]&lt;=tblPO[[#This Row],[Expected_Delivery_Date]],1,0)</f>
        <v>1</v>
      </c>
      <c r="L26">
        <f>IF(tblPO[[#This Row],[Actual_Delivery_Date]]&gt;tblPO[[#This Row],[Expected_Delivery_Date]],1,0)</f>
        <v>0</v>
      </c>
      <c r="M26">
        <f>tblPO[[#This Row],[Actual_Delivery_Date]]-tblPO[[#This Row],[PO_Date]]</f>
        <v>17</v>
      </c>
    </row>
    <row r="27" spans="1:13" x14ac:dyDescent="0.3">
      <c r="A27" t="s">
        <v>2231</v>
      </c>
      <c r="B27" s="18">
        <v>45302</v>
      </c>
      <c r="C27" t="s">
        <v>59</v>
      </c>
      <c r="D27" t="s">
        <v>88</v>
      </c>
      <c r="E27">
        <v>5</v>
      </c>
      <c r="F27">
        <v>11425.73</v>
      </c>
      <c r="G27" s="18">
        <v>45315</v>
      </c>
      <c r="H27" s="18">
        <v>45322</v>
      </c>
      <c r="I27">
        <v>5</v>
      </c>
      <c r="J27">
        <v>57128.65</v>
      </c>
      <c r="K27">
        <f>IF(tblPO[[#This Row],[Actual_Delivery_Date]]&lt;=tblPO[[#This Row],[Expected_Delivery_Date]],1,0)</f>
        <v>0</v>
      </c>
      <c r="L27">
        <f>IF(tblPO[[#This Row],[Actual_Delivery_Date]]&gt;tblPO[[#This Row],[Expected_Delivery_Date]],1,0)</f>
        <v>1</v>
      </c>
      <c r="M27">
        <f>tblPO[[#This Row],[Actual_Delivery_Date]]-tblPO[[#This Row],[PO_Date]]</f>
        <v>20</v>
      </c>
    </row>
    <row r="28" spans="1:13" x14ac:dyDescent="0.3">
      <c r="A28" t="s">
        <v>2230</v>
      </c>
      <c r="B28" s="18">
        <v>45314</v>
      </c>
      <c r="C28" t="s">
        <v>38</v>
      </c>
      <c r="D28" t="s">
        <v>237</v>
      </c>
      <c r="E28">
        <v>206</v>
      </c>
      <c r="F28">
        <v>87.18</v>
      </c>
      <c r="G28" s="18">
        <v>45323</v>
      </c>
      <c r="H28" s="18">
        <v>45323</v>
      </c>
      <c r="I28">
        <v>206</v>
      </c>
      <c r="J28">
        <v>17959.080000000002</v>
      </c>
      <c r="K28">
        <f>IF(tblPO[[#This Row],[Actual_Delivery_Date]]&lt;=tblPO[[#This Row],[Expected_Delivery_Date]],1,0)</f>
        <v>1</v>
      </c>
      <c r="L28">
        <f>IF(tblPO[[#This Row],[Actual_Delivery_Date]]&gt;tblPO[[#This Row],[Expected_Delivery_Date]],1,0)</f>
        <v>0</v>
      </c>
      <c r="M28">
        <f>tblPO[[#This Row],[Actual_Delivery_Date]]-tblPO[[#This Row],[PO_Date]]</f>
        <v>9</v>
      </c>
    </row>
    <row r="29" spans="1:13" x14ac:dyDescent="0.3">
      <c r="A29" t="s">
        <v>2229</v>
      </c>
      <c r="B29" s="18">
        <v>45318</v>
      </c>
      <c r="C29" t="s">
        <v>41</v>
      </c>
      <c r="D29" t="s">
        <v>195</v>
      </c>
      <c r="E29">
        <v>62</v>
      </c>
      <c r="F29">
        <v>593.97</v>
      </c>
      <c r="G29" s="18">
        <v>45334</v>
      </c>
      <c r="H29" s="18">
        <v>45331</v>
      </c>
      <c r="I29">
        <v>62</v>
      </c>
      <c r="J29">
        <v>36826.14</v>
      </c>
      <c r="K29">
        <f>IF(tblPO[[#This Row],[Actual_Delivery_Date]]&lt;=tblPO[[#This Row],[Expected_Delivery_Date]],1,0)</f>
        <v>1</v>
      </c>
      <c r="L29">
        <f>IF(tblPO[[#This Row],[Actual_Delivery_Date]]&gt;tblPO[[#This Row],[Expected_Delivery_Date]],1,0)</f>
        <v>0</v>
      </c>
      <c r="M29">
        <f>tblPO[[#This Row],[Actual_Delivery_Date]]-tblPO[[#This Row],[PO_Date]]</f>
        <v>13</v>
      </c>
    </row>
    <row r="30" spans="1:13" x14ac:dyDescent="0.3">
      <c r="A30" t="s">
        <v>2228</v>
      </c>
      <c r="B30" s="18">
        <v>45292</v>
      </c>
      <c r="C30" t="s">
        <v>50</v>
      </c>
      <c r="D30" t="s">
        <v>117</v>
      </c>
      <c r="E30">
        <v>132</v>
      </c>
      <c r="F30">
        <v>328.38</v>
      </c>
      <c r="G30" s="18">
        <v>45306</v>
      </c>
      <c r="H30" s="18">
        <v>45306</v>
      </c>
      <c r="I30">
        <v>132</v>
      </c>
      <c r="J30">
        <v>43346.16</v>
      </c>
      <c r="K30">
        <f>IF(tblPO[[#This Row],[Actual_Delivery_Date]]&lt;=tblPO[[#This Row],[Expected_Delivery_Date]],1,0)</f>
        <v>1</v>
      </c>
      <c r="L30">
        <f>IF(tblPO[[#This Row],[Actual_Delivery_Date]]&gt;tblPO[[#This Row],[Expected_Delivery_Date]],1,0)</f>
        <v>0</v>
      </c>
      <c r="M30">
        <f>tblPO[[#This Row],[Actual_Delivery_Date]]-tblPO[[#This Row],[PO_Date]]</f>
        <v>14</v>
      </c>
    </row>
    <row r="31" spans="1:13" x14ac:dyDescent="0.3">
      <c r="A31" t="s">
        <v>2227</v>
      </c>
      <c r="B31" s="18">
        <v>45315</v>
      </c>
      <c r="C31" t="s">
        <v>40</v>
      </c>
      <c r="D31" t="s">
        <v>115</v>
      </c>
      <c r="E31">
        <v>25</v>
      </c>
      <c r="F31">
        <v>3338.23</v>
      </c>
      <c r="G31" s="18">
        <v>45325</v>
      </c>
      <c r="H31" s="18">
        <v>45324</v>
      </c>
      <c r="I31">
        <v>25</v>
      </c>
      <c r="J31">
        <v>83455.75</v>
      </c>
      <c r="K31">
        <f>IF(tblPO[[#This Row],[Actual_Delivery_Date]]&lt;=tblPO[[#This Row],[Expected_Delivery_Date]],1,0)</f>
        <v>1</v>
      </c>
      <c r="L31">
        <f>IF(tblPO[[#This Row],[Actual_Delivery_Date]]&gt;tblPO[[#This Row],[Expected_Delivery_Date]],1,0)</f>
        <v>0</v>
      </c>
      <c r="M31">
        <f>tblPO[[#This Row],[Actual_Delivery_Date]]-tblPO[[#This Row],[PO_Date]]</f>
        <v>9</v>
      </c>
    </row>
    <row r="32" spans="1:13" x14ac:dyDescent="0.3">
      <c r="A32" t="s">
        <v>2226</v>
      </c>
      <c r="B32" s="18">
        <v>45313</v>
      </c>
      <c r="C32" t="s">
        <v>39</v>
      </c>
      <c r="D32" t="s">
        <v>176</v>
      </c>
      <c r="E32">
        <v>734</v>
      </c>
      <c r="F32">
        <v>49.12</v>
      </c>
      <c r="G32" s="18">
        <v>45337</v>
      </c>
      <c r="H32" s="18">
        <v>45337</v>
      </c>
      <c r="I32">
        <v>734</v>
      </c>
      <c r="J32">
        <v>36054.080000000002</v>
      </c>
      <c r="K32">
        <f>IF(tblPO[[#This Row],[Actual_Delivery_Date]]&lt;=tblPO[[#This Row],[Expected_Delivery_Date]],1,0)</f>
        <v>1</v>
      </c>
      <c r="L32">
        <f>IF(tblPO[[#This Row],[Actual_Delivery_Date]]&gt;tblPO[[#This Row],[Expected_Delivery_Date]],1,0)</f>
        <v>0</v>
      </c>
      <c r="M32">
        <f>tblPO[[#This Row],[Actual_Delivery_Date]]-tblPO[[#This Row],[PO_Date]]</f>
        <v>24</v>
      </c>
    </row>
    <row r="33" spans="1:13" x14ac:dyDescent="0.3">
      <c r="A33" t="s">
        <v>2225</v>
      </c>
      <c r="B33" s="18">
        <v>45310</v>
      </c>
      <c r="C33" t="s">
        <v>64</v>
      </c>
      <c r="D33" t="s">
        <v>123</v>
      </c>
      <c r="E33">
        <v>14</v>
      </c>
      <c r="F33">
        <v>842.29</v>
      </c>
      <c r="G33" s="18">
        <v>45313</v>
      </c>
      <c r="H33" s="18">
        <v>45313</v>
      </c>
      <c r="I33">
        <v>14</v>
      </c>
      <c r="J33">
        <v>11792.06</v>
      </c>
      <c r="K33">
        <f>IF(tblPO[[#This Row],[Actual_Delivery_Date]]&lt;=tblPO[[#This Row],[Expected_Delivery_Date]],1,0)</f>
        <v>1</v>
      </c>
      <c r="L33">
        <f>IF(tblPO[[#This Row],[Actual_Delivery_Date]]&gt;tblPO[[#This Row],[Expected_Delivery_Date]],1,0)</f>
        <v>0</v>
      </c>
      <c r="M33">
        <f>tblPO[[#This Row],[Actual_Delivery_Date]]-tblPO[[#This Row],[PO_Date]]</f>
        <v>3</v>
      </c>
    </row>
    <row r="34" spans="1:13" x14ac:dyDescent="0.3">
      <c r="A34" t="s">
        <v>2224</v>
      </c>
      <c r="B34" s="18">
        <v>45304</v>
      </c>
      <c r="C34" t="s">
        <v>47</v>
      </c>
      <c r="D34" t="s">
        <v>223</v>
      </c>
      <c r="E34">
        <v>76</v>
      </c>
      <c r="F34">
        <v>128.63999999999999</v>
      </c>
      <c r="G34" s="18">
        <v>45317</v>
      </c>
      <c r="H34" s="18">
        <v>45316</v>
      </c>
      <c r="I34">
        <v>76</v>
      </c>
      <c r="J34">
        <v>9776.64</v>
      </c>
      <c r="K34">
        <f>IF(tblPO[[#This Row],[Actual_Delivery_Date]]&lt;=tblPO[[#This Row],[Expected_Delivery_Date]],1,0)</f>
        <v>1</v>
      </c>
      <c r="L34">
        <f>IF(tblPO[[#This Row],[Actual_Delivery_Date]]&gt;tblPO[[#This Row],[Expected_Delivery_Date]],1,0)</f>
        <v>0</v>
      </c>
      <c r="M34">
        <f>tblPO[[#This Row],[Actual_Delivery_Date]]-tblPO[[#This Row],[PO_Date]]</f>
        <v>12</v>
      </c>
    </row>
    <row r="35" spans="1:13" x14ac:dyDescent="0.3">
      <c r="A35" t="s">
        <v>2223</v>
      </c>
      <c r="B35" s="18">
        <v>45300</v>
      </c>
      <c r="C35" t="s">
        <v>45</v>
      </c>
      <c r="D35" t="s">
        <v>227</v>
      </c>
      <c r="E35">
        <v>15</v>
      </c>
      <c r="F35">
        <v>1166.43</v>
      </c>
      <c r="G35" s="18">
        <v>45305</v>
      </c>
      <c r="H35" s="18">
        <v>45302</v>
      </c>
      <c r="I35">
        <v>15</v>
      </c>
      <c r="J35">
        <v>17496.45</v>
      </c>
      <c r="K35">
        <f>IF(tblPO[[#This Row],[Actual_Delivery_Date]]&lt;=tblPO[[#This Row],[Expected_Delivery_Date]],1,0)</f>
        <v>1</v>
      </c>
      <c r="L35">
        <f>IF(tblPO[[#This Row],[Actual_Delivery_Date]]&gt;tblPO[[#This Row],[Expected_Delivery_Date]],1,0)</f>
        <v>0</v>
      </c>
      <c r="M35">
        <f>tblPO[[#This Row],[Actual_Delivery_Date]]-tblPO[[#This Row],[PO_Date]]</f>
        <v>2</v>
      </c>
    </row>
    <row r="36" spans="1:13" x14ac:dyDescent="0.3">
      <c r="A36" t="s">
        <v>2222</v>
      </c>
      <c r="B36" s="18">
        <v>45316</v>
      </c>
      <c r="C36" t="s">
        <v>55</v>
      </c>
      <c r="D36" t="s">
        <v>229</v>
      </c>
      <c r="E36">
        <v>4</v>
      </c>
      <c r="F36">
        <v>1971.52</v>
      </c>
      <c r="G36" s="18">
        <v>45329</v>
      </c>
      <c r="H36" s="18">
        <v>45327</v>
      </c>
      <c r="I36">
        <v>4</v>
      </c>
      <c r="J36">
        <v>7886.08</v>
      </c>
      <c r="K36">
        <f>IF(tblPO[[#This Row],[Actual_Delivery_Date]]&lt;=tblPO[[#This Row],[Expected_Delivery_Date]],1,0)</f>
        <v>1</v>
      </c>
      <c r="L36">
        <f>IF(tblPO[[#This Row],[Actual_Delivery_Date]]&gt;tblPO[[#This Row],[Expected_Delivery_Date]],1,0)</f>
        <v>0</v>
      </c>
      <c r="M36">
        <f>tblPO[[#This Row],[Actual_Delivery_Date]]-tblPO[[#This Row],[PO_Date]]</f>
        <v>11</v>
      </c>
    </row>
    <row r="37" spans="1:13" x14ac:dyDescent="0.3">
      <c r="A37" t="s">
        <v>2221</v>
      </c>
      <c r="B37" s="18">
        <v>45296</v>
      </c>
      <c r="C37" t="s">
        <v>56</v>
      </c>
      <c r="D37" t="s">
        <v>142</v>
      </c>
      <c r="E37">
        <v>71</v>
      </c>
      <c r="F37">
        <v>163.57</v>
      </c>
      <c r="G37" s="18">
        <v>45314</v>
      </c>
      <c r="H37" s="18">
        <v>45312</v>
      </c>
      <c r="I37">
        <v>71</v>
      </c>
      <c r="J37">
        <v>11613.47</v>
      </c>
      <c r="K37">
        <f>IF(tblPO[[#This Row],[Actual_Delivery_Date]]&lt;=tblPO[[#This Row],[Expected_Delivery_Date]],1,0)</f>
        <v>1</v>
      </c>
      <c r="L37">
        <f>IF(tblPO[[#This Row],[Actual_Delivery_Date]]&gt;tblPO[[#This Row],[Expected_Delivery_Date]],1,0)</f>
        <v>0</v>
      </c>
      <c r="M37">
        <f>tblPO[[#This Row],[Actual_Delivery_Date]]-tblPO[[#This Row],[PO_Date]]</f>
        <v>16</v>
      </c>
    </row>
    <row r="38" spans="1:13" x14ac:dyDescent="0.3">
      <c r="A38" t="s">
        <v>2220</v>
      </c>
      <c r="B38" s="18">
        <v>45311</v>
      </c>
      <c r="C38" t="s">
        <v>40</v>
      </c>
      <c r="D38" t="s">
        <v>134</v>
      </c>
      <c r="E38">
        <v>7</v>
      </c>
      <c r="F38">
        <v>4504.16</v>
      </c>
      <c r="G38" s="18">
        <v>45317</v>
      </c>
      <c r="H38" s="18">
        <v>45315</v>
      </c>
      <c r="I38">
        <v>7</v>
      </c>
      <c r="J38">
        <v>31529.119999999999</v>
      </c>
      <c r="K38">
        <f>IF(tblPO[[#This Row],[Actual_Delivery_Date]]&lt;=tblPO[[#This Row],[Expected_Delivery_Date]],1,0)</f>
        <v>1</v>
      </c>
      <c r="L38">
        <f>IF(tblPO[[#This Row],[Actual_Delivery_Date]]&gt;tblPO[[#This Row],[Expected_Delivery_Date]],1,0)</f>
        <v>0</v>
      </c>
      <c r="M38">
        <f>tblPO[[#This Row],[Actual_Delivery_Date]]-tblPO[[#This Row],[PO_Date]]</f>
        <v>4</v>
      </c>
    </row>
    <row r="39" spans="1:13" x14ac:dyDescent="0.3">
      <c r="A39" t="s">
        <v>2219</v>
      </c>
      <c r="B39" s="18">
        <v>45310</v>
      </c>
      <c r="C39" t="s">
        <v>39</v>
      </c>
      <c r="D39" t="s">
        <v>174</v>
      </c>
      <c r="E39">
        <v>369</v>
      </c>
      <c r="F39">
        <v>45.12</v>
      </c>
      <c r="G39" s="18">
        <v>45334</v>
      </c>
      <c r="H39" s="18">
        <v>45332</v>
      </c>
      <c r="I39">
        <v>352</v>
      </c>
      <c r="J39">
        <v>16649.28</v>
      </c>
      <c r="K39">
        <f>IF(tblPO[[#This Row],[Actual_Delivery_Date]]&lt;=tblPO[[#This Row],[Expected_Delivery_Date]],1,0)</f>
        <v>1</v>
      </c>
      <c r="L39">
        <f>IF(tblPO[[#This Row],[Actual_Delivery_Date]]&gt;tblPO[[#This Row],[Expected_Delivery_Date]],1,0)</f>
        <v>0</v>
      </c>
      <c r="M39">
        <f>tblPO[[#This Row],[Actual_Delivery_Date]]-tblPO[[#This Row],[PO_Date]]</f>
        <v>22</v>
      </c>
    </row>
    <row r="40" spans="1:13" x14ac:dyDescent="0.3">
      <c r="A40" t="s">
        <v>2218</v>
      </c>
      <c r="B40" s="18">
        <v>45316</v>
      </c>
      <c r="C40" t="s">
        <v>44</v>
      </c>
      <c r="D40" t="s">
        <v>188</v>
      </c>
      <c r="E40">
        <v>763</v>
      </c>
      <c r="F40">
        <v>30.52</v>
      </c>
      <c r="G40" s="18">
        <v>45337</v>
      </c>
      <c r="H40" s="18">
        <v>45342</v>
      </c>
      <c r="I40">
        <v>763</v>
      </c>
      <c r="J40">
        <v>23286.76</v>
      </c>
      <c r="K40">
        <f>IF(tblPO[[#This Row],[Actual_Delivery_Date]]&lt;=tblPO[[#This Row],[Expected_Delivery_Date]],1,0)</f>
        <v>0</v>
      </c>
      <c r="L40">
        <f>IF(tblPO[[#This Row],[Actual_Delivery_Date]]&gt;tblPO[[#This Row],[Expected_Delivery_Date]],1,0)</f>
        <v>1</v>
      </c>
      <c r="M40">
        <f>tblPO[[#This Row],[Actual_Delivery_Date]]-tblPO[[#This Row],[PO_Date]]</f>
        <v>26</v>
      </c>
    </row>
    <row r="41" spans="1:13" x14ac:dyDescent="0.3">
      <c r="A41" t="s">
        <v>2217</v>
      </c>
      <c r="B41" s="18">
        <v>45303</v>
      </c>
      <c r="C41" t="s">
        <v>44</v>
      </c>
      <c r="D41" t="s">
        <v>183</v>
      </c>
      <c r="E41">
        <v>92</v>
      </c>
      <c r="F41">
        <v>10.220000000000001</v>
      </c>
      <c r="G41" s="18">
        <v>45332</v>
      </c>
      <c r="H41" s="18">
        <v>45331</v>
      </c>
      <c r="I41">
        <v>87</v>
      </c>
      <c r="J41">
        <v>940.24</v>
      </c>
      <c r="K41">
        <f>IF(tblPO[[#This Row],[Actual_Delivery_Date]]&lt;=tblPO[[#This Row],[Expected_Delivery_Date]],1,0)</f>
        <v>1</v>
      </c>
      <c r="L41">
        <f>IF(tblPO[[#This Row],[Actual_Delivery_Date]]&gt;tblPO[[#This Row],[Expected_Delivery_Date]],1,0)</f>
        <v>0</v>
      </c>
      <c r="M41">
        <f>tblPO[[#This Row],[Actual_Delivery_Date]]-tblPO[[#This Row],[PO_Date]]</f>
        <v>28</v>
      </c>
    </row>
    <row r="42" spans="1:13" x14ac:dyDescent="0.3">
      <c r="A42" t="s">
        <v>2216</v>
      </c>
      <c r="B42" s="18">
        <v>45295</v>
      </c>
      <c r="C42" t="s">
        <v>45</v>
      </c>
      <c r="D42" t="s">
        <v>251</v>
      </c>
      <c r="E42">
        <v>551</v>
      </c>
      <c r="F42">
        <v>83.01</v>
      </c>
      <c r="G42" s="18">
        <v>45311</v>
      </c>
      <c r="H42" s="18">
        <v>45327</v>
      </c>
      <c r="I42">
        <v>551</v>
      </c>
      <c r="J42">
        <v>45738.51</v>
      </c>
      <c r="K42">
        <f>IF(tblPO[[#This Row],[Actual_Delivery_Date]]&lt;=tblPO[[#This Row],[Expected_Delivery_Date]],1,0)</f>
        <v>0</v>
      </c>
      <c r="L42">
        <f>IF(tblPO[[#This Row],[Actual_Delivery_Date]]&gt;tblPO[[#This Row],[Expected_Delivery_Date]],1,0)</f>
        <v>1</v>
      </c>
      <c r="M42">
        <f>tblPO[[#This Row],[Actual_Delivery_Date]]-tblPO[[#This Row],[PO_Date]]</f>
        <v>32</v>
      </c>
    </row>
    <row r="43" spans="1:13" x14ac:dyDescent="0.3">
      <c r="A43" t="s">
        <v>2215</v>
      </c>
      <c r="B43" s="18">
        <v>45297</v>
      </c>
      <c r="C43" t="s">
        <v>53</v>
      </c>
      <c r="D43" t="s">
        <v>96</v>
      </c>
      <c r="E43">
        <v>121</v>
      </c>
      <c r="F43">
        <v>759.9</v>
      </c>
      <c r="G43" s="18">
        <v>45325</v>
      </c>
      <c r="H43" s="18">
        <v>45335</v>
      </c>
      <c r="I43">
        <v>121</v>
      </c>
      <c r="J43">
        <v>91947.9</v>
      </c>
      <c r="K43">
        <f>IF(tblPO[[#This Row],[Actual_Delivery_Date]]&lt;=tblPO[[#This Row],[Expected_Delivery_Date]],1,0)</f>
        <v>0</v>
      </c>
      <c r="L43">
        <f>IF(tblPO[[#This Row],[Actual_Delivery_Date]]&gt;tblPO[[#This Row],[Expected_Delivery_Date]],1,0)</f>
        <v>1</v>
      </c>
      <c r="M43">
        <f>tblPO[[#This Row],[Actual_Delivery_Date]]-tblPO[[#This Row],[PO_Date]]</f>
        <v>38</v>
      </c>
    </row>
    <row r="44" spans="1:13" x14ac:dyDescent="0.3">
      <c r="A44" t="s">
        <v>2214</v>
      </c>
      <c r="B44" s="18">
        <v>45306</v>
      </c>
      <c r="C44" t="s">
        <v>51</v>
      </c>
      <c r="D44" t="s">
        <v>146</v>
      </c>
      <c r="E44">
        <v>17</v>
      </c>
      <c r="F44">
        <v>2387.27</v>
      </c>
      <c r="G44" s="18">
        <v>45322</v>
      </c>
      <c r="H44" s="18">
        <v>45327</v>
      </c>
      <c r="I44">
        <v>17</v>
      </c>
      <c r="J44">
        <v>40583.589999999997</v>
      </c>
      <c r="K44">
        <f>IF(tblPO[[#This Row],[Actual_Delivery_Date]]&lt;=tblPO[[#This Row],[Expected_Delivery_Date]],1,0)</f>
        <v>0</v>
      </c>
      <c r="L44">
        <f>IF(tblPO[[#This Row],[Actual_Delivery_Date]]&gt;tblPO[[#This Row],[Expected_Delivery_Date]],1,0)</f>
        <v>1</v>
      </c>
      <c r="M44">
        <f>tblPO[[#This Row],[Actual_Delivery_Date]]-tblPO[[#This Row],[PO_Date]]</f>
        <v>21</v>
      </c>
    </row>
    <row r="45" spans="1:13" x14ac:dyDescent="0.3">
      <c r="A45" t="s">
        <v>2213</v>
      </c>
      <c r="B45" s="18">
        <v>45300</v>
      </c>
      <c r="C45" t="s">
        <v>70</v>
      </c>
      <c r="D45" t="s">
        <v>181</v>
      </c>
      <c r="E45">
        <v>277</v>
      </c>
      <c r="F45">
        <v>3.92</v>
      </c>
      <c r="G45" s="18">
        <v>45317</v>
      </c>
      <c r="H45" s="18">
        <v>45317</v>
      </c>
      <c r="I45">
        <v>277</v>
      </c>
      <c r="J45">
        <v>1085.8399999999999</v>
      </c>
      <c r="K45">
        <f>IF(tblPO[[#This Row],[Actual_Delivery_Date]]&lt;=tblPO[[#This Row],[Expected_Delivery_Date]],1,0)</f>
        <v>1</v>
      </c>
      <c r="L45">
        <f>IF(tblPO[[#This Row],[Actual_Delivery_Date]]&gt;tblPO[[#This Row],[Expected_Delivery_Date]],1,0)</f>
        <v>0</v>
      </c>
      <c r="M45">
        <f>tblPO[[#This Row],[Actual_Delivery_Date]]-tblPO[[#This Row],[PO_Date]]</f>
        <v>17</v>
      </c>
    </row>
    <row r="46" spans="1:13" x14ac:dyDescent="0.3">
      <c r="A46" t="s">
        <v>2212</v>
      </c>
      <c r="B46" s="18">
        <v>45307</v>
      </c>
      <c r="C46" t="s">
        <v>39</v>
      </c>
      <c r="D46" t="s">
        <v>156</v>
      </c>
      <c r="E46">
        <v>79</v>
      </c>
      <c r="F46">
        <v>64.27</v>
      </c>
      <c r="G46" s="18">
        <v>45329</v>
      </c>
      <c r="H46" s="18">
        <v>45327</v>
      </c>
      <c r="I46">
        <v>79</v>
      </c>
      <c r="J46">
        <v>5077.33</v>
      </c>
      <c r="K46">
        <f>IF(tblPO[[#This Row],[Actual_Delivery_Date]]&lt;=tblPO[[#This Row],[Expected_Delivery_Date]],1,0)</f>
        <v>1</v>
      </c>
      <c r="L46">
        <f>IF(tblPO[[#This Row],[Actual_Delivery_Date]]&gt;tblPO[[#This Row],[Expected_Delivery_Date]],1,0)</f>
        <v>0</v>
      </c>
      <c r="M46">
        <f>tblPO[[#This Row],[Actual_Delivery_Date]]-tblPO[[#This Row],[PO_Date]]</f>
        <v>20</v>
      </c>
    </row>
    <row r="47" spans="1:13" x14ac:dyDescent="0.3">
      <c r="A47" t="s">
        <v>2211</v>
      </c>
      <c r="B47" s="18">
        <v>45314</v>
      </c>
      <c r="C47" t="s">
        <v>44</v>
      </c>
      <c r="D47" t="s">
        <v>201</v>
      </c>
      <c r="E47">
        <v>660</v>
      </c>
      <c r="F47">
        <v>36.43</v>
      </c>
      <c r="G47" s="18">
        <v>45334</v>
      </c>
      <c r="H47" s="18">
        <v>45332</v>
      </c>
      <c r="I47">
        <v>660</v>
      </c>
      <c r="J47">
        <v>24043.8</v>
      </c>
      <c r="K47">
        <f>IF(tblPO[[#This Row],[Actual_Delivery_Date]]&lt;=tblPO[[#This Row],[Expected_Delivery_Date]],1,0)</f>
        <v>1</v>
      </c>
      <c r="L47">
        <f>IF(tblPO[[#This Row],[Actual_Delivery_Date]]&gt;tblPO[[#This Row],[Expected_Delivery_Date]],1,0)</f>
        <v>0</v>
      </c>
      <c r="M47">
        <f>tblPO[[#This Row],[Actual_Delivery_Date]]-tblPO[[#This Row],[PO_Date]]</f>
        <v>18</v>
      </c>
    </row>
    <row r="48" spans="1:13" x14ac:dyDescent="0.3">
      <c r="A48" t="s">
        <v>2210</v>
      </c>
      <c r="B48" s="18">
        <v>45314</v>
      </c>
      <c r="C48" t="s">
        <v>42</v>
      </c>
      <c r="D48" t="s">
        <v>88</v>
      </c>
      <c r="E48">
        <v>4</v>
      </c>
      <c r="F48">
        <v>18768.439999999999</v>
      </c>
      <c r="G48" s="18">
        <v>45341</v>
      </c>
      <c r="H48" s="18">
        <v>45341</v>
      </c>
      <c r="I48">
        <v>4</v>
      </c>
      <c r="J48">
        <v>75073.759999999995</v>
      </c>
      <c r="K48">
        <f>IF(tblPO[[#This Row],[Actual_Delivery_Date]]&lt;=tblPO[[#This Row],[Expected_Delivery_Date]],1,0)</f>
        <v>1</v>
      </c>
      <c r="L48">
        <f>IF(tblPO[[#This Row],[Actual_Delivery_Date]]&gt;tblPO[[#This Row],[Expected_Delivery_Date]],1,0)</f>
        <v>0</v>
      </c>
      <c r="M48">
        <f>tblPO[[#This Row],[Actual_Delivery_Date]]-tblPO[[#This Row],[PO_Date]]</f>
        <v>27</v>
      </c>
    </row>
    <row r="49" spans="1:13" x14ac:dyDescent="0.3">
      <c r="A49" t="s">
        <v>2209</v>
      </c>
      <c r="B49" s="18">
        <v>45304</v>
      </c>
      <c r="C49" t="s">
        <v>59</v>
      </c>
      <c r="D49" t="s">
        <v>110</v>
      </c>
      <c r="E49">
        <v>9</v>
      </c>
      <c r="F49">
        <v>3265.12</v>
      </c>
      <c r="G49" s="18">
        <v>45314</v>
      </c>
      <c r="H49" s="18">
        <v>45313</v>
      </c>
      <c r="I49">
        <v>9</v>
      </c>
      <c r="J49">
        <v>29386.080000000002</v>
      </c>
      <c r="K49">
        <f>IF(tblPO[[#This Row],[Actual_Delivery_Date]]&lt;=tblPO[[#This Row],[Expected_Delivery_Date]],1,0)</f>
        <v>1</v>
      </c>
      <c r="L49">
        <f>IF(tblPO[[#This Row],[Actual_Delivery_Date]]&gt;tblPO[[#This Row],[Expected_Delivery_Date]],1,0)</f>
        <v>0</v>
      </c>
      <c r="M49">
        <f>tblPO[[#This Row],[Actual_Delivery_Date]]-tblPO[[#This Row],[PO_Date]]</f>
        <v>9</v>
      </c>
    </row>
    <row r="50" spans="1:13" x14ac:dyDescent="0.3">
      <c r="A50" t="s">
        <v>2208</v>
      </c>
      <c r="B50" s="18">
        <v>45302</v>
      </c>
      <c r="C50" t="s">
        <v>41</v>
      </c>
      <c r="D50" t="s">
        <v>193</v>
      </c>
      <c r="E50">
        <v>613</v>
      </c>
      <c r="F50">
        <v>31.8</v>
      </c>
      <c r="G50" s="18">
        <v>45316</v>
      </c>
      <c r="H50" s="18">
        <v>45315</v>
      </c>
      <c r="I50">
        <v>613</v>
      </c>
      <c r="J50">
        <v>19493.400000000001</v>
      </c>
      <c r="K50">
        <f>IF(tblPO[[#This Row],[Actual_Delivery_Date]]&lt;=tblPO[[#This Row],[Expected_Delivery_Date]],1,0)</f>
        <v>1</v>
      </c>
      <c r="L50">
        <f>IF(tblPO[[#This Row],[Actual_Delivery_Date]]&gt;tblPO[[#This Row],[Expected_Delivery_Date]],1,0)</f>
        <v>0</v>
      </c>
      <c r="M50">
        <f>tblPO[[#This Row],[Actual_Delivery_Date]]-tblPO[[#This Row],[PO_Date]]</f>
        <v>13</v>
      </c>
    </row>
    <row r="51" spans="1:13" x14ac:dyDescent="0.3">
      <c r="A51" t="s">
        <v>2207</v>
      </c>
      <c r="B51" s="18">
        <v>45302</v>
      </c>
      <c r="C51" t="s">
        <v>40</v>
      </c>
      <c r="D51" t="s">
        <v>136</v>
      </c>
      <c r="E51">
        <v>59</v>
      </c>
      <c r="F51">
        <v>661.79</v>
      </c>
      <c r="G51" s="18">
        <v>45308</v>
      </c>
      <c r="H51" s="18">
        <v>45306</v>
      </c>
      <c r="I51">
        <v>59</v>
      </c>
      <c r="J51">
        <v>39045.61</v>
      </c>
      <c r="K51">
        <f>IF(tblPO[[#This Row],[Actual_Delivery_Date]]&lt;=tblPO[[#This Row],[Expected_Delivery_Date]],1,0)</f>
        <v>1</v>
      </c>
      <c r="L51">
        <f>IF(tblPO[[#This Row],[Actual_Delivery_Date]]&gt;tblPO[[#This Row],[Expected_Delivery_Date]],1,0)</f>
        <v>0</v>
      </c>
      <c r="M51">
        <f>tblPO[[#This Row],[Actual_Delivery_Date]]-tblPO[[#This Row],[PO_Date]]</f>
        <v>4</v>
      </c>
    </row>
    <row r="52" spans="1:13" x14ac:dyDescent="0.3">
      <c r="A52" t="s">
        <v>2206</v>
      </c>
      <c r="B52" s="18">
        <v>45310</v>
      </c>
      <c r="C52" t="s">
        <v>44</v>
      </c>
      <c r="D52" t="s">
        <v>185</v>
      </c>
      <c r="E52">
        <v>1583</v>
      </c>
      <c r="F52">
        <v>6.96</v>
      </c>
      <c r="G52" s="18">
        <v>45338</v>
      </c>
      <c r="H52" s="18">
        <v>45335</v>
      </c>
      <c r="I52">
        <v>1583</v>
      </c>
      <c r="J52">
        <v>11017.68</v>
      </c>
      <c r="K52">
        <f>IF(tblPO[[#This Row],[Actual_Delivery_Date]]&lt;=tblPO[[#This Row],[Expected_Delivery_Date]],1,0)</f>
        <v>1</v>
      </c>
      <c r="L52">
        <f>IF(tblPO[[#This Row],[Actual_Delivery_Date]]&gt;tblPO[[#This Row],[Expected_Delivery_Date]],1,0)</f>
        <v>0</v>
      </c>
      <c r="M52">
        <f>tblPO[[#This Row],[Actual_Delivery_Date]]-tblPO[[#This Row],[PO_Date]]</f>
        <v>25</v>
      </c>
    </row>
    <row r="53" spans="1:13" x14ac:dyDescent="0.3">
      <c r="A53" t="s">
        <v>2205</v>
      </c>
      <c r="B53" s="18">
        <v>45301</v>
      </c>
      <c r="C53" t="s">
        <v>44</v>
      </c>
      <c r="D53" t="s">
        <v>201</v>
      </c>
      <c r="E53">
        <v>233</v>
      </c>
      <c r="F53">
        <v>36.1</v>
      </c>
      <c r="G53" s="18">
        <v>45313</v>
      </c>
      <c r="H53" s="18">
        <v>45311</v>
      </c>
      <c r="I53">
        <v>233</v>
      </c>
      <c r="J53">
        <v>8411.2999999999993</v>
      </c>
      <c r="K53">
        <f>IF(tblPO[[#This Row],[Actual_Delivery_Date]]&lt;=tblPO[[#This Row],[Expected_Delivery_Date]],1,0)</f>
        <v>1</v>
      </c>
      <c r="L53">
        <f>IF(tblPO[[#This Row],[Actual_Delivery_Date]]&gt;tblPO[[#This Row],[Expected_Delivery_Date]],1,0)</f>
        <v>0</v>
      </c>
      <c r="M53">
        <f>tblPO[[#This Row],[Actual_Delivery_Date]]-tblPO[[#This Row],[PO_Date]]</f>
        <v>10</v>
      </c>
    </row>
    <row r="54" spans="1:13" x14ac:dyDescent="0.3">
      <c r="A54" t="s">
        <v>2204</v>
      </c>
      <c r="B54" s="18">
        <v>45322</v>
      </c>
      <c r="C54" t="s">
        <v>41</v>
      </c>
      <c r="D54" t="s">
        <v>209</v>
      </c>
      <c r="E54">
        <v>764</v>
      </c>
      <c r="F54">
        <v>17.09</v>
      </c>
      <c r="G54" s="18">
        <v>45329</v>
      </c>
      <c r="H54" s="18">
        <v>45329</v>
      </c>
      <c r="I54">
        <v>764</v>
      </c>
      <c r="J54">
        <v>13056.76</v>
      </c>
      <c r="K54">
        <f>IF(tblPO[[#This Row],[Actual_Delivery_Date]]&lt;=tblPO[[#This Row],[Expected_Delivery_Date]],1,0)</f>
        <v>1</v>
      </c>
      <c r="L54">
        <f>IF(tblPO[[#This Row],[Actual_Delivery_Date]]&gt;tblPO[[#This Row],[Expected_Delivery_Date]],1,0)</f>
        <v>0</v>
      </c>
      <c r="M54">
        <f>tblPO[[#This Row],[Actual_Delivery_Date]]-tblPO[[#This Row],[PO_Date]]</f>
        <v>7</v>
      </c>
    </row>
    <row r="55" spans="1:13" x14ac:dyDescent="0.3">
      <c r="A55" t="s">
        <v>2203</v>
      </c>
      <c r="B55" s="18">
        <v>45307</v>
      </c>
      <c r="C55" t="s">
        <v>41</v>
      </c>
      <c r="D55" t="s">
        <v>209</v>
      </c>
      <c r="E55">
        <v>530</v>
      </c>
      <c r="F55">
        <v>17.12</v>
      </c>
      <c r="G55" s="18">
        <v>45324</v>
      </c>
      <c r="H55" s="18">
        <v>45321</v>
      </c>
      <c r="I55">
        <v>530</v>
      </c>
      <c r="J55">
        <v>9073.6</v>
      </c>
      <c r="K55">
        <f>IF(tblPO[[#This Row],[Actual_Delivery_Date]]&lt;=tblPO[[#This Row],[Expected_Delivery_Date]],1,0)</f>
        <v>1</v>
      </c>
      <c r="L55">
        <f>IF(tblPO[[#This Row],[Actual_Delivery_Date]]&gt;tblPO[[#This Row],[Expected_Delivery_Date]],1,0)</f>
        <v>0</v>
      </c>
      <c r="M55">
        <f>tblPO[[#This Row],[Actual_Delivery_Date]]-tblPO[[#This Row],[PO_Date]]</f>
        <v>14</v>
      </c>
    </row>
    <row r="56" spans="1:13" x14ac:dyDescent="0.3">
      <c r="A56" t="s">
        <v>2202</v>
      </c>
      <c r="B56" s="18">
        <v>45304</v>
      </c>
      <c r="C56" t="s">
        <v>63</v>
      </c>
      <c r="D56" t="s">
        <v>149</v>
      </c>
      <c r="E56">
        <v>116</v>
      </c>
      <c r="F56">
        <v>92</v>
      </c>
      <c r="G56" s="18">
        <v>45331</v>
      </c>
      <c r="H56" s="18">
        <v>45328</v>
      </c>
      <c r="I56">
        <v>116</v>
      </c>
      <c r="J56">
        <v>10672</v>
      </c>
      <c r="K56">
        <f>IF(tblPO[[#This Row],[Actual_Delivery_Date]]&lt;=tblPO[[#This Row],[Expected_Delivery_Date]],1,0)</f>
        <v>1</v>
      </c>
      <c r="L56">
        <f>IF(tblPO[[#This Row],[Actual_Delivery_Date]]&gt;tblPO[[#This Row],[Expected_Delivery_Date]],1,0)</f>
        <v>0</v>
      </c>
      <c r="M56">
        <f>tblPO[[#This Row],[Actual_Delivery_Date]]-tblPO[[#This Row],[PO_Date]]</f>
        <v>24</v>
      </c>
    </row>
    <row r="57" spans="1:13" x14ac:dyDescent="0.3">
      <c r="A57" t="s">
        <v>2201</v>
      </c>
      <c r="B57" s="18">
        <v>45294</v>
      </c>
      <c r="C57" t="s">
        <v>44</v>
      </c>
      <c r="D57" t="s">
        <v>183</v>
      </c>
      <c r="E57">
        <v>361</v>
      </c>
      <c r="F57">
        <v>9.89</v>
      </c>
      <c r="G57" s="18">
        <v>45313</v>
      </c>
      <c r="H57" s="18">
        <v>45313</v>
      </c>
      <c r="I57">
        <v>361</v>
      </c>
      <c r="J57">
        <v>3570.29</v>
      </c>
      <c r="K57">
        <f>IF(tblPO[[#This Row],[Actual_Delivery_Date]]&lt;=tblPO[[#This Row],[Expected_Delivery_Date]],1,0)</f>
        <v>1</v>
      </c>
      <c r="L57">
        <f>IF(tblPO[[#This Row],[Actual_Delivery_Date]]&gt;tblPO[[#This Row],[Expected_Delivery_Date]],1,0)</f>
        <v>0</v>
      </c>
      <c r="M57">
        <f>tblPO[[#This Row],[Actual_Delivery_Date]]-tblPO[[#This Row],[PO_Date]]</f>
        <v>19</v>
      </c>
    </row>
    <row r="58" spans="1:13" x14ac:dyDescent="0.3">
      <c r="A58" t="s">
        <v>2200</v>
      </c>
      <c r="B58" s="18">
        <v>45304</v>
      </c>
      <c r="C58" t="s">
        <v>59</v>
      </c>
      <c r="D58" t="s">
        <v>86</v>
      </c>
      <c r="E58">
        <v>143</v>
      </c>
      <c r="F58">
        <v>211.99</v>
      </c>
      <c r="G58" s="18">
        <v>45321</v>
      </c>
      <c r="H58" s="18">
        <v>45331</v>
      </c>
      <c r="I58">
        <v>143</v>
      </c>
      <c r="J58">
        <v>30314.57</v>
      </c>
      <c r="K58">
        <f>IF(tblPO[[#This Row],[Actual_Delivery_Date]]&lt;=tblPO[[#This Row],[Expected_Delivery_Date]],1,0)</f>
        <v>0</v>
      </c>
      <c r="L58">
        <f>IF(tblPO[[#This Row],[Actual_Delivery_Date]]&gt;tblPO[[#This Row],[Expected_Delivery_Date]],1,0)</f>
        <v>1</v>
      </c>
      <c r="M58">
        <f>tblPO[[#This Row],[Actual_Delivery_Date]]-tblPO[[#This Row],[PO_Date]]</f>
        <v>27</v>
      </c>
    </row>
    <row r="59" spans="1:13" x14ac:dyDescent="0.3">
      <c r="A59" t="s">
        <v>2199</v>
      </c>
      <c r="B59" s="18">
        <v>45293</v>
      </c>
      <c r="C59" t="s">
        <v>47</v>
      </c>
      <c r="D59" t="s">
        <v>225</v>
      </c>
      <c r="E59">
        <v>168</v>
      </c>
      <c r="F59">
        <v>173.26</v>
      </c>
      <c r="G59" s="18">
        <v>45299</v>
      </c>
      <c r="H59" s="18">
        <v>45308</v>
      </c>
      <c r="I59">
        <v>168</v>
      </c>
      <c r="J59">
        <v>29107.68</v>
      </c>
      <c r="K59">
        <f>IF(tblPO[[#This Row],[Actual_Delivery_Date]]&lt;=tblPO[[#This Row],[Expected_Delivery_Date]],1,0)</f>
        <v>0</v>
      </c>
      <c r="L59">
        <f>IF(tblPO[[#This Row],[Actual_Delivery_Date]]&gt;tblPO[[#This Row],[Expected_Delivery_Date]],1,0)</f>
        <v>1</v>
      </c>
      <c r="M59">
        <f>tblPO[[#This Row],[Actual_Delivery_Date]]-tblPO[[#This Row],[PO_Date]]</f>
        <v>15</v>
      </c>
    </row>
    <row r="60" spans="1:13" x14ac:dyDescent="0.3">
      <c r="A60" t="s">
        <v>2198</v>
      </c>
      <c r="B60" s="18">
        <v>45299</v>
      </c>
      <c r="C60" t="s">
        <v>38</v>
      </c>
      <c r="D60" t="s">
        <v>235</v>
      </c>
      <c r="E60">
        <v>210</v>
      </c>
      <c r="F60">
        <v>76.98</v>
      </c>
      <c r="G60" s="18">
        <v>45307</v>
      </c>
      <c r="H60" s="18">
        <v>45305</v>
      </c>
      <c r="I60">
        <v>195</v>
      </c>
      <c r="J60">
        <v>16165.8</v>
      </c>
      <c r="K60">
        <f>IF(tblPO[[#This Row],[Actual_Delivery_Date]]&lt;=tblPO[[#This Row],[Expected_Delivery_Date]],1,0)</f>
        <v>1</v>
      </c>
      <c r="L60">
        <f>IF(tblPO[[#This Row],[Actual_Delivery_Date]]&gt;tblPO[[#This Row],[Expected_Delivery_Date]],1,0)</f>
        <v>0</v>
      </c>
      <c r="M60">
        <f>tblPO[[#This Row],[Actual_Delivery_Date]]-tblPO[[#This Row],[PO_Date]]</f>
        <v>6</v>
      </c>
    </row>
    <row r="61" spans="1:13" x14ac:dyDescent="0.3">
      <c r="A61" t="s">
        <v>2197</v>
      </c>
      <c r="B61" s="18">
        <v>45299</v>
      </c>
      <c r="C61" t="s">
        <v>72</v>
      </c>
      <c r="D61" t="s">
        <v>212</v>
      </c>
      <c r="E61">
        <v>18</v>
      </c>
      <c r="F61">
        <v>217.08</v>
      </c>
      <c r="G61" s="18">
        <v>45311</v>
      </c>
      <c r="H61" s="18">
        <v>45315</v>
      </c>
      <c r="I61">
        <v>16</v>
      </c>
      <c r="J61">
        <v>3907.44</v>
      </c>
      <c r="K61">
        <f>IF(tblPO[[#This Row],[Actual_Delivery_Date]]&lt;=tblPO[[#This Row],[Expected_Delivery_Date]],1,0)</f>
        <v>0</v>
      </c>
      <c r="L61">
        <f>IF(tblPO[[#This Row],[Actual_Delivery_Date]]&gt;tblPO[[#This Row],[Expected_Delivery_Date]],1,0)</f>
        <v>1</v>
      </c>
      <c r="M61">
        <f>tblPO[[#This Row],[Actual_Delivery_Date]]-tblPO[[#This Row],[PO_Date]]</f>
        <v>16</v>
      </c>
    </row>
    <row r="62" spans="1:13" x14ac:dyDescent="0.3">
      <c r="A62" t="s">
        <v>2196</v>
      </c>
      <c r="B62" s="18">
        <v>45310</v>
      </c>
      <c r="C62" t="s">
        <v>58</v>
      </c>
      <c r="D62" t="s">
        <v>168</v>
      </c>
      <c r="E62">
        <v>690</v>
      </c>
      <c r="F62">
        <v>79.8</v>
      </c>
      <c r="G62" s="18">
        <v>45328</v>
      </c>
      <c r="H62" s="18">
        <v>45326</v>
      </c>
      <c r="I62">
        <v>690</v>
      </c>
      <c r="J62">
        <v>55062</v>
      </c>
      <c r="K62">
        <f>IF(tblPO[[#This Row],[Actual_Delivery_Date]]&lt;=tblPO[[#This Row],[Expected_Delivery_Date]],1,0)</f>
        <v>1</v>
      </c>
      <c r="L62">
        <f>IF(tblPO[[#This Row],[Actual_Delivery_Date]]&gt;tblPO[[#This Row],[Expected_Delivery_Date]],1,0)</f>
        <v>0</v>
      </c>
      <c r="M62">
        <f>tblPO[[#This Row],[Actual_Delivery_Date]]-tblPO[[#This Row],[PO_Date]]</f>
        <v>16</v>
      </c>
    </row>
    <row r="63" spans="1:13" x14ac:dyDescent="0.3">
      <c r="A63" t="s">
        <v>2195</v>
      </c>
      <c r="B63" s="18">
        <v>45294</v>
      </c>
      <c r="C63" t="s">
        <v>68</v>
      </c>
      <c r="D63" t="s">
        <v>146</v>
      </c>
      <c r="E63">
        <v>6</v>
      </c>
      <c r="F63">
        <v>2143.0500000000002</v>
      </c>
      <c r="G63" s="18">
        <v>45298</v>
      </c>
      <c r="H63" s="18">
        <v>45297</v>
      </c>
      <c r="I63">
        <v>6</v>
      </c>
      <c r="J63">
        <v>12858.3</v>
      </c>
      <c r="K63">
        <f>IF(tblPO[[#This Row],[Actual_Delivery_Date]]&lt;=tblPO[[#This Row],[Expected_Delivery_Date]],1,0)</f>
        <v>1</v>
      </c>
      <c r="L63">
        <f>IF(tblPO[[#This Row],[Actual_Delivery_Date]]&gt;tblPO[[#This Row],[Expected_Delivery_Date]],1,0)</f>
        <v>0</v>
      </c>
      <c r="M63">
        <f>tblPO[[#This Row],[Actual_Delivery_Date]]-tblPO[[#This Row],[PO_Date]]</f>
        <v>3</v>
      </c>
    </row>
    <row r="64" spans="1:13" x14ac:dyDescent="0.3">
      <c r="A64" t="s">
        <v>2194</v>
      </c>
      <c r="B64" s="18">
        <v>45306</v>
      </c>
      <c r="C64" t="s">
        <v>64</v>
      </c>
      <c r="D64" t="s">
        <v>115</v>
      </c>
      <c r="E64">
        <v>11</v>
      </c>
      <c r="F64">
        <v>2252.4</v>
      </c>
      <c r="G64" s="18">
        <v>45312</v>
      </c>
      <c r="H64" s="18">
        <v>45311</v>
      </c>
      <c r="I64">
        <v>11</v>
      </c>
      <c r="J64">
        <v>24776.400000000001</v>
      </c>
      <c r="K64">
        <f>IF(tblPO[[#This Row],[Actual_Delivery_Date]]&lt;=tblPO[[#This Row],[Expected_Delivery_Date]],1,0)</f>
        <v>1</v>
      </c>
      <c r="L64">
        <f>IF(tblPO[[#This Row],[Actual_Delivery_Date]]&gt;tblPO[[#This Row],[Expected_Delivery_Date]],1,0)</f>
        <v>0</v>
      </c>
      <c r="M64">
        <f>tblPO[[#This Row],[Actual_Delivery_Date]]-tblPO[[#This Row],[PO_Date]]</f>
        <v>5</v>
      </c>
    </row>
    <row r="65" spans="1:13" x14ac:dyDescent="0.3">
      <c r="A65" t="s">
        <v>2193</v>
      </c>
      <c r="B65" s="18">
        <v>45306</v>
      </c>
      <c r="C65" t="s">
        <v>58</v>
      </c>
      <c r="D65" t="s">
        <v>168</v>
      </c>
      <c r="E65">
        <v>555</v>
      </c>
      <c r="F65">
        <v>78</v>
      </c>
      <c r="G65" s="18">
        <v>45320</v>
      </c>
      <c r="H65" s="18">
        <v>45320</v>
      </c>
      <c r="I65">
        <v>555</v>
      </c>
      <c r="J65">
        <v>43290</v>
      </c>
      <c r="K65">
        <f>IF(tblPO[[#This Row],[Actual_Delivery_Date]]&lt;=tblPO[[#This Row],[Expected_Delivery_Date]],1,0)</f>
        <v>1</v>
      </c>
      <c r="L65">
        <f>IF(tblPO[[#This Row],[Actual_Delivery_Date]]&gt;tblPO[[#This Row],[Expected_Delivery_Date]],1,0)</f>
        <v>0</v>
      </c>
      <c r="M65">
        <f>tblPO[[#This Row],[Actual_Delivery_Date]]-tblPO[[#This Row],[PO_Date]]</f>
        <v>14</v>
      </c>
    </row>
    <row r="66" spans="1:13" x14ac:dyDescent="0.3">
      <c r="A66" t="s">
        <v>2192</v>
      </c>
      <c r="B66" s="18">
        <v>45299</v>
      </c>
      <c r="C66" t="s">
        <v>39</v>
      </c>
      <c r="D66" t="s">
        <v>158</v>
      </c>
      <c r="E66">
        <v>33</v>
      </c>
      <c r="F66">
        <v>127.21</v>
      </c>
      <c r="G66" s="18">
        <v>45329</v>
      </c>
      <c r="H66" s="18">
        <v>45326</v>
      </c>
      <c r="I66">
        <v>33</v>
      </c>
      <c r="J66">
        <v>4197.93</v>
      </c>
      <c r="K66">
        <f>IF(tblPO[[#This Row],[Actual_Delivery_Date]]&lt;=tblPO[[#This Row],[Expected_Delivery_Date]],1,0)</f>
        <v>1</v>
      </c>
      <c r="L66">
        <f>IF(tblPO[[#This Row],[Actual_Delivery_Date]]&gt;tblPO[[#This Row],[Expected_Delivery_Date]],1,0)</f>
        <v>0</v>
      </c>
      <c r="M66">
        <f>tblPO[[#This Row],[Actual_Delivery_Date]]-tblPO[[#This Row],[PO_Date]]</f>
        <v>27</v>
      </c>
    </row>
    <row r="67" spans="1:13" x14ac:dyDescent="0.3">
      <c r="A67" t="s">
        <v>2191</v>
      </c>
      <c r="B67" s="18">
        <v>45307</v>
      </c>
      <c r="C67" t="s">
        <v>45</v>
      </c>
      <c r="D67" t="s">
        <v>235</v>
      </c>
      <c r="E67">
        <v>229</v>
      </c>
      <c r="F67">
        <v>72.64</v>
      </c>
      <c r="G67" s="18">
        <v>45324</v>
      </c>
      <c r="H67" s="18">
        <v>45326</v>
      </c>
      <c r="I67">
        <v>229</v>
      </c>
      <c r="J67">
        <v>16634.560000000001</v>
      </c>
      <c r="K67">
        <f>IF(tblPO[[#This Row],[Actual_Delivery_Date]]&lt;=tblPO[[#This Row],[Expected_Delivery_Date]],1,0)</f>
        <v>0</v>
      </c>
      <c r="L67">
        <f>IF(tblPO[[#This Row],[Actual_Delivery_Date]]&gt;tblPO[[#This Row],[Expected_Delivery_Date]],1,0)</f>
        <v>1</v>
      </c>
      <c r="M67">
        <f>tblPO[[#This Row],[Actual_Delivery_Date]]-tblPO[[#This Row],[PO_Date]]</f>
        <v>19</v>
      </c>
    </row>
    <row r="68" spans="1:13" x14ac:dyDescent="0.3">
      <c r="A68" t="s">
        <v>2190</v>
      </c>
      <c r="B68" s="18">
        <v>45294</v>
      </c>
      <c r="C68" t="s">
        <v>40</v>
      </c>
      <c r="D68" t="s">
        <v>130</v>
      </c>
      <c r="E68">
        <v>135</v>
      </c>
      <c r="F68">
        <v>403.3</v>
      </c>
      <c r="G68" s="18">
        <v>45312</v>
      </c>
      <c r="H68" s="18">
        <v>45311</v>
      </c>
      <c r="I68">
        <v>135</v>
      </c>
      <c r="J68">
        <v>54445.5</v>
      </c>
      <c r="K68">
        <f>IF(tblPO[[#This Row],[Actual_Delivery_Date]]&lt;=tblPO[[#This Row],[Expected_Delivery_Date]],1,0)</f>
        <v>1</v>
      </c>
      <c r="L68">
        <f>IF(tblPO[[#This Row],[Actual_Delivery_Date]]&gt;tblPO[[#This Row],[Expected_Delivery_Date]],1,0)</f>
        <v>0</v>
      </c>
      <c r="M68">
        <f>tblPO[[#This Row],[Actual_Delivery_Date]]-tblPO[[#This Row],[PO_Date]]</f>
        <v>17</v>
      </c>
    </row>
    <row r="69" spans="1:13" x14ac:dyDescent="0.3">
      <c r="A69" t="s">
        <v>2189</v>
      </c>
      <c r="B69" s="18">
        <v>45305</v>
      </c>
      <c r="C69" t="s">
        <v>43</v>
      </c>
      <c r="D69" t="s">
        <v>174</v>
      </c>
      <c r="E69">
        <v>387</v>
      </c>
      <c r="F69">
        <v>35.18</v>
      </c>
      <c r="G69" s="18">
        <v>45323</v>
      </c>
      <c r="H69" s="18">
        <v>45323</v>
      </c>
      <c r="I69">
        <v>387</v>
      </c>
      <c r="J69">
        <v>13614.66</v>
      </c>
      <c r="K69">
        <f>IF(tblPO[[#This Row],[Actual_Delivery_Date]]&lt;=tblPO[[#This Row],[Expected_Delivery_Date]],1,0)</f>
        <v>1</v>
      </c>
      <c r="L69">
        <f>IF(tblPO[[#This Row],[Actual_Delivery_Date]]&gt;tblPO[[#This Row],[Expected_Delivery_Date]],1,0)</f>
        <v>0</v>
      </c>
      <c r="M69">
        <f>tblPO[[#This Row],[Actual_Delivery_Date]]-tblPO[[#This Row],[PO_Date]]</f>
        <v>18</v>
      </c>
    </row>
    <row r="70" spans="1:13" x14ac:dyDescent="0.3">
      <c r="A70" t="s">
        <v>2188</v>
      </c>
      <c r="B70" s="18">
        <v>45302</v>
      </c>
      <c r="C70" t="s">
        <v>38</v>
      </c>
      <c r="D70" t="s">
        <v>217</v>
      </c>
      <c r="E70">
        <v>140</v>
      </c>
      <c r="F70">
        <v>26.96</v>
      </c>
      <c r="G70" s="18">
        <v>45313</v>
      </c>
      <c r="H70" s="18">
        <v>45313</v>
      </c>
      <c r="I70">
        <v>140</v>
      </c>
      <c r="J70">
        <v>3774.4</v>
      </c>
      <c r="K70">
        <f>IF(tblPO[[#This Row],[Actual_Delivery_Date]]&lt;=tblPO[[#This Row],[Expected_Delivery_Date]],1,0)</f>
        <v>1</v>
      </c>
      <c r="L70">
        <f>IF(tblPO[[#This Row],[Actual_Delivery_Date]]&gt;tblPO[[#This Row],[Expected_Delivery_Date]],1,0)</f>
        <v>0</v>
      </c>
      <c r="M70">
        <f>tblPO[[#This Row],[Actual_Delivery_Date]]-tblPO[[#This Row],[PO_Date]]</f>
        <v>11</v>
      </c>
    </row>
    <row r="71" spans="1:13" x14ac:dyDescent="0.3">
      <c r="A71" t="s">
        <v>2187</v>
      </c>
      <c r="B71" s="18">
        <v>45319</v>
      </c>
      <c r="C71" t="s">
        <v>43</v>
      </c>
      <c r="D71" t="s">
        <v>149</v>
      </c>
      <c r="E71">
        <v>723</v>
      </c>
      <c r="F71">
        <v>67.33</v>
      </c>
      <c r="G71" s="18">
        <v>45336</v>
      </c>
      <c r="H71" s="18">
        <v>45334</v>
      </c>
      <c r="I71">
        <v>723</v>
      </c>
      <c r="J71">
        <v>48679.59</v>
      </c>
      <c r="K71">
        <f>IF(tblPO[[#This Row],[Actual_Delivery_Date]]&lt;=tblPO[[#This Row],[Expected_Delivery_Date]],1,0)</f>
        <v>1</v>
      </c>
      <c r="L71">
        <f>IF(tblPO[[#This Row],[Actual_Delivery_Date]]&gt;tblPO[[#This Row],[Expected_Delivery_Date]],1,0)</f>
        <v>0</v>
      </c>
      <c r="M71">
        <f>tblPO[[#This Row],[Actual_Delivery_Date]]-tblPO[[#This Row],[PO_Date]]</f>
        <v>15</v>
      </c>
    </row>
    <row r="72" spans="1:13" x14ac:dyDescent="0.3">
      <c r="A72" t="s">
        <v>2186</v>
      </c>
      <c r="B72" s="18">
        <v>45306</v>
      </c>
      <c r="C72" t="s">
        <v>70</v>
      </c>
      <c r="D72" t="s">
        <v>190</v>
      </c>
      <c r="E72">
        <v>170</v>
      </c>
      <c r="F72">
        <v>108.99</v>
      </c>
      <c r="G72" s="18">
        <v>45310</v>
      </c>
      <c r="H72" s="18">
        <v>45308</v>
      </c>
      <c r="I72">
        <v>170</v>
      </c>
      <c r="J72">
        <v>18528.3</v>
      </c>
      <c r="K72">
        <f>IF(tblPO[[#This Row],[Actual_Delivery_Date]]&lt;=tblPO[[#This Row],[Expected_Delivery_Date]],1,0)</f>
        <v>1</v>
      </c>
      <c r="L72">
        <f>IF(tblPO[[#This Row],[Actual_Delivery_Date]]&gt;tblPO[[#This Row],[Expected_Delivery_Date]],1,0)</f>
        <v>0</v>
      </c>
      <c r="M72">
        <f>tblPO[[#This Row],[Actual_Delivery_Date]]-tblPO[[#This Row],[PO_Date]]</f>
        <v>2</v>
      </c>
    </row>
    <row r="73" spans="1:13" x14ac:dyDescent="0.3">
      <c r="A73" t="s">
        <v>2185</v>
      </c>
      <c r="B73" s="18">
        <v>45295</v>
      </c>
      <c r="C73" t="s">
        <v>41</v>
      </c>
      <c r="D73" t="s">
        <v>195</v>
      </c>
      <c r="E73">
        <v>134</v>
      </c>
      <c r="F73">
        <v>616.22</v>
      </c>
      <c r="G73" s="18">
        <v>45298</v>
      </c>
      <c r="H73" s="18">
        <v>45313</v>
      </c>
      <c r="I73">
        <v>134</v>
      </c>
      <c r="J73">
        <v>82573.48</v>
      </c>
      <c r="K73">
        <f>IF(tblPO[[#This Row],[Actual_Delivery_Date]]&lt;=tblPO[[#This Row],[Expected_Delivery_Date]],1,0)</f>
        <v>0</v>
      </c>
      <c r="L73">
        <f>IF(tblPO[[#This Row],[Actual_Delivery_Date]]&gt;tblPO[[#This Row],[Expected_Delivery_Date]],1,0)</f>
        <v>1</v>
      </c>
      <c r="M73">
        <f>tblPO[[#This Row],[Actual_Delivery_Date]]-tblPO[[#This Row],[PO_Date]]</f>
        <v>18</v>
      </c>
    </row>
    <row r="74" spans="1:13" x14ac:dyDescent="0.3">
      <c r="A74" t="s">
        <v>2184</v>
      </c>
      <c r="B74" s="18">
        <v>45309</v>
      </c>
      <c r="C74" t="s">
        <v>55</v>
      </c>
      <c r="D74" t="s">
        <v>241</v>
      </c>
      <c r="E74">
        <v>2</v>
      </c>
      <c r="F74">
        <v>3529.74</v>
      </c>
      <c r="G74" s="18">
        <v>45334</v>
      </c>
      <c r="H74" s="18">
        <v>45331</v>
      </c>
      <c r="I74">
        <v>2</v>
      </c>
      <c r="J74">
        <v>7059.48</v>
      </c>
      <c r="K74">
        <f>IF(tblPO[[#This Row],[Actual_Delivery_Date]]&lt;=tblPO[[#This Row],[Expected_Delivery_Date]],1,0)</f>
        <v>1</v>
      </c>
      <c r="L74">
        <f>IF(tblPO[[#This Row],[Actual_Delivery_Date]]&gt;tblPO[[#This Row],[Expected_Delivery_Date]],1,0)</f>
        <v>0</v>
      </c>
      <c r="M74">
        <f>tblPO[[#This Row],[Actual_Delivery_Date]]-tblPO[[#This Row],[PO_Date]]</f>
        <v>22</v>
      </c>
    </row>
    <row r="75" spans="1:13" x14ac:dyDescent="0.3">
      <c r="A75" t="s">
        <v>2183</v>
      </c>
      <c r="B75" s="18">
        <v>45307</v>
      </c>
      <c r="C75" t="s">
        <v>45</v>
      </c>
      <c r="D75" t="s">
        <v>245</v>
      </c>
      <c r="E75">
        <v>6</v>
      </c>
      <c r="F75">
        <v>4037.15</v>
      </c>
      <c r="G75" s="18">
        <v>45319</v>
      </c>
      <c r="H75" s="18">
        <v>45318</v>
      </c>
      <c r="I75">
        <v>6</v>
      </c>
      <c r="J75">
        <v>24222.9</v>
      </c>
      <c r="K75">
        <f>IF(tblPO[[#This Row],[Actual_Delivery_Date]]&lt;=tblPO[[#This Row],[Expected_Delivery_Date]],1,0)</f>
        <v>1</v>
      </c>
      <c r="L75">
        <f>IF(tblPO[[#This Row],[Actual_Delivery_Date]]&gt;tblPO[[#This Row],[Expected_Delivery_Date]],1,0)</f>
        <v>0</v>
      </c>
      <c r="M75">
        <f>tblPO[[#This Row],[Actual_Delivery_Date]]-tblPO[[#This Row],[PO_Date]]</f>
        <v>11</v>
      </c>
    </row>
    <row r="76" spans="1:13" x14ac:dyDescent="0.3">
      <c r="A76" t="s">
        <v>2182</v>
      </c>
      <c r="B76" s="18">
        <v>45306</v>
      </c>
      <c r="C76" t="s">
        <v>44</v>
      </c>
      <c r="D76" t="s">
        <v>195</v>
      </c>
      <c r="E76">
        <v>72</v>
      </c>
      <c r="F76">
        <v>553.48</v>
      </c>
      <c r="G76" s="18">
        <v>45335</v>
      </c>
      <c r="H76" s="18">
        <v>45333</v>
      </c>
      <c r="I76">
        <v>72</v>
      </c>
      <c r="J76">
        <v>39850.559999999998</v>
      </c>
      <c r="K76">
        <f>IF(tblPO[[#This Row],[Actual_Delivery_Date]]&lt;=tblPO[[#This Row],[Expected_Delivery_Date]],1,0)</f>
        <v>1</v>
      </c>
      <c r="L76">
        <f>IF(tblPO[[#This Row],[Actual_Delivery_Date]]&gt;tblPO[[#This Row],[Expected_Delivery_Date]],1,0)</f>
        <v>0</v>
      </c>
      <c r="M76">
        <f>tblPO[[#This Row],[Actual_Delivery_Date]]-tblPO[[#This Row],[PO_Date]]</f>
        <v>27</v>
      </c>
    </row>
    <row r="77" spans="1:13" x14ac:dyDescent="0.3">
      <c r="A77" t="s">
        <v>2181</v>
      </c>
      <c r="B77" s="18">
        <v>45319</v>
      </c>
      <c r="C77" t="s">
        <v>66</v>
      </c>
      <c r="D77" t="s">
        <v>219</v>
      </c>
      <c r="E77">
        <v>189</v>
      </c>
      <c r="F77">
        <v>82.34</v>
      </c>
      <c r="G77" s="18">
        <v>45324</v>
      </c>
      <c r="H77" s="18">
        <v>45324</v>
      </c>
      <c r="I77">
        <v>189</v>
      </c>
      <c r="J77">
        <v>15562.26</v>
      </c>
      <c r="K77">
        <f>IF(tblPO[[#This Row],[Actual_Delivery_Date]]&lt;=tblPO[[#This Row],[Expected_Delivery_Date]],1,0)</f>
        <v>1</v>
      </c>
      <c r="L77">
        <f>IF(tblPO[[#This Row],[Actual_Delivery_Date]]&gt;tblPO[[#This Row],[Expected_Delivery_Date]],1,0)</f>
        <v>0</v>
      </c>
      <c r="M77">
        <f>tblPO[[#This Row],[Actual_Delivery_Date]]-tblPO[[#This Row],[PO_Date]]</f>
        <v>5</v>
      </c>
    </row>
    <row r="78" spans="1:13" x14ac:dyDescent="0.3">
      <c r="A78" t="s">
        <v>2180</v>
      </c>
      <c r="B78" s="18">
        <v>45301</v>
      </c>
      <c r="C78" t="s">
        <v>72</v>
      </c>
      <c r="D78" t="s">
        <v>219</v>
      </c>
      <c r="E78">
        <v>52</v>
      </c>
      <c r="F78">
        <v>63.4</v>
      </c>
      <c r="G78" s="18">
        <v>45313</v>
      </c>
      <c r="H78" s="18">
        <v>45328</v>
      </c>
      <c r="I78">
        <v>52</v>
      </c>
      <c r="J78">
        <v>3296.8</v>
      </c>
      <c r="K78">
        <f>IF(tblPO[[#This Row],[Actual_Delivery_Date]]&lt;=tblPO[[#This Row],[Expected_Delivery_Date]],1,0)</f>
        <v>0</v>
      </c>
      <c r="L78">
        <f>IF(tblPO[[#This Row],[Actual_Delivery_Date]]&gt;tblPO[[#This Row],[Expected_Delivery_Date]],1,0)</f>
        <v>1</v>
      </c>
      <c r="M78">
        <f>tblPO[[#This Row],[Actual_Delivery_Date]]-tblPO[[#This Row],[PO_Date]]</f>
        <v>27</v>
      </c>
    </row>
    <row r="79" spans="1:13" x14ac:dyDescent="0.3">
      <c r="A79" t="s">
        <v>2179</v>
      </c>
      <c r="B79" s="18">
        <v>45309</v>
      </c>
      <c r="C79" t="s">
        <v>47</v>
      </c>
      <c r="D79" t="s">
        <v>221</v>
      </c>
      <c r="E79">
        <v>16</v>
      </c>
      <c r="F79">
        <v>1605.58</v>
      </c>
      <c r="G79" s="18">
        <v>45327</v>
      </c>
      <c r="H79" s="18">
        <v>45327</v>
      </c>
      <c r="I79">
        <v>16</v>
      </c>
      <c r="J79">
        <v>25689.279999999999</v>
      </c>
      <c r="K79">
        <f>IF(tblPO[[#This Row],[Actual_Delivery_Date]]&lt;=tblPO[[#This Row],[Expected_Delivery_Date]],1,0)</f>
        <v>1</v>
      </c>
      <c r="L79">
        <f>IF(tblPO[[#This Row],[Actual_Delivery_Date]]&gt;tblPO[[#This Row],[Expected_Delivery_Date]],1,0)</f>
        <v>0</v>
      </c>
      <c r="M79">
        <f>tblPO[[#This Row],[Actual_Delivery_Date]]-tblPO[[#This Row],[PO_Date]]</f>
        <v>18</v>
      </c>
    </row>
    <row r="80" spans="1:13" x14ac:dyDescent="0.3">
      <c r="A80" t="s">
        <v>2178</v>
      </c>
      <c r="B80" s="18">
        <v>45299</v>
      </c>
      <c r="C80" t="s">
        <v>52</v>
      </c>
      <c r="D80" t="s">
        <v>231</v>
      </c>
      <c r="E80">
        <v>188</v>
      </c>
      <c r="F80">
        <v>144.81</v>
      </c>
      <c r="G80" s="18">
        <v>45314</v>
      </c>
      <c r="H80" s="18">
        <v>45314</v>
      </c>
      <c r="I80">
        <v>180</v>
      </c>
      <c r="J80">
        <v>27224.28</v>
      </c>
      <c r="K80">
        <f>IF(tblPO[[#This Row],[Actual_Delivery_Date]]&lt;=tblPO[[#This Row],[Expected_Delivery_Date]],1,0)</f>
        <v>1</v>
      </c>
      <c r="L80">
        <f>IF(tblPO[[#This Row],[Actual_Delivery_Date]]&gt;tblPO[[#This Row],[Expected_Delivery_Date]],1,0)</f>
        <v>0</v>
      </c>
      <c r="M80">
        <f>tblPO[[#This Row],[Actual_Delivery_Date]]-tblPO[[#This Row],[PO_Date]]</f>
        <v>15</v>
      </c>
    </row>
    <row r="81" spans="1:13" x14ac:dyDescent="0.3">
      <c r="A81" t="s">
        <v>2177</v>
      </c>
      <c r="B81" s="18">
        <v>45304</v>
      </c>
      <c r="C81" t="s">
        <v>39</v>
      </c>
      <c r="D81" t="s">
        <v>154</v>
      </c>
      <c r="E81">
        <v>440</v>
      </c>
      <c r="F81">
        <v>82.89</v>
      </c>
      <c r="G81" s="18">
        <v>45320</v>
      </c>
      <c r="H81" s="18">
        <v>45317</v>
      </c>
      <c r="I81">
        <v>440</v>
      </c>
      <c r="J81">
        <v>36471.599999999999</v>
      </c>
      <c r="K81">
        <f>IF(tblPO[[#This Row],[Actual_Delivery_Date]]&lt;=tblPO[[#This Row],[Expected_Delivery_Date]],1,0)</f>
        <v>1</v>
      </c>
      <c r="L81">
        <f>IF(tblPO[[#This Row],[Actual_Delivery_Date]]&gt;tblPO[[#This Row],[Expected_Delivery_Date]],1,0)</f>
        <v>0</v>
      </c>
      <c r="M81">
        <f>tblPO[[#This Row],[Actual_Delivery_Date]]-tblPO[[#This Row],[PO_Date]]</f>
        <v>13</v>
      </c>
    </row>
    <row r="82" spans="1:13" x14ac:dyDescent="0.3">
      <c r="A82" t="s">
        <v>2176</v>
      </c>
      <c r="B82" s="18">
        <v>45319</v>
      </c>
      <c r="C82" t="s">
        <v>42</v>
      </c>
      <c r="D82" t="s">
        <v>92</v>
      </c>
      <c r="E82">
        <v>5</v>
      </c>
      <c r="F82">
        <v>4573.6899999999996</v>
      </c>
      <c r="G82" s="18">
        <v>45345</v>
      </c>
      <c r="H82" s="18">
        <v>45345</v>
      </c>
      <c r="I82">
        <v>4</v>
      </c>
      <c r="J82">
        <v>22868.45</v>
      </c>
      <c r="K82">
        <f>IF(tblPO[[#This Row],[Actual_Delivery_Date]]&lt;=tblPO[[#This Row],[Expected_Delivery_Date]],1,0)</f>
        <v>1</v>
      </c>
      <c r="L82">
        <f>IF(tblPO[[#This Row],[Actual_Delivery_Date]]&gt;tblPO[[#This Row],[Expected_Delivery_Date]],1,0)</f>
        <v>0</v>
      </c>
      <c r="M82">
        <f>tblPO[[#This Row],[Actual_Delivery_Date]]-tblPO[[#This Row],[PO_Date]]</f>
        <v>26</v>
      </c>
    </row>
    <row r="83" spans="1:13" x14ac:dyDescent="0.3">
      <c r="A83" t="s">
        <v>2175</v>
      </c>
      <c r="B83" s="18">
        <v>45294</v>
      </c>
      <c r="C83" t="s">
        <v>68</v>
      </c>
      <c r="D83" t="s">
        <v>149</v>
      </c>
      <c r="E83">
        <v>208</v>
      </c>
      <c r="F83">
        <v>56.86</v>
      </c>
      <c r="G83" s="18">
        <v>45312</v>
      </c>
      <c r="H83" s="18">
        <v>45315</v>
      </c>
      <c r="I83">
        <v>208</v>
      </c>
      <c r="J83">
        <v>11826.88</v>
      </c>
      <c r="K83">
        <f>IF(tblPO[[#This Row],[Actual_Delivery_Date]]&lt;=tblPO[[#This Row],[Expected_Delivery_Date]],1,0)</f>
        <v>0</v>
      </c>
      <c r="L83">
        <f>IF(tblPO[[#This Row],[Actual_Delivery_Date]]&gt;tblPO[[#This Row],[Expected_Delivery_Date]],1,0)</f>
        <v>1</v>
      </c>
      <c r="M83">
        <f>tblPO[[#This Row],[Actual_Delivery_Date]]-tblPO[[#This Row],[PO_Date]]</f>
        <v>21</v>
      </c>
    </row>
    <row r="84" spans="1:13" x14ac:dyDescent="0.3">
      <c r="A84" t="s">
        <v>2174</v>
      </c>
      <c r="B84" s="18">
        <v>45319</v>
      </c>
      <c r="C84" t="s">
        <v>48</v>
      </c>
      <c r="D84" t="s">
        <v>154</v>
      </c>
      <c r="E84">
        <v>132</v>
      </c>
      <c r="F84">
        <v>87.68</v>
      </c>
      <c r="G84" s="18">
        <v>45341</v>
      </c>
      <c r="H84" s="18">
        <v>45341</v>
      </c>
      <c r="I84">
        <v>132</v>
      </c>
      <c r="J84">
        <v>11573.76</v>
      </c>
      <c r="K84">
        <f>IF(tblPO[[#This Row],[Actual_Delivery_Date]]&lt;=tblPO[[#This Row],[Expected_Delivery_Date]],1,0)</f>
        <v>1</v>
      </c>
      <c r="L84">
        <f>IF(tblPO[[#This Row],[Actual_Delivery_Date]]&gt;tblPO[[#This Row],[Expected_Delivery_Date]],1,0)</f>
        <v>0</v>
      </c>
      <c r="M84">
        <f>tblPO[[#This Row],[Actual_Delivery_Date]]-tblPO[[#This Row],[PO_Date]]</f>
        <v>22</v>
      </c>
    </row>
    <row r="85" spans="1:13" x14ac:dyDescent="0.3">
      <c r="A85" t="s">
        <v>2173</v>
      </c>
      <c r="B85" s="18">
        <v>45311</v>
      </c>
      <c r="C85" t="s">
        <v>47</v>
      </c>
      <c r="D85" t="s">
        <v>221</v>
      </c>
      <c r="E85">
        <v>3</v>
      </c>
      <c r="F85">
        <v>1606.47</v>
      </c>
      <c r="G85" s="18">
        <v>45316</v>
      </c>
      <c r="H85" s="18">
        <v>45315</v>
      </c>
      <c r="I85">
        <v>3</v>
      </c>
      <c r="J85">
        <v>4819.41</v>
      </c>
      <c r="K85">
        <f>IF(tblPO[[#This Row],[Actual_Delivery_Date]]&lt;=tblPO[[#This Row],[Expected_Delivery_Date]],1,0)</f>
        <v>1</v>
      </c>
      <c r="L85">
        <f>IF(tblPO[[#This Row],[Actual_Delivery_Date]]&gt;tblPO[[#This Row],[Expected_Delivery_Date]],1,0)</f>
        <v>0</v>
      </c>
      <c r="M85">
        <f>tblPO[[#This Row],[Actual_Delivery_Date]]-tblPO[[#This Row],[PO_Date]]</f>
        <v>4</v>
      </c>
    </row>
    <row r="86" spans="1:13" x14ac:dyDescent="0.3">
      <c r="A86" t="s">
        <v>2172</v>
      </c>
      <c r="B86" s="18">
        <v>45316</v>
      </c>
      <c r="C86" t="s">
        <v>53</v>
      </c>
      <c r="D86" t="s">
        <v>88</v>
      </c>
      <c r="E86">
        <v>2</v>
      </c>
      <c r="F86">
        <v>17240.88</v>
      </c>
      <c r="G86" s="18">
        <v>45331</v>
      </c>
      <c r="H86" s="18">
        <v>45330</v>
      </c>
      <c r="I86">
        <v>2</v>
      </c>
      <c r="J86">
        <v>34481.760000000002</v>
      </c>
      <c r="K86">
        <f>IF(tblPO[[#This Row],[Actual_Delivery_Date]]&lt;=tblPO[[#This Row],[Expected_Delivery_Date]],1,0)</f>
        <v>1</v>
      </c>
      <c r="L86">
        <f>IF(tblPO[[#This Row],[Actual_Delivery_Date]]&gt;tblPO[[#This Row],[Expected_Delivery_Date]],1,0)</f>
        <v>0</v>
      </c>
      <c r="M86">
        <f>tblPO[[#This Row],[Actual_Delivery_Date]]-tblPO[[#This Row],[PO_Date]]</f>
        <v>14</v>
      </c>
    </row>
    <row r="87" spans="1:13" x14ac:dyDescent="0.3">
      <c r="A87" t="s">
        <v>2171</v>
      </c>
      <c r="B87" s="18">
        <v>45301</v>
      </c>
      <c r="C87" t="s">
        <v>38</v>
      </c>
      <c r="D87" t="s">
        <v>249</v>
      </c>
      <c r="E87">
        <v>107</v>
      </c>
      <c r="F87">
        <v>70.989999999999995</v>
      </c>
      <c r="G87" s="18">
        <v>45315</v>
      </c>
      <c r="H87" s="18">
        <v>45313</v>
      </c>
      <c r="I87">
        <v>107</v>
      </c>
      <c r="J87">
        <v>7595.93</v>
      </c>
      <c r="K87">
        <f>IF(tblPO[[#This Row],[Actual_Delivery_Date]]&lt;=tblPO[[#This Row],[Expected_Delivery_Date]],1,0)</f>
        <v>1</v>
      </c>
      <c r="L87">
        <f>IF(tblPO[[#This Row],[Actual_Delivery_Date]]&gt;tblPO[[#This Row],[Expected_Delivery_Date]],1,0)</f>
        <v>0</v>
      </c>
      <c r="M87">
        <f>tblPO[[#This Row],[Actual_Delivery_Date]]-tblPO[[#This Row],[PO_Date]]</f>
        <v>12</v>
      </c>
    </row>
    <row r="88" spans="1:13" x14ac:dyDescent="0.3">
      <c r="A88" t="s">
        <v>2170</v>
      </c>
      <c r="B88" s="18">
        <v>45297</v>
      </c>
      <c r="C88" t="s">
        <v>48</v>
      </c>
      <c r="D88" t="s">
        <v>164</v>
      </c>
      <c r="E88">
        <v>56</v>
      </c>
      <c r="F88">
        <v>163.36000000000001</v>
      </c>
      <c r="G88" s="18">
        <v>45314</v>
      </c>
      <c r="H88" s="18">
        <v>45314</v>
      </c>
      <c r="I88">
        <v>56</v>
      </c>
      <c r="J88">
        <v>9148.16</v>
      </c>
      <c r="K88">
        <f>IF(tblPO[[#This Row],[Actual_Delivery_Date]]&lt;=tblPO[[#This Row],[Expected_Delivery_Date]],1,0)</f>
        <v>1</v>
      </c>
      <c r="L88">
        <f>IF(tblPO[[#This Row],[Actual_Delivery_Date]]&gt;tblPO[[#This Row],[Expected_Delivery_Date]],1,0)</f>
        <v>0</v>
      </c>
      <c r="M88">
        <f>tblPO[[#This Row],[Actual_Delivery_Date]]-tblPO[[#This Row],[PO_Date]]</f>
        <v>17</v>
      </c>
    </row>
    <row r="89" spans="1:13" x14ac:dyDescent="0.3">
      <c r="A89" t="s">
        <v>2169</v>
      </c>
      <c r="B89" s="18">
        <v>45296</v>
      </c>
      <c r="C89" t="s">
        <v>46</v>
      </c>
      <c r="D89" t="s">
        <v>104</v>
      </c>
      <c r="E89">
        <v>159</v>
      </c>
      <c r="F89">
        <v>474.91</v>
      </c>
      <c r="G89" s="18">
        <v>45315</v>
      </c>
      <c r="H89" s="18">
        <v>45314</v>
      </c>
      <c r="I89">
        <v>159</v>
      </c>
      <c r="J89">
        <v>75510.69</v>
      </c>
      <c r="K89">
        <f>IF(tblPO[[#This Row],[Actual_Delivery_Date]]&lt;=tblPO[[#This Row],[Expected_Delivery_Date]],1,0)</f>
        <v>1</v>
      </c>
      <c r="L89">
        <f>IF(tblPO[[#This Row],[Actual_Delivery_Date]]&gt;tblPO[[#This Row],[Expected_Delivery_Date]],1,0)</f>
        <v>0</v>
      </c>
      <c r="M89">
        <f>tblPO[[#This Row],[Actual_Delivery_Date]]-tblPO[[#This Row],[PO_Date]]</f>
        <v>18</v>
      </c>
    </row>
    <row r="90" spans="1:13" x14ac:dyDescent="0.3">
      <c r="A90" t="s">
        <v>2168</v>
      </c>
      <c r="B90" s="18">
        <v>45320</v>
      </c>
      <c r="C90" t="s">
        <v>59</v>
      </c>
      <c r="D90" t="s">
        <v>90</v>
      </c>
      <c r="E90">
        <v>8</v>
      </c>
      <c r="F90">
        <v>20175.79</v>
      </c>
      <c r="G90" s="18">
        <v>45332</v>
      </c>
      <c r="H90" s="18">
        <v>45334</v>
      </c>
      <c r="I90">
        <v>7</v>
      </c>
      <c r="J90">
        <v>161406.32</v>
      </c>
      <c r="K90">
        <f>IF(tblPO[[#This Row],[Actual_Delivery_Date]]&lt;=tblPO[[#This Row],[Expected_Delivery_Date]],1,0)</f>
        <v>0</v>
      </c>
      <c r="L90">
        <f>IF(tblPO[[#This Row],[Actual_Delivery_Date]]&gt;tblPO[[#This Row],[Expected_Delivery_Date]],1,0)</f>
        <v>1</v>
      </c>
      <c r="M90">
        <f>tblPO[[#This Row],[Actual_Delivery_Date]]-tblPO[[#This Row],[PO_Date]]</f>
        <v>14</v>
      </c>
    </row>
    <row r="91" spans="1:13" x14ac:dyDescent="0.3">
      <c r="A91" t="s">
        <v>2167</v>
      </c>
      <c r="B91" s="18">
        <v>45314</v>
      </c>
      <c r="C91" t="s">
        <v>39</v>
      </c>
      <c r="D91" t="s">
        <v>158</v>
      </c>
      <c r="E91">
        <v>118</v>
      </c>
      <c r="F91">
        <v>127.71</v>
      </c>
      <c r="G91" s="18">
        <v>45334</v>
      </c>
      <c r="H91" s="18">
        <v>45333</v>
      </c>
      <c r="I91">
        <v>118</v>
      </c>
      <c r="J91">
        <v>15069.78</v>
      </c>
      <c r="K91">
        <f>IF(tblPO[[#This Row],[Actual_Delivery_Date]]&lt;=tblPO[[#This Row],[Expected_Delivery_Date]],1,0)</f>
        <v>1</v>
      </c>
      <c r="L91">
        <f>IF(tblPO[[#This Row],[Actual_Delivery_Date]]&gt;tblPO[[#This Row],[Expected_Delivery_Date]],1,0)</f>
        <v>0</v>
      </c>
      <c r="M91">
        <f>tblPO[[#This Row],[Actual_Delivery_Date]]-tblPO[[#This Row],[PO_Date]]</f>
        <v>19</v>
      </c>
    </row>
    <row r="92" spans="1:13" x14ac:dyDescent="0.3">
      <c r="A92" t="s">
        <v>2166</v>
      </c>
      <c r="B92" s="18">
        <v>45299</v>
      </c>
      <c r="C92" t="s">
        <v>67</v>
      </c>
      <c r="D92" t="s">
        <v>98</v>
      </c>
      <c r="E92">
        <v>5</v>
      </c>
      <c r="F92">
        <v>9274.9699999999993</v>
      </c>
      <c r="G92" s="18">
        <v>45323</v>
      </c>
      <c r="H92" s="18">
        <v>45322</v>
      </c>
      <c r="I92">
        <v>5</v>
      </c>
      <c r="J92">
        <v>46374.85</v>
      </c>
      <c r="K92">
        <f>IF(tblPO[[#This Row],[Actual_Delivery_Date]]&lt;=tblPO[[#This Row],[Expected_Delivery_Date]],1,0)</f>
        <v>1</v>
      </c>
      <c r="L92">
        <f>IF(tblPO[[#This Row],[Actual_Delivery_Date]]&gt;tblPO[[#This Row],[Expected_Delivery_Date]],1,0)</f>
        <v>0</v>
      </c>
      <c r="M92">
        <f>tblPO[[#This Row],[Actual_Delivery_Date]]-tblPO[[#This Row],[PO_Date]]</f>
        <v>23</v>
      </c>
    </row>
    <row r="93" spans="1:13" x14ac:dyDescent="0.3">
      <c r="A93" t="s">
        <v>2165</v>
      </c>
      <c r="B93" s="18">
        <v>45304</v>
      </c>
      <c r="C93" t="s">
        <v>38</v>
      </c>
      <c r="D93" t="s">
        <v>233</v>
      </c>
      <c r="E93">
        <v>178</v>
      </c>
      <c r="F93">
        <v>201.97</v>
      </c>
      <c r="G93" s="18">
        <v>45315</v>
      </c>
      <c r="H93" s="18">
        <v>45312</v>
      </c>
      <c r="I93">
        <v>178</v>
      </c>
      <c r="J93">
        <v>35950.660000000003</v>
      </c>
      <c r="K93">
        <f>IF(tblPO[[#This Row],[Actual_Delivery_Date]]&lt;=tblPO[[#This Row],[Expected_Delivery_Date]],1,0)</f>
        <v>1</v>
      </c>
      <c r="L93">
        <f>IF(tblPO[[#This Row],[Actual_Delivery_Date]]&gt;tblPO[[#This Row],[Expected_Delivery_Date]],1,0)</f>
        <v>0</v>
      </c>
      <c r="M93">
        <f>tblPO[[#This Row],[Actual_Delivery_Date]]-tblPO[[#This Row],[PO_Date]]</f>
        <v>8</v>
      </c>
    </row>
    <row r="94" spans="1:13" x14ac:dyDescent="0.3">
      <c r="A94" t="s">
        <v>2164</v>
      </c>
      <c r="B94" s="18">
        <v>45316</v>
      </c>
      <c r="C94" t="s">
        <v>40</v>
      </c>
      <c r="D94" t="s">
        <v>119</v>
      </c>
      <c r="E94">
        <v>11</v>
      </c>
      <c r="F94">
        <v>8922.66</v>
      </c>
      <c r="G94" s="18">
        <v>45326</v>
      </c>
      <c r="H94" s="18">
        <v>45325</v>
      </c>
      <c r="I94">
        <v>11</v>
      </c>
      <c r="J94">
        <v>98149.26</v>
      </c>
      <c r="K94">
        <f>IF(tblPO[[#This Row],[Actual_Delivery_Date]]&lt;=tblPO[[#This Row],[Expected_Delivery_Date]],1,0)</f>
        <v>1</v>
      </c>
      <c r="L94">
        <f>IF(tblPO[[#This Row],[Actual_Delivery_Date]]&gt;tblPO[[#This Row],[Expected_Delivery_Date]],1,0)</f>
        <v>0</v>
      </c>
      <c r="M94">
        <f>tblPO[[#This Row],[Actual_Delivery_Date]]-tblPO[[#This Row],[PO_Date]]</f>
        <v>9</v>
      </c>
    </row>
    <row r="95" spans="1:13" x14ac:dyDescent="0.3">
      <c r="A95" t="s">
        <v>2163</v>
      </c>
      <c r="B95" s="18">
        <v>45316</v>
      </c>
      <c r="C95" t="s">
        <v>48</v>
      </c>
      <c r="D95" t="s">
        <v>170</v>
      </c>
      <c r="E95">
        <v>744</v>
      </c>
      <c r="F95">
        <v>102.38</v>
      </c>
      <c r="G95" s="18">
        <v>45332</v>
      </c>
      <c r="H95" s="18">
        <v>45329</v>
      </c>
      <c r="I95">
        <v>744</v>
      </c>
      <c r="J95">
        <v>76170.720000000001</v>
      </c>
      <c r="K95">
        <f>IF(tblPO[[#This Row],[Actual_Delivery_Date]]&lt;=tblPO[[#This Row],[Expected_Delivery_Date]],1,0)</f>
        <v>1</v>
      </c>
      <c r="L95">
        <f>IF(tblPO[[#This Row],[Actual_Delivery_Date]]&gt;tblPO[[#This Row],[Expected_Delivery_Date]],1,0)</f>
        <v>0</v>
      </c>
      <c r="M95">
        <f>tblPO[[#This Row],[Actual_Delivery_Date]]-tblPO[[#This Row],[PO_Date]]</f>
        <v>13</v>
      </c>
    </row>
    <row r="96" spans="1:13" x14ac:dyDescent="0.3">
      <c r="A96" t="s">
        <v>2162</v>
      </c>
      <c r="B96" s="18">
        <v>45315</v>
      </c>
      <c r="C96" t="s">
        <v>51</v>
      </c>
      <c r="D96" t="s">
        <v>162</v>
      </c>
      <c r="E96">
        <v>423</v>
      </c>
      <c r="F96">
        <v>31.09</v>
      </c>
      <c r="G96" s="18">
        <v>45322</v>
      </c>
      <c r="H96" s="18">
        <v>45321</v>
      </c>
      <c r="I96">
        <v>423</v>
      </c>
      <c r="J96">
        <v>13151.07</v>
      </c>
      <c r="K96">
        <f>IF(tblPO[[#This Row],[Actual_Delivery_Date]]&lt;=tblPO[[#This Row],[Expected_Delivery_Date]],1,0)</f>
        <v>1</v>
      </c>
      <c r="L96">
        <f>IF(tblPO[[#This Row],[Actual_Delivery_Date]]&gt;tblPO[[#This Row],[Expected_Delivery_Date]],1,0)</f>
        <v>0</v>
      </c>
      <c r="M96">
        <f>tblPO[[#This Row],[Actual_Delivery_Date]]-tblPO[[#This Row],[PO_Date]]</f>
        <v>6</v>
      </c>
    </row>
    <row r="97" spans="1:13" x14ac:dyDescent="0.3">
      <c r="A97" t="s">
        <v>2161</v>
      </c>
      <c r="B97" s="18">
        <v>45317</v>
      </c>
      <c r="C97" t="s">
        <v>41</v>
      </c>
      <c r="D97" t="s">
        <v>197</v>
      </c>
      <c r="E97">
        <v>43</v>
      </c>
      <c r="F97">
        <v>250.92</v>
      </c>
      <c r="G97" s="18">
        <v>45331</v>
      </c>
      <c r="H97" s="18">
        <v>45330</v>
      </c>
      <c r="I97">
        <v>43</v>
      </c>
      <c r="J97">
        <v>10789.56</v>
      </c>
      <c r="K97">
        <f>IF(tblPO[[#This Row],[Actual_Delivery_Date]]&lt;=tblPO[[#This Row],[Expected_Delivery_Date]],1,0)</f>
        <v>1</v>
      </c>
      <c r="L97">
        <f>IF(tblPO[[#This Row],[Actual_Delivery_Date]]&gt;tblPO[[#This Row],[Expected_Delivery_Date]],1,0)</f>
        <v>0</v>
      </c>
      <c r="M97">
        <f>tblPO[[#This Row],[Actual_Delivery_Date]]-tblPO[[#This Row],[PO_Date]]</f>
        <v>13</v>
      </c>
    </row>
    <row r="98" spans="1:13" x14ac:dyDescent="0.3">
      <c r="A98" t="s">
        <v>2160</v>
      </c>
      <c r="B98" s="18">
        <v>45322</v>
      </c>
      <c r="C98" t="s">
        <v>39</v>
      </c>
      <c r="D98" t="s">
        <v>168</v>
      </c>
      <c r="E98">
        <v>543</v>
      </c>
      <c r="F98">
        <v>79.239999999999995</v>
      </c>
      <c r="G98" s="18">
        <v>45343</v>
      </c>
      <c r="H98" s="18">
        <v>45342</v>
      </c>
      <c r="I98">
        <v>543</v>
      </c>
      <c r="J98">
        <v>43027.32</v>
      </c>
      <c r="K98">
        <f>IF(tblPO[[#This Row],[Actual_Delivery_Date]]&lt;=tblPO[[#This Row],[Expected_Delivery_Date]],1,0)</f>
        <v>1</v>
      </c>
      <c r="L98">
        <f>IF(tblPO[[#This Row],[Actual_Delivery_Date]]&gt;tblPO[[#This Row],[Expected_Delivery_Date]],1,0)</f>
        <v>0</v>
      </c>
      <c r="M98">
        <f>tblPO[[#This Row],[Actual_Delivery_Date]]-tblPO[[#This Row],[PO_Date]]</f>
        <v>20</v>
      </c>
    </row>
    <row r="99" spans="1:13" x14ac:dyDescent="0.3">
      <c r="A99" t="s">
        <v>2159</v>
      </c>
      <c r="B99" s="18">
        <v>45316</v>
      </c>
      <c r="C99" t="s">
        <v>61</v>
      </c>
      <c r="D99" t="s">
        <v>223</v>
      </c>
      <c r="E99">
        <v>46</v>
      </c>
      <c r="F99">
        <v>150.58000000000001</v>
      </c>
      <c r="G99" s="18">
        <v>45326</v>
      </c>
      <c r="H99" s="18">
        <v>45330</v>
      </c>
      <c r="I99">
        <v>46</v>
      </c>
      <c r="J99">
        <v>6926.68</v>
      </c>
      <c r="K99">
        <f>IF(tblPO[[#This Row],[Actual_Delivery_Date]]&lt;=tblPO[[#This Row],[Expected_Delivery_Date]],1,0)</f>
        <v>0</v>
      </c>
      <c r="L99">
        <f>IF(tblPO[[#This Row],[Actual_Delivery_Date]]&gt;tblPO[[#This Row],[Expected_Delivery_Date]],1,0)</f>
        <v>1</v>
      </c>
      <c r="M99">
        <f>tblPO[[#This Row],[Actual_Delivery_Date]]-tblPO[[#This Row],[PO_Date]]</f>
        <v>14</v>
      </c>
    </row>
    <row r="100" spans="1:13" x14ac:dyDescent="0.3">
      <c r="A100" t="s">
        <v>2158</v>
      </c>
      <c r="B100" s="18">
        <v>45317</v>
      </c>
      <c r="C100" t="s">
        <v>41</v>
      </c>
      <c r="D100" t="s">
        <v>183</v>
      </c>
      <c r="E100">
        <v>142</v>
      </c>
      <c r="F100">
        <v>11.09</v>
      </c>
      <c r="G100" s="18">
        <v>45332</v>
      </c>
      <c r="H100" s="18">
        <v>45329</v>
      </c>
      <c r="I100">
        <v>142</v>
      </c>
      <c r="J100">
        <v>1574.78</v>
      </c>
      <c r="K100">
        <f>IF(tblPO[[#This Row],[Actual_Delivery_Date]]&lt;=tblPO[[#This Row],[Expected_Delivery_Date]],1,0)</f>
        <v>1</v>
      </c>
      <c r="L100">
        <f>IF(tblPO[[#This Row],[Actual_Delivery_Date]]&gt;tblPO[[#This Row],[Expected_Delivery_Date]],1,0)</f>
        <v>0</v>
      </c>
      <c r="M100">
        <f>tblPO[[#This Row],[Actual_Delivery_Date]]-tblPO[[#This Row],[PO_Date]]</f>
        <v>12</v>
      </c>
    </row>
    <row r="101" spans="1:13" x14ac:dyDescent="0.3">
      <c r="A101" t="s">
        <v>2157</v>
      </c>
      <c r="B101" s="18">
        <v>45310</v>
      </c>
      <c r="C101" t="s">
        <v>48</v>
      </c>
      <c r="D101" t="s">
        <v>156</v>
      </c>
      <c r="E101">
        <v>318</v>
      </c>
      <c r="F101">
        <v>72.92</v>
      </c>
      <c r="G101" s="18">
        <v>45334</v>
      </c>
      <c r="H101" s="18">
        <v>45333</v>
      </c>
      <c r="I101">
        <v>318</v>
      </c>
      <c r="J101">
        <v>23188.560000000001</v>
      </c>
      <c r="K101">
        <f>IF(tblPO[[#This Row],[Actual_Delivery_Date]]&lt;=tblPO[[#This Row],[Expected_Delivery_Date]],1,0)</f>
        <v>1</v>
      </c>
      <c r="L101">
        <f>IF(tblPO[[#This Row],[Actual_Delivery_Date]]&gt;tblPO[[#This Row],[Expected_Delivery_Date]],1,0)</f>
        <v>0</v>
      </c>
      <c r="M101">
        <f>tblPO[[#This Row],[Actual_Delivery_Date]]-tblPO[[#This Row],[PO_Date]]</f>
        <v>23</v>
      </c>
    </row>
    <row r="102" spans="1:13" x14ac:dyDescent="0.3">
      <c r="A102" t="s">
        <v>2156</v>
      </c>
      <c r="B102" s="18">
        <v>45320</v>
      </c>
      <c r="C102" t="s">
        <v>49</v>
      </c>
      <c r="D102" t="s">
        <v>203</v>
      </c>
      <c r="E102">
        <v>168</v>
      </c>
      <c r="F102">
        <v>333.64</v>
      </c>
      <c r="G102" s="18">
        <v>45333</v>
      </c>
      <c r="H102" s="18">
        <v>45335</v>
      </c>
      <c r="I102">
        <v>168</v>
      </c>
      <c r="J102">
        <v>56051.519999999997</v>
      </c>
      <c r="K102">
        <f>IF(tblPO[[#This Row],[Actual_Delivery_Date]]&lt;=tblPO[[#This Row],[Expected_Delivery_Date]],1,0)</f>
        <v>0</v>
      </c>
      <c r="L102">
        <f>IF(tblPO[[#This Row],[Actual_Delivery_Date]]&gt;tblPO[[#This Row],[Expected_Delivery_Date]],1,0)</f>
        <v>1</v>
      </c>
      <c r="M102">
        <f>tblPO[[#This Row],[Actual_Delivery_Date]]-tblPO[[#This Row],[PO_Date]]</f>
        <v>15</v>
      </c>
    </row>
    <row r="103" spans="1:13" x14ac:dyDescent="0.3">
      <c r="A103" t="s">
        <v>2155</v>
      </c>
      <c r="B103" s="18">
        <v>45301</v>
      </c>
      <c r="C103" t="s">
        <v>44</v>
      </c>
      <c r="D103" t="s">
        <v>188</v>
      </c>
      <c r="E103">
        <v>767</v>
      </c>
      <c r="F103">
        <v>31.97</v>
      </c>
      <c r="G103" s="18">
        <v>45326</v>
      </c>
      <c r="H103" s="18">
        <v>45323</v>
      </c>
      <c r="I103">
        <v>767</v>
      </c>
      <c r="J103">
        <v>24520.99</v>
      </c>
      <c r="K103">
        <f>IF(tblPO[[#This Row],[Actual_Delivery_Date]]&lt;=tblPO[[#This Row],[Expected_Delivery_Date]],1,0)</f>
        <v>1</v>
      </c>
      <c r="L103">
        <f>IF(tblPO[[#This Row],[Actual_Delivery_Date]]&gt;tblPO[[#This Row],[Expected_Delivery_Date]],1,0)</f>
        <v>0</v>
      </c>
      <c r="M103">
        <f>tblPO[[#This Row],[Actual_Delivery_Date]]-tblPO[[#This Row],[PO_Date]]</f>
        <v>22</v>
      </c>
    </row>
    <row r="104" spans="1:13" x14ac:dyDescent="0.3">
      <c r="A104" t="s">
        <v>2154</v>
      </c>
      <c r="B104" s="18">
        <v>45295</v>
      </c>
      <c r="C104" t="s">
        <v>48</v>
      </c>
      <c r="D104" t="s">
        <v>168</v>
      </c>
      <c r="E104">
        <v>168</v>
      </c>
      <c r="F104">
        <v>87.85</v>
      </c>
      <c r="G104" s="18">
        <v>45314</v>
      </c>
      <c r="H104" s="18">
        <v>45312</v>
      </c>
      <c r="I104">
        <v>168</v>
      </c>
      <c r="J104">
        <v>14758.8</v>
      </c>
      <c r="K104">
        <f>IF(tblPO[[#This Row],[Actual_Delivery_Date]]&lt;=tblPO[[#This Row],[Expected_Delivery_Date]],1,0)</f>
        <v>1</v>
      </c>
      <c r="L104">
        <f>IF(tblPO[[#This Row],[Actual_Delivery_Date]]&gt;tblPO[[#This Row],[Expected_Delivery_Date]],1,0)</f>
        <v>0</v>
      </c>
      <c r="M104">
        <f>tblPO[[#This Row],[Actual_Delivery_Date]]-tblPO[[#This Row],[PO_Date]]</f>
        <v>17</v>
      </c>
    </row>
    <row r="105" spans="1:13" x14ac:dyDescent="0.3">
      <c r="A105" t="s">
        <v>2153</v>
      </c>
      <c r="B105" s="18">
        <v>45310</v>
      </c>
      <c r="C105" t="s">
        <v>46</v>
      </c>
      <c r="D105" t="s">
        <v>100</v>
      </c>
      <c r="E105">
        <v>7</v>
      </c>
      <c r="F105">
        <v>57017.19</v>
      </c>
      <c r="G105" s="18">
        <v>45326</v>
      </c>
      <c r="H105" s="18">
        <v>45323</v>
      </c>
      <c r="I105">
        <v>7</v>
      </c>
      <c r="J105">
        <v>399120.33</v>
      </c>
      <c r="K105">
        <f>IF(tblPO[[#This Row],[Actual_Delivery_Date]]&lt;=tblPO[[#This Row],[Expected_Delivery_Date]],1,0)</f>
        <v>1</v>
      </c>
      <c r="L105">
        <f>IF(tblPO[[#This Row],[Actual_Delivery_Date]]&gt;tblPO[[#This Row],[Expected_Delivery_Date]],1,0)</f>
        <v>0</v>
      </c>
      <c r="M105">
        <f>tblPO[[#This Row],[Actual_Delivery_Date]]-tblPO[[#This Row],[PO_Date]]</f>
        <v>13</v>
      </c>
    </row>
    <row r="106" spans="1:13" x14ac:dyDescent="0.3">
      <c r="A106" t="s">
        <v>2152</v>
      </c>
      <c r="B106" s="18">
        <v>45293</v>
      </c>
      <c r="C106" t="s">
        <v>64</v>
      </c>
      <c r="D106" t="s">
        <v>123</v>
      </c>
      <c r="E106">
        <v>10</v>
      </c>
      <c r="F106">
        <v>833.83</v>
      </c>
      <c r="G106" s="18">
        <v>45307</v>
      </c>
      <c r="H106" s="18">
        <v>45307</v>
      </c>
      <c r="I106">
        <v>10</v>
      </c>
      <c r="J106">
        <v>8338.2999999999993</v>
      </c>
      <c r="K106">
        <f>IF(tblPO[[#This Row],[Actual_Delivery_Date]]&lt;=tblPO[[#This Row],[Expected_Delivery_Date]],1,0)</f>
        <v>1</v>
      </c>
      <c r="L106">
        <f>IF(tblPO[[#This Row],[Actual_Delivery_Date]]&gt;tblPO[[#This Row],[Expected_Delivery_Date]],1,0)</f>
        <v>0</v>
      </c>
      <c r="M106">
        <f>tblPO[[#This Row],[Actual_Delivery_Date]]-tblPO[[#This Row],[PO_Date]]</f>
        <v>14</v>
      </c>
    </row>
    <row r="107" spans="1:13" x14ac:dyDescent="0.3">
      <c r="A107" t="s">
        <v>2151</v>
      </c>
      <c r="B107" s="18">
        <v>45303</v>
      </c>
      <c r="C107" t="s">
        <v>40</v>
      </c>
      <c r="D107" t="s">
        <v>115</v>
      </c>
      <c r="E107">
        <v>23</v>
      </c>
      <c r="F107">
        <v>3323.09</v>
      </c>
      <c r="G107" s="18">
        <v>45317</v>
      </c>
      <c r="H107" s="18">
        <v>45316</v>
      </c>
      <c r="I107">
        <v>23</v>
      </c>
      <c r="J107">
        <v>76431.070000000007</v>
      </c>
      <c r="K107">
        <f>IF(tblPO[[#This Row],[Actual_Delivery_Date]]&lt;=tblPO[[#This Row],[Expected_Delivery_Date]],1,0)</f>
        <v>1</v>
      </c>
      <c r="L107">
        <f>IF(tblPO[[#This Row],[Actual_Delivery_Date]]&gt;tblPO[[#This Row],[Expected_Delivery_Date]],1,0)</f>
        <v>0</v>
      </c>
      <c r="M107">
        <f>tblPO[[#This Row],[Actual_Delivery_Date]]-tblPO[[#This Row],[PO_Date]]</f>
        <v>13</v>
      </c>
    </row>
    <row r="108" spans="1:13" x14ac:dyDescent="0.3">
      <c r="A108" t="s">
        <v>2150</v>
      </c>
      <c r="B108" s="18">
        <v>45294</v>
      </c>
      <c r="C108" t="s">
        <v>52</v>
      </c>
      <c r="D108" t="s">
        <v>245</v>
      </c>
      <c r="E108">
        <v>16</v>
      </c>
      <c r="F108">
        <v>4220.34</v>
      </c>
      <c r="G108" s="18">
        <v>45303</v>
      </c>
      <c r="H108" s="18">
        <v>45300</v>
      </c>
      <c r="I108">
        <v>14</v>
      </c>
      <c r="J108">
        <v>67525.440000000002</v>
      </c>
      <c r="K108">
        <f>IF(tblPO[[#This Row],[Actual_Delivery_Date]]&lt;=tblPO[[#This Row],[Expected_Delivery_Date]],1,0)</f>
        <v>1</v>
      </c>
      <c r="L108">
        <f>IF(tblPO[[#This Row],[Actual_Delivery_Date]]&gt;tblPO[[#This Row],[Expected_Delivery_Date]],1,0)</f>
        <v>0</v>
      </c>
      <c r="M108">
        <f>tblPO[[#This Row],[Actual_Delivery_Date]]-tblPO[[#This Row],[PO_Date]]</f>
        <v>6</v>
      </c>
    </row>
    <row r="109" spans="1:13" x14ac:dyDescent="0.3">
      <c r="A109" t="s">
        <v>2149</v>
      </c>
      <c r="B109" s="18">
        <v>45294</v>
      </c>
      <c r="C109" t="s">
        <v>41</v>
      </c>
      <c r="D109" t="s">
        <v>205</v>
      </c>
      <c r="E109">
        <v>62</v>
      </c>
      <c r="F109">
        <v>423.5</v>
      </c>
      <c r="G109" s="18">
        <v>45303</v>
      </c>
      <c r="H109" s="18">
        <v>45301</v>
      </c>
      <c r="I109">
        <v>62</v>
      </c>
      <c r="J109">
        <v>26257</v>
      </c>
      <c r="K109">
        <f>IF(tblPO[[#This Row],[Actual_Delivery_Date]]&lt;=tblPO[[#This Row],[Expected_Delivery_Date]],1,0)</f>
        <v>1</v>
      </c>
      <c r="L109">
        <f>IF(tblPO[[#This Row],[Actual_Delivery_Date]]&gt;tblPO[[#This Row],[Expected_Delivery_Date]],1,0)</f>
        <v>0</v>
      </c>
      <c r="M109">
        <f>tblPO[[#This Row],[Actual_Delivery_Date]]-tblPO[[#This Row],[PO_Date]]</f>
        <v>7</v>
      </c>
    </row>
    <row r="110" spans="1:13" x14ac:dyDescent="0.3">
      <c r="A110" t="s">
        <v>2148</v>
      </c>
      <c r="B110" s="18">
        <v>45292</v>
      </c>
      <c r="C110" t="s">
        <v>43</v>
      </c>
      <c r="D110" t="s">
        <v>172</v>
      </c>
      <c r="E110">
        <v>660</v>
      </c>
      <c r="F110">
        <v>29.47</v>
      </c>
      <c r="G110" s="18">
        <v>45303</v>
      </c>
      <c r="H110" s="18">
        <v>45301</v>
      </c>
      <c r="I110">
        <v>660</v>
      </c>
      <c r="J110">
        <v>19450.2</v>
      </c>
      <c r="K110">
        <f>IF(tblPO[[#This Row],[Actual_Delivery_Date]]&lt;=tblPO[[#This Row],[Expected_Delivery_Date]],1,0)</f>
        <v>1</v>
      </c>
      <c r="L110">
        <f>IF(tblPO[[#This Row],[Actual_Delivery_Date]]&gt;tblPO[[#This Row],[Expected_Delivery_Date]],1,0)</f>
        <v>0</v>
      </c>
      <c r="M110">
        <f>tblPO[[#This Row],[Actual_Delivery_Date]]-tblPO[[#This Row],[PO_Date]]</f>
        <v>9</v>
      </c>
    </row>
    <row r="111" spans="1:13" x14ac:dyDescent="0.3">
      <c r="A111" t="s">
        <v>2147</v>
      </c>
      <c r="B111" s="18">
        <v>45295</v>
      </c>
      <c r="C111" t="s">
        <v>50</v>
      </c>
      <c r="D111" t="s">
        <v>125</v>
      </c>
      <c r="E111">
        <v>54</v>
      </c>
      <c r="F111">
        <v>949.67</v>
      </c>
      <c r="G111" s="18">
        <v>45298</v>
      </c>
      <c r="H111" s="18">
        <v>45297</v>
      </c>
      <c r="I111">
        <v>54</v>
      </c>
      <c r="J111">
        <v>51282.18</v>
      </c>
      <c r="K111">
        <f>IF(tblPO[[#This Row],[Actual_Delivery_Date]]&lt;=tblPO[[#This Row],[Expected_Delivery_Date]],1,0)</f>
        <v>1</v>
      </c>
      <c r="L111">
        <f>IF(tblPO[[#This Row],[Actual_Delivery_Date]]&gt;tblPO[[#This Row],[Expected_Delivery_Date]],1,0)</f>
        <v>0</v>
      </c>
      <c r="M111">
        <f>tblPO[[#This Row],[Actual_Delivery_Date]]-tblPO[[#This Row],[PO_Date]]</f>
        <v>2</v>
      </c>
    </row>
    <row r="112" spans="1:13" x14ac:dyDescent="0.3">
      <c r="A112" t="s">
        <v>2146</v>
      </c>
      <c r="B112" s="18">
        <v>45297</v>
      </c>
      <c r="C112" t="s">
        <v>42</v>
      </c>
      <c r="D112" t="s">
        <v>104</v>
      </c>
      <c r="E112">
        <v>14</v>
      </c>
      <c r="F112">
        <v>466.9</v>
      </c>
      <c r="G112" s="18">
        <v>45317</v>
      </c>
      <c r="H112" s="18">
        <v>45317</v>
      </c>
      <c r="I112">
        <v>14</v>
      </c>
      <c r="J112">
        <v>6536.6</v>
      </c>
      <c r="K112">
        <f>IF(tblPO[[#This Row],[Actual_Delivery_Date]]&lt;=tblPO[[#This Row],[Expected_Delivery_Date]],1,0)</f>
        <v>1</v>
      </c>
      <c r="L112">
        <f>IF(tblPO[[#This Row],[Actual_Delivery_Date]]&gt;tblPO[[#This Row],[Expected_Delivery_Date]],1,0)</f>
        <v>0</v>
      </c>
      <c r="M112">
        <f>tblPO[[#This Row],[Actual_Delivery_Date]]-tblPO[[#This Row],[PO_Date]]</f>
        <v>20</v>
      </c>
    </row>
    <row r="113" spans="1:13" x14ac:dyDescent="0.3">
      <c r="A113" t="s">
        <v>2145</v>
      </c>
      <c r="B113" s="18">
        <v>45316</v>
      </c>
      <c r="C113" t="s">
        <v>42</v>
      </c>
      <c r="D113" t="s">
        <v>88</v>
      </c>
      <c r="E113">
        <v>8</v>
      </c>
      <c r="F113">
        <v>18249.75</v>
      </c>
      <c r="G113" s="18">
        <v>45339</v>
      </c>
      <c r="H113" s="18">
        <v>45336</v>
      </c>
      <c r="I113">
        <v>8</v>
      </c>
      <c r="J113">
        <v>145998</v>
      </c>
      <c r="K113">
        <f>IF(tblPO[[#This Row],[Actual_Delivery_Date]]&lt;=tblPO[[#This Row],[Expected_Delivery_Date]],1,0)</f>
        <v>1</v>
      </c>
      <c r="L113">
        <f>IF(tblPO[[#This Row],[Actual_Delivery_Date]]&gt;tblPO[[#This Row],[Expected_Delivery_Date]],1,0)</f>
        <v>0</v>
      </c>
      <c r="M113">
        <f>tblPO[[#This Row],[Actual_Delivery_Date]]-tblPO[[#This Row],[PO_Date]]</f>
        <v>20</v>
      </c>
    </row>
    <row r="114" spans="1:13" x14ac:dyDescent="0.3">
      <c r="A114" t="s">
        <v>2144</v>
      </c>
      <c r="B114" s="18">
        <v>45315</v>
      </c>
      <c r="C114" t="s">
        <v>54</v>
      </c>
      <c r="D114" t="s">
        <v>203</v>
      </c>
      <c r="E114">
        <v>21</v>
      </c>
      <c r="F114">
        <v>306.95999999999998</v>
      </c>
      <c r="G114" s="18">
        <v>45327</v>
      </c>
      <c r="H114" s="18">
        <v>45324</v>
      </c>
      <c r="I114">
        <v>19</v>
      </c>
      <c r="J114">
        <v>6446.16</v>
      </c>
      <c r="K114">
        <f>IF(tblPO[[#This Row],[Actual_Delivery_Date]]&lt;=tblPO[[#This Row],[Expected_Delivery_Date]],1,0)</f>
        <v>1</v>
      </c>
      <c r="L114">
        <f>IF(tblPO[[#This Row],[Actual_Delivery_Date]]&gt;tblPO[[#This Row],[Expected_Delivery_Date]],1,0)</f>
        <v>0</v>
      </c>
      <c r="M114">
        <f>tblPO[[#This Row],[Actual_Delivery_Date]]-tblPO[[#This Row],[PO_Date]]</f>
        <v>9</v>
      </c>
    </row>
    <row r="115" spans="1:13" x14ac:dyDescent="0.3">
      <c r="A115" t="s">
        <v>2143</v>
      </c>
      <c r="B115" s="18">
        <v>45307</v>
      </c>
      <c r="C115" t="s">
        <v>38</v>
      </c>
      <c r="D115" t="s">
        <v>227</v>
      </c>
      <c r="E115">
        <v>5</v>
      </c>
      <c r="F115">
        <v>1242.6300000000001</v>
      </c>
      <c r="G115" s="18">
        <v>45324</v>
      </c>
      <c r="H115" s="18">
        <v>45321</v>
      </c>
      <c r="I115">
        <v>5</v>
      </c>
      <c r="J115">
        <v>6213.15</v>
      </c>
      <c r="K115">
        <f>IF(tblPO[[#This Row],[Actual_Delivery_Date]]&lt;=tblPO[[#This Row],[Expected_Delivery_Date]],1,0)</f>
        <v>1</v>
      </c>
      <c r="L115">
        <f>IF(tblPO[[#This Row],[Actual_Delivery_Date]]&gt;tblPO[[#This Row],[Expected_Delivery_Date]],1,0)</f>
        <v>0</v>
      </c>
      <c r="M115">
        <f>tblPO[[#This Row],[Actual_Delivery_Date]]-tblPO[[#This Row],[PO_Date]]</f>
        <v>14</v>
      </c>
    </row>
    <row r="116" spans="1:13" x14ac:dyDescent="0.3">
      <c r="A116" t="s">
        <v>2142</v>
      </c>
      <c r="B116" s="18">
        <v>45311</v>
      </c>
      <c r="C116" t="s">
        <v>45</v>
      </c>
      <c r="D116" t="s">
        <v>243</v>
      </c>
      <c r="E116">
        <v>80</v>
      </c>
      <c r="F116">
        <v>165.06</v>
      </c>
      <c r="G116" s="18">
        <v>45324</v>
      </c>
      <c r="H116" s="18">
        <v>45323</v>
      </c>
      <c r="I116">
        <v>80</v>
      </c>
      <c r="J116">
        <v>13204.8</v>
      </c>
      <c r="K116">
        <f>IF(tblPO[[#This Row],[Actual_Delivery_Date]]&lt;=tblPO[[#This Row],[Expected_Delivery_Date]],1,0)</f>
        <v>1</v>
      </c>
      <c r="L116">
        <f>IF(tblPO[[#This Row],[Actual_Delivery_Date]]&gt;tblPO[[#This Row],[Expected_Delivery_Date]],1,0)</f>
        <v>0</v>
      </c>
      <c r="M116">
        <f>tblPO[[#This Row],[Actual_Delivery_Date]]-tblPO[[#This Row],[PO_Date]]</f>
        <v>12</v>
      </c>
    </row>
    <row r="117" spans="1:13" x14ac:dyDescent="0.3">
      <c r="A117" t="s">
        <v>2141</v>
      </c>
      <c r="B117" s="18">
        <v>45295</v>
      </c>
      <c r="C117" t="s">
        <v>72</v>
      </c>
      <c r="D117" t="s">
        <v>212</v>
      </c>
      <c r="E117">
        <v>189</v>
      </c>
      <c r="F117">
        <v>216.38</v>
      </c>
      <c r="G117" s="18">
        <v>45304</v>
      </c>
      <c r="H117" s="18">
        <v>45302</v>
      </c>
      <c r="I117">
        <v>189</v>
      </c>
      <c r="J117">
        <v>40895.82</v>
      </c>
      <c r="K117">
        <f>IF(tblPO[[#This Row],[Actual_Delivery_Date]]&lt;=tblPO[[#This Row],[Expected_Delivery_Date]],1,0)</f>
        <v>1</v>
      </c>
      <c r="L117">
        <f>IF(tblPO[[#This Row],[Actual_Delivery_Date]]&gt;tblPO[[#This Row],[Expected_Delivery_Date]],1,0)</f>
        <v>0</v>
      </c>
      <c r="M117">
        <f>tblPO[[#This Row],[Actual_Delivery_Date]]-tblPO[[#This Row],[PO_Date]]</f>
        <v>7</v>
      </c>
    </row>
    <row r="118" spans="1:13" x14ac:dyDescent="0.3">
      <c r="A118" t="s">
        <v>2140</v>
      </c>
      <c r="B118" s="18">
        <v>45295</v>
      </c>
      <c r="C118" t="s">
        <v>72</v>
      </c>
      <c r="D118" t="s">
        <v>223</v>
      </c>
      <c r="E118">
        <v>196</v>
      </c>
      <c r="F118">
        <v>111.29</v>
      </c>
      <c r="G118" s="18">
        <v>45308</v>
      </c>
      <c r="H118" s="18">
        <v>45307</v>
      </c>
      <c r="I118">
        <v>196</v>
      </c>
      <c r="J118">
        <v>21812.84</v>
      </c>
      <c r="K118">
        <f>IF(tblPO[[#This Row],[Actual_Delivery_Date]]&lt;=tblPO[[#This Row],[Expected_Delivery_Date]],1,0)</f>
        <v>1</v>
      </c>
      <c r="L118">
        <f>IF(tblPO[[#This Row],[Actual_Delivery_Date]]&gt;tblPO[[#This Row],[Expected_Delivery_Date]],1,0)</f>
        <v>0</v>
      </c>
      <c r="M118">
        <f>tblPO[[#This Row],[Actual_Delivery_Date]]-tblPO[[#This Row],[PO_Date]]</f>
        <v>12</v>
      </c>
    </row>
    <row r="119" spans="1:13" x14ac:dyDescent="0.3">
      <c r="A119" t="s">
        <v>2139</v>
      </c>
      <c r="B119" s="18">
        <v>45294</v>
      </c>
      <c r="C119" t="s">
        <v>38</v>
      </c>
      <c r="D119" t="s">
        <v>243</v>
      </c>
      <c r="E119">
        <v>131</v>
      </c>
      <c r="F119">
        <v>182.69</v>
      </c>
      <c r="G119" s="18">
        <v>45299</v>
      </c>
      <c r="H119" s="18">
        <v>45296</v>
      </c>
      <c r="I119">
        <v>131</v>
      </c>
      <c r="J119">
        <v>23932.39</v>
      </c>
      <c r="K119">
        <f>IF(tblPO[[#This Row],[Actual_Delivery_Date]]&lt;=tblPO[[#This Row],[Expected_Delivery_Date]],1,0)</f>
        <v>1</v>
      </c>
      <c r="L119">
        <f>IF(tblPO[[#This Row],[Actual_Delivery_Date]]&gt;tblPO[[#This Row],[Expected_Delivery_Date]],1,0)</f>
        <v>0</v>
      </c>
      <c r="M119">
        <f>tblPO[[#This Row],[Actual_Delivery_Date]]-tblPO[[#This Row],[PO_Date]]</f>
        <v>2</v>
      </c>
    </row>
    <row r="120" spans="1:13" x14ac:dyDescent="0.3">
      <c r="A120" t="s">
        <v>2138</v>
      </c>
      <c r="B120" s="18">
        <v>45309</v>
      </c>
      <c r="C120" t="s">
        <v>40</v>
      </c>
      <c r="D120" t="s">
        <v>119</v>
      </c>
      <c r="E120">
        <v>6</v>
      </c>
      <c r="F120">
        <v>9095.5</v>
      </c>
      <c r="G120" s="18">
        <v>45313</v>
      </c>
      <c r="H120" s="18">
        <v>45312</v>
      </c>
      <c r="I120">
        <v>6</v>
      </c>
      <c r="J120">
        <v>54573</v>
      </c>
      <c r="K120">
        <f>IF(tblPO[[#This Row],[Actual_Delivery_Date]]&lt;=tblPO[[#This Row],[Expected_Delivery_Date]],1,0)</f>
        <v>1</v>
      </c>
      <c r="L120">
        <f>IF(tblPO[[#This Row],[Actual_Delivery_Date]]&gt;tblPO[[#This Row],[Expected_Delivery_Date]],1,0)</f>
        <v>0</v>
      </c>
      <c r="M120">
        <f>tblPO[[#This Row],[Actual_Delivery_Date]]-tblPO[[#This Row],[PO_Date]]</f>
        <v>3</v>
      </c>
    </row>
    <row r="121" spans="1:13" x14ac:dyDescent="0.3">
      <c r="A121" t="s">
        <v>2137</v>
      </c>
      <c r="B121" s="18">
        <v>45322</v>
      </c>
      <c r="C121" t="s">
        <v>41</v>
      </c>
      <c r="D121" t="s">
        <v>197</v>
      </c>
      <c r="E121">
        <v>180</v>
      </c>
      <c r="F121">
        <v>254.58</v>
      </c>
      <c r="G121" s="18">
        <v>45338</v>
      </c>
      <c r="H121" s="18">
        <v>45335</v>
      </c>
      <c r="I121">
        <v>180</v>
      </c>
      <c r="J121">
        <v>45824.4</v>
      </c>
      <c r="K121">
        <f>IF(tblPO[[#This Row],[Actual_Delivery_Date]]&lt;=tblPO[[#This Row],[Expected_Delivery_Date]],1,0)</f>
        <v>1</v>
      </c>
      <c r="L121">
        <f>IF(tblPO[[#This Row],[Actual_Delivery_Date]]&gt;tblPO[[#This Row],[Expected_Delivery_Date]],1,0)</f>
        <v>0</v>
      </c>
      <c r="M121">
        <f>tblPO[[#This Row],[Actual_Delivery_Date]]-tblPO[[#This Row],[PO_Date]]</f>
        <v>13</v>
      </c>
    </row>
    <row r="122" spans="1:13" x14ac:dyDescent="0.3">
      <c r="A122" t="s">
        <v>2136</v>
      </c>
      <c r="B122" s="18">
        <v>45310</v>
      </c>
      <c r="C122" t="s">
        <v>64</v>
      </c>
      <c r="D122" t="s">
        <v>123</v>
      </c>
      <c r="E122">
        <v>5</v>
      </c>
      <c r="F122">
        <v>827.4</v>
      </c>
      <c r="G122" s="18">
        <v>45319</v>
      </c>
      <c r="H122" s="18">
        <v>45319</v>
      </c>
      <c r="I122">
        <v>5</v>
      </c>
      <c r="J122">
        <v>4137</v>
      </c>
      <c r="K122">
        <f>IF(tblPO[[#This Row],[Actual_Delivery_Date]]&lt;=tblPO[[#This Row],[Expected_Delivery_Date]],1,0)</f>
        <v>1</v>
      </c>
      <c r="L122">
        <f>IF(tblPO[[#This Row],[Actual_Delivery_Date]]&gt;tblPO[[#This Row],[Expected_Delivery_Date]],1,0)</f>
        <v>0</v>
      </c>
      <c r="M122">
        <f>tblPO[[#This Row],[Actual_Delivery_Date]]-tblPO[[#This Row],[PO_Date]]</f>
        <v>9</v>
      </c>
    </row>
    <row r="123" spans="1:13" x14ac:dyDescent="0.3">
      <c r="A123" t="s">
        <v>2135</v>
      </c>
      <c r="B123" s="18">
        <v>45303</v>
      </c>
      <c r="C123" t="s">
        <v>60</v>
      </c>
      <c r="D123" t="s">
        <v>140</v>
      </c>
      <c r="E123">
        <v>152</v>
      </c>
      <c r="F123">
        <v>298.77</v>
      </c>
      <c r="G123" s="18">
        <v>45309</v>
      </c>
      <c r="H123" s="18">
        <v>45314</v>
      </c>
      <c r="I123">
        <v>152</v>
      </c>
      <c r="J123">
        <v>45413.04</v>
      </c>
      <c r="K123">
        <f>IF(tblPO[[#This Row],[Actual_Delivery_Date]]&lt;=tblPO[[#This Row],[Expected_Delivery_Date]],1,0)</f>
        <v>0</v>
      </c>
      <c r="L123">
        <f>IF(tblPO[[#This Row],[Actual_Delivery_Date]]&gt;tblPO[[#This Row],[Expected_Delivery_Date]],1,0)</f>
        <v>1</v>
      </c>
      <c r="M123">
        <f>tblPO[[#This Row],[Actual_Delivery_Date]]-tblPO[[#This Row],[PO_Date]]</f>
        <v>11</v>
      </c>
    </row>
    <row r="124" spans="1:13" x14ac:dyDescent="0.3">
      <c r="A124" t="s">
        <v>2134</v>
      </c>
      <c r="B124" s="18">
        <v>45311</v>
      </c>
      <c r="C124" t="s">
        <v>60</v>
      </c>
      <c r="D124" t="s">
        <v>130</v>
      </c>
      <c r="E124">
        <v>169</v>
      </c>
      <c r="F124">
        <v>281.14999999999998</v>
      </c>
      <c r="G124" s="18">
        <v>45314</v>
      </c>
      <c r="H124" s="18">
        <v>45313</v>
      </c>
      <c r="I124">
        <v>153</v>
      </c>
      <c r="J124">
        <v>47514.35</v>
      </c>
      <c r="K124">
        <f>IF(tblPO[[#This Row],[Actual_Delivery_Date]]&lt;=tblPO[[#This Row],[Expected_Delivery_Date]],1,0)</f>
        <v>1</v>
      </c>
      <c r="L124">
        <f>IF(tblPO[[#This Row],[Actual_Delivery_Date]]&gt;tblPO[[#This Row],[Expected_Delivery_Date]],1,0)</f>
        <v>0</v>
      </c>
      <c r="M124">
        <f>tblPO[[#This Row],[Actual_Delivery_Date]]-tblPO[[#This Row],[PO_Date]]</f>
        <v>2</v>
      </c>
    </row>
    <row r="125" spans="1:13" x14ac:dyDescent="0.3">
      <c r="A125" t="s">
        <v>2133</v>
      </c>
      <c r="B125" s="18">
        <v>45303</v>
      </c>
      <c r="C125" t="s">
        <v>43</v>
      </c>
      <c r="D125" t="s">
        <v>152</v>
      </c>
      <c r="E125">
        <v>397</v>
      </c>
      <c r="F125">
        <v>77.989999999999995</v>
      </c>
      <c r="G125" s="18">
        <v>45306</v>
      </c>
      <c r="H125" s="18">
        <v>45304</v>
      </c>
      <c r="I125">
        <v>397</v>
      </c>
      <c r="J125">
        <v>30962.03</v>
      </c>
      <c r="K125">
        <f>IF(tblPO[[#This Row],[Actual_Delivery_Date]]&lt;=tblPO[[#This Row],[Expected_Delivery_Date]],1,0)</f>
        <v>1</v>
      </c>
      <c r="L125">
        <f>IF(tblPO[[#This Row],[Actual_Delivery_Date]]&gt;tblPO[[#This Row],[Expected_Delivery_Date]],1,0)</f>
        <v>0</v>
      </c>
      <c r="M125">
        <f>tblPO[[#This Row],[Actual_Delivery_Date]]-tblPO[[#This Row],[PO_Date]]</f>
        <v>1</v>
      </c>
    </row>
    <row r="126" spans="1:13" x14ac:dyDescent="0.3">
      <c r="A126" t="s">
        <v>2132</v>
      </c>
      <c r="B126" s="18">
        <v>45312</v>
      </c>
      <c r="C126" t="s">
        <v>39</v>
      </c>
      <c r="D126" t="s">
        <v>164</v>
      </c>
      <c r="E126">
        <v>199</v>
      </c>
      <c r="F126">
        <v>142.41999999999999</v>
      </c>
      <c r="G126" s="18">
        <v>45324</v>
      </c>
      <c r="H126" s="18">
        <v>45322</v>
      </c>
      <c r="I126">
        <v>199</v>
      </c>
      <c r="J126">
        <v>28341.58</v>
      </c>
      <c r="K126">
        <f>IF(tblPO[[#This Row],[Actual_Delivery_Date]]&lt;=tblPO[[#This Row],[Expected_Delivery_Date]],1,0)</f>
        <v>1</v>
      </c>
      <c r="L126">
        <f>IF(tblPO[[#This Row],[Actual_Delivery_Date]]&gt;tblPO[[#This Row],[Expected_Delivery_Date]],1,0)</f>
        <v>0</v>
      </c>
      <c r="M126">
        <f>tblPO[[#This Row],[Actual_Delivery_Date]]-tblPO[[#This Row],[PO_Date]]</f>
        <v>10</v>
      </c>
    </row>
    <row r="127" spans="1:13" x14ac:dyDescent="0.3">
      <c r="A127" t="s">
        <v>2131</v>
      </c>
      <c r="B127" s="18">
        <v>45301</v>
      </c>
      <c r="C127" t="s">
        <v>57</v>
      </c>
      <c r="D127" t="s">
        <v>195</v>
      </c>
      <c r="E127">
        <v>104</v>
      </c>
      <c r="F127">
        <v>616.05999999999995</v>
      </c>
      <c r="G127" s="18">
        <v>45323</v>
      </c>
      <c r="H127" s="18">
        <v>45320</v>
      </c>
      <c r="I127">
        <v>104</v>
      </c>
      <c r="J127">
        <v>64070.239999999998</v>
      </c>
      <c r="K127">
        <f>IF(tblPO[[#This Row],[Actual_Delivery_Date]]&lt;=tblPO[[#This Row],[Expected_Delivery_Date]],1,0)</f>
        <v>1</v>
      </c>
      <c r="L127">
        <f>IF(tblPO[[#This Row],[Actual_Delivery_Date]]&gt;tblPO[[#This Row],[Expected_Delivery_Date]],1,0)</f>
        <v>0</v>
      </c>
      <c r="M127">
        <f>tblPO[[#This Row],[Actual_Delivery_Date]]-tblPO[[#This Row],[PO_Date]]</f>
        <v>19</v>
      </c>
    </row>
    <row r="128" spans="1:13" x14ac:dyDescent="0.3">
      <c r="A128" t="s">
        <v>2130</v>
      </c>
      <c r="B128" s="18">
        <v>45293</v>
      </c>
      <c r="C128" t="s">
        <v>52</v>
      </c>
      <c r="D128" t="s">
        <v>243</v>
      </c>
      <c r="E128">
        <v>168</v>
      </c>
      <c r="F128">
        <v>169.81</v>
      </c>
      <c r="G128" s="18">
        <v>45298</v>
      </c>
      <c r="H128" s="18">
        <v>45298</v>
      </c>
      <c r="I128">
        <v>168</v>
      </c>
      <c r="J128">
        <v>28528.080000000002</v>
      </c>
      <c r="K128">
        <f>IF(tblPO[[#This Row],[Actual_Delivery_Date]]&lt;=tblPO[[#This Row],[Expected_Delivery_Date]],1,0)</f>
        <v>1</v>
      </c>
      <c r="L128">
        <f>IF(tblPO[[#This Row],[Actual_Delivery_Date]]&gt;tblPO[[#This Row],[Expected_Delivery_Date]],1,0)</f>
        <v>0</v>
      </c>
      <c r="M128">
        <f>tblPO[[#This Row],[Actual_Delivery_Date]]-tblPO[[#This Row],[PO_Date]]</f>
        <v>5</v>
      </c>
    </row>
    <row r="129" spans="1:13" x14ac:dyDescent="0.3">
      <c r="A129" t="s">
        <v>2129</v>
      </c>
      <c r="B129" s="18">
        <v>45316</v>
      </c>
      <c r="C129" t="s">
        <v>49</v>
      </c>
      <c r="D129" t="s">
        <v>195</v>
      </c>
      <c r="E129">
        <v>65</v>
      </c>
      <c r="F129">
        <v>568.07000000000005</v>
      </c>
      <c r="G129" s="18">
        <v>45322</v>
      </c>
      <c r="H129" s="18">
        <v>45319</v>
      </c>
      <c r="I129">
        <v>65</v>
      </c>
      <c r="J129">
        <v>36924.550000000003</v>
      </c>
      <c r="K129">
        <f>IF(tblPO[[#This Row],[Actual_Delivery_Date]]&lt;=tblPO[[#This Row],[Expected_Delivery_Date]],1,0)</f>
        <v>1</v>
      </c>
      <c r="L129">
        <f>IF(tblPO[[#This Row],[Actual_Delivery_Date]]&gt;tblPO[[#This Row],[Expected_Delivery_Date]],1,0)</f>
        <v>0</v>
      </c>
      <c r="M129">
        <f>tblPO[[#This Row],[Actual_Delivery_Date]]-tblPO[[#This Row],[PO_Date]]</f>
        <v>3</v>
      </c>
    </row>
    <row r="130" spans="1:13" x14ac:dyDescent="0.3">
      <c r="A130" t="s">
        <v>2128</v>
      </c>
      <c r="B130" s="18">
        <v>45313</v>
      </c>
      <c r="C130" t="s">
        <v>70</v>
      </c>
      <c r="D130" t="s">
        <v>188</v>
      </c>
      <c r="E130">
        <v>589</v>
      </c>
      <c r="F130">
        <v>34.07</v>
      </c>
      <c r="G130" s="18">
        <v>45325</v>
      </c>
      <c r="H130" s="18">
        <v>45325</v>
      </c>
      <c r="I130">
        <v>589</v>
      </c>
      <c r="J130">
        <v>20067.23</v>
      </c>
      <c r="K130">
        <f>IF(tblPO[[#This Row],[Actual_Delivery_Date]]&lt;=tblPO[[#This Row],[Expected_Delivery_Date]],1,0)</f>
        <v>1</v>
      </c>
      <c r="L130">
        <f>IF(tblPO[[#This Row],[Actual_Delivery_Date]]&gt;tblPO[[#This Row],[Expected_Delivery_Date]],1,0)</f>
        <v>0</v>
      </c>
      <c r="M130">
        <f>tblPO[[#This Row],[Actual_Delivery_Date]]-tblPO[[#This Row],[PO_Date]]</f>
        <v>12</v>
      </c>
    </row>
    <row r="131" spans="1:13" x14ac:dyDescent="0.3">
      <c r="A131" t="s">
        <v>2127</v>
      </c>
      <c r="B131" s="18">
        <v>45322</v>
      </c>
      <c r="C131" t="s">
        <v>50</v>
      </c>
      <c r="D131" t="s">
        <v>142</v>
      </c>
      <c r="E131">
        <v>87</v>
      </c>
      <c r="F131">
        <v>176.37</v>
      </c>
      <c r="G131" s="18">
        <v>45331</v>
      </c>
      <c r="H131" s="18">
        <v>45330</v>
      </c>
      <c r="I131">
        <v>87</v>
      </c>
      <c r="J131">
        <v>15344.19</v>
      </c>
      <c r="K131">
        <f>IF(tblPO[[#This Row],[Actual_Delivery_Date]]&lt;=tblPO[[#This Row],[Expected_Delivery_Date]],1,0)</f>
        <v>1</v>
      </c>
      <c r="L131">
        <f>IF(tblPO[[#This Row],[Actual_Delivery_Date]]&gt;tblPO[[#This Row],[Expected_Delivery_Date]],1,0)</f>
        <v>0</v>
      </c>
      <c r="M131">
        <f>tblPO[[#This Row],[Actual_Delivery_Date]]-tblPO[[#This Row],[PO_Date]]</f>
        <v>8</v>
      </c>
    </row>
    <row r="132" spans="1:13" x14ac:dyDescent="0.3">
      <c r="A132" t="s">
        <v>2126</v>
      </c>
      <c r="B132" s="18">
        <v>45305</v>
      </c>
      <c r="C132" t="s">
        <v>38</v>
      </c>
      <c r="D132" t="s">
        <v>245</v>
      </c>
      <c r="E132">
        <v>25</v>
      </c>
      <c r="F132">
        <v>4034.6</v>
      </c>
      <c r="G132" s="18">
        <v>45313</v>
      </c>
      <c r="H132" s="18">
        <v>45311</v>
      </c>
      <c r="I132">
        <v>25</v>
      </c>
      <c r="J132">
        <v>100865</v>
      </c>
      <c r="K132">
        <f>IF(tblPO[[#This Row],[Actual_Delivery_Date]]&lt;=tblPO[[#This Row],[Expected_Delivery_Date]],1,0)</f>
        <v>1</v>
      </c>
      <c r="L132">
        <f>IF(tblPO[[#This Row],[Actual_Delivery_Date]]&gt;tblPO[[#This Row],[Expected_Delivery_Date]],1,0)</f>
        <v>0</v>
      </c>
      <c r="M132">
        <f>tblPO[[#This Row],[Actual_Delivery_Date]]-tblPO[[#This Row],[PO_Date]]</f>
        <v>6</v>
      </c>
    </row>
    <row r="133" spans="1:13" x14ac:dyDescent="0.3">
      <c r="A133" t="s">
        <v>2125</v>
      </c>
      <c r="B133" s="18">
        <v>45294</v>
      </c>
      <c r="C133" t="s">
        <v>57</v>
      </c>
      <c r="D133" t="s">
        <v>181</v>
      </c>
      <c r="E133">
        <v>825</v>
      </c>
      <c r="F133">
        <v>4.38</v>
      </c>
      <c r="G133" s="18">
        <v>45318</v>
      </c>
      <c r="H133" s="18">
        <v>45319</v>
      </c>
      <c r="I133">
        <v>825</v>
      </c>
      <c r="J133">
        <v>3613.5</v>
      </c>
      <c r="K133">
        <f>IF(tblPO[[#This Row],[Actual_Delivery_Date]]&lt;=tblPO[[#This Row],[Expected_Delivery_Date]],1,0)</f>
        <v>0</v>
      </c>
      <c r="L133">
        <f>IF(tblPO[[#This Row],[Actual_Delivery_Date]]&gt;tblPO[[#This Row],[Expected_Delivery_Date]],1,0)</f>
        <v>1</v>
      </c>
      <c r="M133">
        <f>tblPO[[#This Row],[Actual_Delivery_Date]]-tblPO[[#This Row],[PO_Date]]</f>
        <v>25</v>
      </c>
    </row>
    <row r="134" spans="1:13" x14ac:dyDescent="0.3">
      <c r="A134" t="s">
        <v>2124</v>
      </c>
      <c r="B134" s="18">
        <v>45310</v>
      </c>
      <c r="C134" t="s">
        <v>42</v>
      </c>
      <c r="D134" t="s">
        <v>96</v>
      </c>
      <c r="E134">
        <v>90</v>
      </c>
      <c r="F134">
        <v>819.72</v>
      </c>
      <c r="G134" s="18">
        <v>45335</v>
      </c>
      <c r="H134" s="18">
        <v>45335</v>
      </c>
      <c r="I134">
        <v>90</v>
      </c>
      <c r="J134">
        <v>73774.8</v>
      </c>
      <c r="K134">
        <f>IF(tblPO[[#This Row],[Actual_Delivery_Date]]&lt;=tblPO[[#This Row],[Expected_Delivery_Date]],1,0)</f>
        <v>1</v>
      </c>
      <c r="L134">
        <f>IF(tblPO[[#This Row],[Actual_Delivery_Date]]&gt;tblPO[[#This Row],[Expected_Delivery_Date]],1,0)</f>
        <v>0</v>
      </c>
      <c r="M134">
        <f>tblPO[[#This Row],[Actual_Delivery_Date]]-tblPO[[#This Row],[PO_Date]]</f>
        <v>25</v>
      </c>
    </row>
    <row r="135" spans="1:13" x14ac:dyDescent="0.3">
      <c r="A135" t="s">
        <v>2123</v>
      </c>
      <c r="B135" s="18">
        <v>45297</v>
      </c>
      <c r="C135" t="s">
        <v>50</v>
      </c>
      <c r="D135" t="s">
        <v>130</v>
      </c>
      <c r="E135">
        <v>93</v>
      </c>
      <c r="F135">
        <v>372.74</v>
      </c>
      <c r="G135" s="18">
        <v>45314</v>
      </c>
      <c r="H135" s="18">
        <v>45313</v>
      </c>
      <c r="I135">
        <v>93</v>
      </c>
      <c r="J135">
        <v>34664.82</v>
      </c>
      <c r="K135">
        <f>IF(tblPO[[#This Row],[Actual_Delivery_Date]]&lt;=tblPO[[#This Row],[Expected_Delivery_Date]],1,0)</f>
        <v>1</v>
      </c>
      <c r="L135">
        <f>IF(tblPO[[#This Row],[Actual_Delivery_Date]]&gt;tblPO[[#This Row],[Expected_Delivery_Date]],1,0)</f>
        <v>0</v>
      </c>
      <c r="M135">
        <f>tblPO[[#This Row],[Actual_Delivery_Date]]-tblPO[[#This Row],[PO_Date]]</f>
        <v>16</v>
      </c>
    </row>
    <row r="136" spans="1:13" x14ac:dyDescent="0.3">
      <c r="A136" t="s">
        <v>2122</v>
      </c>
      <c r="B136" s="18">
        <v>45310</v>
      </c>
      <c r="C136" t="s">
        <v>65</v>
      </c>
      <c r="D136" t="s">
        <v>181</v>
      </c>
      <c r="E136">
        <v>992</v>
      </c>
      <c r="F136">
        <v>3.97</v>
      </c>
      <c r="G136" s="18">
        <v>45325</v>
      </c>
      <c r="H136" s="18">
        <v>45325</v>
      </c>
      <c r="I136">
        <v>992</v>
      </c>
      <c r="J136">
        <v>3938.24</v>
      </c>
      <c r="K136">
        <f>IF(tblPO[[#This Row],[Actual_Delivery_Date]]&lt;=tblPO[[#This Row],[Expected_Delivery_Date]],1,0)</f>
        <v>1</v>
      </c>
      <c r="L136">
        <f>IF(tblPO[[#This Row],[Actual_Delivery_Date]]&gt;tblPO[[#This Row],[Expected_Delivery_Date]],1,0)</f>
        <v>0</v>
      </c>
      <c r="M136">
        <f>tblPO[[#This Row],[Actual_Delivery_Date]]-tblPO[[#This Row],[PO_Date]]</f>
        <v>15</v>
      </c>
    </row>
    <row r="137" spans="1:13" x14ac:dyDescent="0.3">
      <c r="A137" t="s">
        <v>2121</v>
      </c>
      <c r="B137" s="18">
        <v>45316</v>
      </c>
      <c r="C137" t="s">
        <v>39</v>
      </c>
      <c r="D137" t="s">
        <v>154</v>
      </c>
      <c r="E137">
        <v>391</v>
      </c>
      <c r="F137">
        <v>79.209999999999994</v>
      </c>
      <c r="G137" s="18">
        <v>45333</v>
      </c>
      <c r="H137" s="18">
        <v>45330</v>
      </c>
      <c r="I137">
        <v>391</v>
      </c>
      <c r="J137">
        <v>30971.11</v>
      </c>
      <c r="K137">
        <f>IF(tblPO[[#This Row],[Actual_Delivery_Date]]&lt;=tblPO[[#This Row],[Expected_Delivery_Date]],1,0)</f>
        <v>1</v>
      </c>
      <c r="L137">
        <f>IF(tblPO[[#This Row],[Actual_Delivery_Date]]&gt;tblPO[[#This Row],[Expected_Delivery_Date]],1,0)</f>
        <v>0</v>
      </c>
      <c r="M137">
        <f>tblPO[[#This Row],[Actual_Delivery_Date]]-tblPO[[#This Row],[PO_Date]]</f>
        <v>14</v>
      </c>
    </row>
    <row r="138" spans="1:13" x14ac:dyDescent="0.3">
      <c r="A138" t="s">
        <v>2120</v>
      </c>
      <c r="B138" s="18">
        <v>45303</v>
      </c>
      <c r="C138" t="s">
        <v>39</v>
      </c>
      <c r="D138" t="s">
        <v>170</v>
      </c>
      <c r="E138">
        <v>407</v>
      </c>
      <c r="F138">
        <v>95.03</v>
      </c>
      <c r="G138" s="18">
        <v>45319</v>
      </c>
      <c r="H138" s="18">
        <v>45317</v>
      </c>
      <c r="I138">
        <v>407</v>
      </c>
      <c r="J138">
        <v>38677.21</v>
      </c>
      <c r="K138">
        <f>IF(tblPO[[#This Row],[Actual_Delivery_Date]]&lt;=tblPO[[#This Row],[Expected_Delivery_Date]],1,0)</f>
        <v>1</v>
      </c>
      <c r="L138">
        <f>IF(tblPO[[#This Row],[Actual_Delivery_Date]]&gt;tblPO[[#This Row],[Expected_Delivery_Date]],1,0)</f>
        <v>0</v>
      </c>
      <c r="M138">
        <f>tblPO[[#This Row],[Actual_Delivery_Date]]-tblPO[[#This Row],[PO_Date]]</f>
        <v>14</v>
      </c>
    </row>
    <row r="139" spans="1:13" x14ac:dyDescent="0.3">
      <c r="A139" t="s">
        <v>2119</v>
      </c>
      <c r="B139" s="18">
        <v>45294</v>
      </c>
      <c r="C139" t="s">
        <v>39</v>
      </c>
      <c r="D139" t="s">
        <v>172</v>
      </c>
      <c r="E139">
        <v>721</v>
      </c>
      <c r="F139">
        <v>38.07</v>
      </c>
      <c r="G139" s="18">
        <v>45311</v>
      </c>
      <c r="H139" s="18">
        <v>45315</v>
      </c>
      <c r="I139">
        <v>721</v>
      </c>
      <c r="J139">
        <v>27448.47</v>
      </c>
      <c r="K139">
        <f>IF(tblPO[[#This Row],[Actual_Delivery_Date]]&lt;=tblPO[[#This Row],[Expected_Delivery_Date]],1,0)</f>
        <v>0</v>
      </c>
      <c r="L139">
        <f>IF(tblPO[[#This Row],[Actual_Delivery_Date]]&gt;tblPO[[#This Row],[Expected_Delivery_Date]],1,0)</f>
        <v>1</v>
      </c>
      <c r="M139">
        <f>tblPO[[#This Row],[Actual_Delivery_Date]]-tblPO[[#This Row],[PO_Date]]</f>
        <v>21</v>
      </c>
    </row>
    <row r="140" spans="1:13" x14ac:dyDescent="0.3">
      <c r="A140" t="s">
        <v>2118</v>
      </c>
      <c r="B140" s="18">
        <v>45313</v>
      </c>
      <c r="C140" t="s">
        <v>47</v>
      </c>
      <c r="D140" t="s">
        <v>215</v>
      </c>
      <c r="E140">
        <v>16</v>
      </c>
      <c r="F140">
        <v>3103.2</v>
      </c>
      <c r="G140" s="18">
        <v>45326</v>
      </c>
      <c r="H140" s="18">
        <v>45342</v>
      </c>
      <c r="I140">
        <v>16</v>
      </c>
      <c r="J140">
        <v>49651.199999999997</v>
      </c>
      <c r="K140">
        <f>IF(tblPO[[#This Row],[Actual_Delivery_Date]]&lt;=tblPO[[#This Row],[Expected_Delivery_Date]],1,0)</f>
        <v>0</v>
      </c>
      <c r="L140">
        <f>IF(tblPO[[#This Row],[Actual_Delivery_Date]]&gt;tblPO[[#This Row],[Expected_Delivery_Date]],1,0)</f>
        <v>1</v>
      </c>
      <c r="M140">
        <f>tblPO[[#This Row],[Actual_Delivery_Date]]-tblPO[[#This Row],[PO_Date]]</f>
        <v>29</v>
      </c>
    </row>
    <row r="141" spans="1:13" x14ac:dyDescent="0.3">
      <c r="A141" t="s">
        <v>2117</v>
      </c>
      <c r="B141" s="18">
        <v>45312</v>
      </c>
      <c r="C141" t="s">
        <v>41</v>
      </c>
      <c r="D141" t="s">
        <v>195</v>
      </c>
      <c r="E141">
        <v>123</v>
      </c>
      <c r="F141">
        <v>577.35</v>
      </c>
      <c r="G141" s="18">
        <v>45324</v>
      </c>
      <c r="H141" s="18">
        <v>45321</v>
      </c>
      <c r="I141">
        <v>123</v>
      </c>
      <c r="J141">
        <v>71014.05</v>
      </c>
      <c r="K141">
        <f>IF(tblPO[[#This Row],[Actual_Delivery_Date]]&lt;=tblPO[[#This Row],[Expected_Delivery_Date]],1,0)</f>
        <v>1</v>
      </c>
      <c r="L141">
        <f>IF(tblPO[[#This Row],[Actual_Delivery_Date]]&gt;tblPO[[#This Row],[Expected_Delivery_Date]],1,0)</f>
        <v>0</v>
      </c>
      <c r="M141">
        <f>tblPO[[#This Row],[Actual_Delivery_Date]]-tblPO[[#This Row],[PO_Date]]</f>
        <v>9</v>
      </c>
    </row>
    <row r="142" spans="1:13" x14ac:dyDescent="0.3">
      <c r="A142" t="s">
        <v>2116</v>
      </c>
      <c r="B142" s="18">
        <v>45325</v>
      </c>
      <c r="C142" t="s">
        <v>38</v>
      </c>
      <c r="D142" t="s">
        <v>219</v>
      </c>
      <c r="E142">
        <v>341</v>
      </c>
      <c r="F142">
        <v>97.67</v>
      </c>
      <c r="G142" s="18">
        <v>45333</v>
      </c>
      <c r="H142" s="18">
        <v>45331</v>
      </c>
      <c r="I142">
        <v>341</v>
      </c>
      <c r="J142">
        <v>33305.47</v>
      </c>
      <c r="K142">
        <f>IF(tblPO[[#This Row],[Actual_Delivery_Date]]&lt;=tblPO[[#This Row],[Expected_Delivery_Date]],1,0)</f>
        <v>1</v>
      </c>
      <c r="L142">
        <f>IF(tblPO[[#This Row],[Actual_Delivery_Date]]&gt;tblPO[[#This Row],[Expected_Delivery_Date]],1,0)</f>
        <v>0</v>
      </c>
      <c r="M142">
        <f>tblPO[[#This Row],[Actual_Delivery_Date]]-tblPO[[#This Row],[PO_Date]]</f>
        <v>6</v>
      </c>
    </row>
    <row r="143" spans="1:13" x14ac:dyDescent="0.3">
      <c r="A143" t="s">
        <v>2115</v>
      </c>
      <c r="B143" s="18">
        <v>45349</v>
      </c>
      <c r="C143" t="s">
        <v>45</v>
      </c>
      <c r="D143" t="s">
        <v>247</v>
      </c>
      <c r="E143">
        <v>66</v>
      </c>
      <c r="F143">
        <v>610.03</v>
      </c>
      <c r="G143" s="18">
        <v>45366</v>
      </c>
      <c r="H143" s="18">
        <v>45363</v>
      </c>
      <c r="I143">
        <v>66</v>
      </c>
      <c r="J143">
        <v>40261.980000000003</v>
      </c>
      <c r="K143">
        <f>IF(tblPO[[#This Row],[Actual_Delivery_Date]]&lt;=tblPO[[#This Row],[Expected_Delivery_Date]],1,0)</f>
        <v>1</v>
      </c>
      <c r="L143">
        <f>IF(tblPO[[#This Row],[Actual_Delivery_Date]]&gt;tblPO[[#This Row],[Expected_Delivery_Date]],1,0)</f>
        <v>0</v>
      </c>
      <c r="M143">
        <f>tblPO[[#This Row],[Actual_Delivery_Date]]-tblPO[[#This Row],[PO_Date]]</f>
        <v>14</v>
      </c>
    </row>
    <row r="144" spans="1:13" x14ac:dyDescent="0.3">
      <c r="A144" t="s">
        <v>2114</v>
      </c>
      <c r="B144" s="18">
        <v>45335</v>
      </c>
      <c r="C144" t="s">
        <v>38</v>
      </c>
      <c r="D144" t="s">
        <v>227</v>
      </c>
      <c r="E144">
        <v>9</v>
      </c>
      <c r="F144">
        <v>1250.2</v>
      </c>
      <c r="G144" s="18">
        <v>45340</v>
      </c>
      <c r="H144" s="18">
        <v>45337</v>
      </c>
      <c r="I144">
        <v>9</v>
      </c>
      <c r="J144">
        <v>11251.8</v>
      </c>
      <c r="K144">
        <f>IF(tblPO[[#This Row],[Actual_Delivery_Date]]&lt;=tblPO[[#This Row],[Expected_Delivery_Date]],1,0)</f>
        <v>1</v>
      </c>
      <c r="L144">
        <f>IF(tblPO[[#This Row],[Actual_Delivery_Date]]&gt;tblPO[[#This Row],[Expected_Delivery_Date]],1,0)</f>
        <v>0</v>
      </c>
      <c r="M144">
        <f>tblPO[[#This Row],[Actual_Delivery_Date]]-tblPO[[#This Row],[PO_Date]]</f>
        <v>2</v>
      </c>
    </row>
    <row r="145" spans="1:13" x14ac:dyDescent="0.3">
      <c r="A145" t="s">
        <v>2113</v>
      </c>
      <c r="B145" s="18">
        <v>45333</v>
      </c>
      <c r="C145" t="s">
        <v>43</v>
      </c>
      <c r="D145" t="s">
        <v>174</v>
      </c>
      <c r="E145">
        <v>715</v>
      </c>
      <c r="F145">
        <v>35.130000000000003</v>
      </c>
      <c r="G145" s="18">
        <v>45340</v>
      </c>
      <c r="H145" s="18">
        <v>45339</v>
      </c>
      <c r="I145">
        <v>715</v>
      </c>
      <c r="J145">
        <v>25117.95</v>
      </c>
      <c r="K145">
        <f>IF(tblPO[[#This Row],[Actual_Delivery_Date]]&lt;=tblPO[[#This Row],[Expected_Delivery_Date]],1,0)</f>
        <v>1</v>
      </c>
      <c r="L145">
        <f>IF(tblPO[[#This Row],[Actual_Delivery_Date]]&gt;tblPO[[#This Row],[Expected_Delivery_Date]],1,0)</f>
        <v>0</v>
      </c>
      <c r="M145">
        <f>tblPO[[#This Row],[Actual_Delivery_Date]]-tblPO[[#This Row],[PO_Date]]</f>
        <v>6</v>
      </c>
    </row>
    <row r="146" spans="1:13" x14ac:dyDescent="0.3">
      <c r="A146" t="s">
        <v>2112</v>
      </c>
      <c r="B146" s="18">
        <v>45347</v>
      </c>
      <c r="C146" t="s">
        <v>41</v>
      </c>
      <c r="D146" t="s">
        <v>195</v>
      </c>
      <c r="E146">
        <v>45</v>
      </c>
      <c r="F146">
        <v>607.38</v>
      </c>
      <c r="G146" s="18">
        <v>45365</v>
      </c>
      <c r="H146" s="18">
        <v>45362</v>
      </c>
      <c r="I146">
        <v>45</v>
      </c>
      <c r="J146">
        <v>27332.1</v>
      </c>
      <c r="K146">
        <f>IF(tblPO[[#This Row],[Actual_Delivery_Date]]&lt;=tblPO[[#This Row],[Expected_Delivery_Date]],1,0)</f>
        <v>1</v>
      </c>
      <c r="L146">
        <f>IF(tblPO[[#This Row],[Actual_Delivery_Date]]&gt;tblPO[[#This Row],[Expected_Delivery_Date]],1,0)</f>
        <v>0</v>
      </c>
      <c r="M146">
        <f>tblPO[[#This Row],[Actual_Delivery_Date]]-tblPO[[#This Row],[PO_Date]]</f>
        <v>15</v>
      </c>
    </row>
    <row r="147" spans="1:13" x14ac:dyDescent="0.3">
      <c r="A147" t="s">
        <v>2111</v>
      </c>
      <c r="B147" s="18">
        <v>45340</v>
      </c>
      <c r="C147" t="s">
        <v>50</v>
      </c>
      <c r="D147" t="s">
        <v>142</v>
      </c>
      <c r="E147">
        <v>48</v>
      </c>
      <c r="F147">
        <v>180.02</v>
      </c>
      <c r="G147" s="18">
        <v>45356</v>
      </c>
      <c r="H147" s="18">
        <v>45355</v>
      </c>
      <c r="I147">
        <v>48</v>
      </c>
      <c r="J147">
        <v>8640.9599999999991</v>
      </c>
      <c r="K147">
        <f>IF(tblPO[[#This Row],[Actual_Delivery_Date]]&lt;=tblPO[[#This Row],[Expected_Delivery_Date]],1,0)</f>
        <v>1</v>
      </c>
      <c r="L147">
        <f>IF(tblPO[[#This Row],[Actual_Delivery_Date]]&gt;tblPO[[#This Row],[Expected_Delivery_Date]],1,0)</f>
        <v>0</v>
      </c>
      <c r="M147">
        <f>tblPO[[#This Row],[Actual_Delivery_Date]]-tblPO[[#This Row],[PO_Date]]</f>
        <v>15</v>
      </c>
    </row>
    <row r="148" spans="1:13" x14ac:dyDescent="0.3">
      <c r="A148" t="s">
        <v>2110</v>
      </c>
      <c r="B148" s="18">
        <v>45343</v>
      </c>
      <c r="C148" t="s">
        <v>69</v>
      </c>
      <c r="D148" t="s">
        <v>140</v>
      </c>
      <c r="E148">
        <v>117</v>
      </c>
      <c r="F148">
        <v>348.13</v>
      </c>
      <c r="G148" s="18">
        <v>45360</v>
      </c>
      <c r="H148" s="18">
        <v>45360</v>
      </c>
      <c r="I148">
        <v>117</v>
      </c>
      <c r="J148">
        <v>40731.21</v>
      </c>
      <c r="K148">
        <f>IF(tblPO[[#This Row],[Actual_Delivery_Date]]&lt;=tblPO[[#This Row],[Expected_Delivery_Date]],1,0)</f>
        <v>1</v>
      </c>
      <c r="L148">
        <f>IF(tblPO[[#This Row],[Actual_Delivery_Date]]&gt;tblPO[[#This Row],[Expected_Delivery_Date]],1,0)</f>
        <v>0</v>
      </c>
      <c r="M148">
        <f>tblPO[[#This Row],[Actual_Delivery_Date]]-tblPO[[#This Row],[PO_Date]]</f>
        <v>17</v>
      </c>
    </row>
    <row r="149" spans="1:13" x14ac:dyDescent="0.3">
      <c r="A149" t="s">
        <v>2109</v>
      </c>
      <c r="B149" s="18">
        <v>45330</v>
      </c>
      <c r="C149" t="s">
        <v>39</v>
      </c>
      <c r="D149" t="s">
        <v>176</v>
      </c>
      <c r="E149">
        <v>638</v>
      </c>
      <c r="F149">
        <v>50.08</v>
      </c>
      <c r="G149" s="18">
        <v>45346</v>
      </c>
      <c r="H149" s="18">
        <v>45343</v>
      </c>
      <c r="I149">
        <v>638</v>
      </c>
      <c r="J149">
        <v>31951.040000000001</v>
      </c>
      <c r="K149">
        <f>IF(tblPO[[#This Row],[Actual_Delivery_Date]]&lt;=tblPO[[#This Row],[Expected_Delivery_Date]],1,0)</f>
        <v>1</v>
      </c>
      <c r="L149">
        <f>IF(tblPO[[#This Row],[Actual_Delivery_Date]]&gt;tblPO[[#This Row],[Expected_Delivery_Date]],1,0)</f>
        <v>0</v>
      </c>
      <c r="M149">
        <f>tblPO[[#This Row],[Actual_Delivery_Date]]-tblPO[[#This Row],[PO_Date]]</f>
        <v>13</v>
      </c>
    </row>
    <row r="150" spans="1:13" x14ac:dyDescent="0.3">
      <c r="A150" t="s">
        <v>2108</v>
      </c>
      <c r="B150" s="18">
        <v>45344</v>
      </c>
      <c r="C150" t="s">
        <v>48</v>
      </c>
      <c r="D150" t="s">
        <v>170</v>
      </c>
      <c r="E150">
        <v>241</v>
      </c>
      <c r="F150">
        <v>101.97</v>
      </c>
      <c r="G150" s="18">
        <v>45358</v>
      </c>
      <c r="H150" s="18">
        <v>45357</v>
      </c>
      <c r="I150">
        <v>226</v>
      </c>
      <c r="J150">
        <v>24574.77</v>
      </c>
      <c r="K150">
        <f>IF(tblPO[[#This Row],[Actual_Delivery_Date]]&lt;=tblPO[[#This Row],[Expected_Delivery_Date]],1,0)</f>
        <v>1</v>
      </c>
      <c r="L150">
        <f>IF(tblPO[[#This Row],[Actual_Delivery_Date]]&gt;tblPO[[#This Row],[Expected_Delivery_Date]],1,0)</f>
        <v>0</v>
      </c>
      <c r="M150">
        <f>tblPO[[#This Row],[Actual_Delivery_Date]]-tblPO[[#This Row],[PO_Date]]</f>
        <v>13</v>
      </c>
    </row>
    <row r="151" spans="1:13" x14ac:dyDescent="0.3">
      <c r="A151" t="s">
        <v>2107</v>
      </c>
      <c r="B151" s="18">
        <v>45340</v>
      </c>
      <c r="C151" t="s">
        <v>43</v>
      </c>
      <c r="D151" t="s">
        <v>160</v>
      </c>
      <c r="E151">
        <v>569</v>
      </c>
      <c r="F151">
        <v>87.46</v>
      </c>
      <c r="G151" s="18">
        <v>45343</v>
      </c>
      <c r="H151" s="18">
        <v>45343</v>
      </c>
      <c r="I151">
        <v>524</v>
      </c>
      <c r="J151">
        <v>49764.74</v>
      </c>
      <c r="K151">
        <f>IF(tblPO[[#This Row],[Actual_Delivery_Date]]&lt;=tblPO[[#This Row],[Expected_Delivery_Date]],1,0)</f>
        <v>1</v>
      </c>
      <c r="L151">
        <f>IF(tblPO[[#This Row],[Actual_Delivery_Date]]&gt;tblPO[[#This Row],[Expected_Delivery_Date]],1,0)</f>
        <v>0</v>
      </c>
      <c r="M151">
        <f>tblPO[[#This Row],[Actual_Delivery_Date]]-tblPO[[#This Row],[PO_Date]]</f>
        <v>3</v>
      </c>
    </row>
    <row r="152" spans="1:13" x14ac:dyDescent="0.3">
      <c r="A152" t="s">
        <v>2106</v>
      </c>
      <c r="B152" s="18">
        <v>45334</v>
      </c>
      <c r="C152" t="s">
        <v>48</v>
      </c>
      <c r="D152" t="s">
        <v>166</v>
      </c>
      <c r="E152">
        <v>66</v>
      </c>
      <c r="F152">
        <v>104.5</v>
      </c>
      <c r="G152" s="18">
        <v>45348</v>
      </c>
      <c r="H152" s="18">
        <v>45345</v>
      </c>
      <c r="I152">
        <v>66</v>
      </c>
      <c r="J152">
        <v>6897</v>
      </c>
      <c r="K152">
        <f>IF(tblPO[[#This Row],[Actual_Delivery_Date]]&lt;=tblPO[[#This Row],[Expected_Delivery_Date]],1,0)</f>
        <v>1</v>
      </c>
      <c r="L152">
        <f>IF(tblPO[[#This Row],[Actual_Delivery_Date]]&gt;tblPO[[#This Row],[Expected_Delivery_Date]],1,0)</f>
        <v>0</v>
      </c>
      <c r="M152">
        <f>tblPO[[#This Row],[Actual_Delivery_Date]]-tblPO[[#This Row],[PO_Date]]</f>
        <v>11</v>
      </c>
    </row>
    <row r="153" spans="1:13" x14ac:dyDescent="0.3">
      <c r="A153" t="s">
        <v>2105</v>
      </c>
      <c r="B153" s="18">
        <v>45340</v>
      </c>
      <c r="C153" t="s">
        <v>66</v>
      </c>
      <c r="D153" t="s">
        <v>231</v>
      </c>
      <c r="E153">
        <v>100</v>
      </c>
      <c r="F153">
        <v>119.64</v>
      </c>
      <c r="G153" s="18">
        <v>45353</v>
      </c>
      <c r="H153" s="18">
        <v>45355</v>
      </c>
      <c r="I153">
        <v>100</v>
      </c>
      <c r="J153">
        <v>11964</v>
      </c>
      <c r="K153">
        <f>IF(tblPO[[#This Row],[Actual_Delivery_Date]]&lt;=tblPO[[#This Row],[Expected_Delivery_Date]],1,0)</f>
        <v>0</v>
      </c>
      <c r="L153">
        <f>IF(tblPO[[#This Row],[Actual_Delivery_Date]]&gt;tblPO[[#This Row],[Expected_Delivery_Date]],1,0)</f>
        <v>1</v>
      </c>
      <c r="M153">
        <f>tblPO[[#This Row],[Actual_Delivery_Date]]-tblPO[[#This Row],[PO_Date]]</f>
        <v>15</v>
      </c>
    </row>
    <row r="154" spans="1:13" x14ac:dyDescent="0.3">
      <c r="A154" t="s">
        <v>2104</v>
      </c>
      <c r="B154" s="18">
        <v>45343</v>
      </c>
      <c r="C154" t="s">
        <v>53</v>
      </c>
      <c r="D154" t="s">
        <v>90</v>
      </c>
      <c r="E154">
        <v>8</v>
      </c>
      <c r="F154">
        <v>32108.87</v>
      </c>
      <c r="G154" s="18">
        <v>45360</v>
      </c>
      <c r="H154" s="18">
        <v>45357</v>
      </c>
      <c r="I154">
        <v>8</v>
      </c>
      <c r="J154">
        <v>256870.96</v>
      </c>
      <c r="K154">
        <f>IF(tblPO[[#This Row],[Actual_Delivery_Date]]&lt;=tblPO[[#This Row],[Expected_Delivery_Date]],1,0)</f>
        <v>1</v>
      </c>
      <c r="L154">
        <f>IF(tblPO[[#This Row],[Actual_Delivery_Date]]&gt;tblPO[[#This Row],[Expected_Delivery_Date]],1,0)</f>
        <v>0</v>
      </c>
      <c r="M154">
        <f>tblPO[[#This Row],[Actual_Delivery_Date]]-tblPO[[#This Row],[PO_Date]]</f>
        <v>14</v>
      </c>
    </row>
    <row r="155" spans="1:13" x14ac:dyDescent="0.3">
      <c r="A155" t="s">
        <v>2103</v>
      </c>
      <c r="B155" s="18">
        <v>45324</v>
      </c>
      <c r="C155" t="s">
        <v>38</v>
      </c>
      <c r="D155" t="s">
        <v>223</v>
      </c>
      <c r="E155">
        <v>61</v>
      </c>
      <c r="F155">
        <v>158.88999999999999</v>
      </c>
      <c r="G155" s="18">
        <v>45333</v>
      </c>
      <c r="H155" s="18">
        <v>45332</v>
      </c>
      <c r="I155">
        <v>61</v>
      </c>
      <c r="J155">
        <v>9692.2900000000009</v>
      </c>
      <c r="K155">
        <f>IF(tblPO[[#This Row],[Actual_Delivery_Date]]&lt;=tblPO[[#This Row],[Expected_Delivery_Date]],1,0)</f>
        <v>1</v>
      </c>
      <c r="L155">
        <f>IF(tblPO[[#This Row],[Actual_Delivery_Date]]&gt;tblPO[[#This Row],[Expected_Delivery_Date]],1,0)</f>
        <v>0</v>
      </c>
      <c r="M155">
        <f>tblPO[[#This Row],[Actual_Delivery_Date]]-tblPO[[#This Row],[PO_Date]]</f>
        <v>8</v>
      </c>
    </row>
    <row r="156" spans="1:13" x14ac:dyDescent="0.3">
      <c r="A156" t="s">
        <v>2102</v>
      </c>
      <c r="B156" s="18">
        <v>45338</v>
      </c>
      <c r="C156" t="s">
        <v>62</v>
      </c>
      <c r="D156" t="s">
        <v>193</v>
      </c>
      <c r="E156">
        <v>606</v>
      </c>
      <c r="F156">
        <v>32.28</v>
      </c>
      <c r="G156" s="18">
        <v>45349</v>
      </c>
      <c r="H156" s="18">
        <v>45347</v>
      </c>
      <c r="I156">
        <v>606</v>
      </c>
      <c r="J156">
        <v>19561.68</v>
      </c>
      <c r="K156">
        <f>IF(tblPO[[#This Row],[Actual_Delivery_Date]]&lt;=tblPO[[#This Row],[Expected_Delivery_Date]],1,0)</f>
        <v>1</v>
      </c>
      <c r="L156">
        <f>IF(tblPO[[#This Row],[Actual_Delivery_Date]]&gt;tblPO[[#This Row],[Expected_Delivery_Date]],1,0)</f>
        <v>0</v>
      </c>
      <c r="M156">
        <f>tblPO[[#This Row],[Actual_Delivery_Date]]-tblPO[[#This Row],[PO_Date]]</f>
        <v>9</v>
      </c>
    </row>
    <row r="157" spans="1:13" x14ac:dyDescent="0.3">
      <c r="A157" t="s">
        <v>2101</v>
      </c>
      <c r="B157" s="18">
        <v>45331</v>
      </c>
      <c r="C157" t="s">
        <v>47</v>
      </c>
      <c r="D157" t="s">
        <v>249</v>
      </c>
      <c r="E157">
        <v>389</v>
      </c>
      <c r="F157">
        <v>59.29</v>
      </c>
      <c r="G157" s="18">
        <v>45337</v>
      </c>
      <c r="H157" s="18">
        <v>45341</v>
      </c>
      <c r="I157">
        <v>389</v>
      </c>
      <c r="J157">
        <v>23063.81</v>
      </c>
      <c r="K157">
        <f>IF(tblPO[[#This Row],[Actual_Delivery_Date]]&lt;=tblPO[[#This Row],[Expected_Delivery_Date]],1,0)</f>
        <v>0</v>
      </c>
      <c r="L157">
        <f>IF(tblPO[[#This Row],[Actual_Delivery_Date]]&gt;tblPO[[#This Row],[Expected_Delivery_Date]],1,0)</f>
        <v>1</v>
      </c>
      <c r="M157">
        <f>tblPO[[#This Row],[Actual_Delivery_Date]]-tblPO[[#This Row],[PO_Date]]</f>
        <v>10</v>
      </c>
    </row>
    <row r="158" spans="1:13" x14ac:dyDescent="0.3">
      <c r="A158" t="s">
        <v>2100</v>
      </c>
      <c r="B158" s="18">
        <v>45333</v>
      </c>
      <c r="C158" t="s">
        <v>40</v>
      </c>
      <c r="D158" t="s">
        <v>119</v>
      </c>
      <c r="E158">
        <v>14</v>
      </c>
      <c r="F158">
        <v>8881.9699999999993</v>
      </c>
      <c r="G158" s="18">
        <v>45341</v>
      </c>
      <c r="H158" s="18">
        <v>45341</v>
      </c>
      <c r="I158">
        <v>14</v>
      </c>
      <c r="J158">
        <v>124347.58</v>
      </c>
      <c r="K158">
        <f>IF(tblPO[[#This Row],[Actual_Delivery_Date]]&lt;=tblPO[[#This Row],[Expected_Delivery_Date]],1,0)</f>
        <v>1</v>
      </c>
      <c r="L158">
        <f>IF(tblPO[[#This Row],[Actual_Delivery_Date]]&gt;tblPO[[#This Row],[Expected_Delivery_Date]],1,0)</f>
        <v>0</v>
      </c>
      <c r="M158">
        <f>tblPO[[#This Row],[Actual_Delivery_Date]]-tblPO[[#This Row],[PO_Date]]</f>
        <v>8</v>
      </c>
    </row>
    <row r="159" spans="1:13" x14ac:dyDescent="0.3">
      <c r="A159" t="s">
        <v>2099</v>
      </c>
      <c r="B159" s="18">
        <v>45346</v>
      </c>
      <c r="C159" t="s">
        <v>48</v>
      </c>
      <c r="D159" t="s">
        <v>152</v>
      </c>
      <c r="E159">
        <v>134</v>
      </c>
      <c r="F159">
        <v>114.58</v>
      </c>
      <c r="G159" s="18">
        <v>45371</v>
      </c>
      <c r="H159" s="18">
        <v>45369</v>
      </c>
      <c r="I159">
        <v>134</v>
      </c>
      <c r="J159">
        <v>15353.72</v>
      </c>
      <c r="K159">
        <f>IF(tblPO[[#This Row],[Actual_Delivery_Date]]&lt;=tblPO[[#This Row],[Expected_Delivery_Date]],1,0)</f>
        <v>1</v>
      </c>
      <c r="L159">
        <f>IF(tblPO[[#This Row],[Actual_Delivery_Date]]&gt;tblPO[[#This Row],[Expected_Delivery_Date]],1,0)</f>
        <v>0</v>
      </c>
      <c r="M159">
        <f>tblPO[[#This Row],[Actual_Delivery_Date]]-tblPO[[#This Row],[PO_Date]]</f>
        <v>23</v>
      </c>
    </row>
    <row r="160" spans="1:13" x14ac:dyDescent="0.3">
      <c r="A160" t="s">
        <v>2098</v>
      </c>
      <c r="B160" s="18">
        <v>45344</v>
      </c>
      <c r="C160" t="s">
        <v>46</v>
      </c>
      <c r="D160" t="s">
        <v>100</v>
      </c>
      <c r="E160">
        <v>6</v>
      </c>
      <c r="F160">
        <v>54461.69</v>
      </c>
      <c r="G160" s="18">
        <v>45365</v>
      </c>
      <c r="H160" s="18">
        <v>45365</v>
      </c>
      <c r="I160">
        <v>6</v>
      </c>
      <c r="J160">
        <v>326770.14</v>
      </c>
      <c r="K160">
        <f>IF(tblPO[[#This Row],[Actual_Delivery_Date]]&lt;=tblPO[[#This Row],[Expected_Delivery_Date]],1,0)</f>
        <v>1</v>
      </c>
      <c r="L160">
        <f>IF(tblPO[[#This Row],[Actual_Delivery_Date]]&gt;tblPO[[#This Row],[Expected_Delivery_Date]],1,0)</f>
        <v>0</v>
      </c>
      <c r="M160">
        <f>tblPO[[#This Row],[Actual_Delivery_Date]]-tblPO[[#This Row],[PO_Date]]</f>
        <v>21</v>
      </c>
    </row>
    <row r="161" spans="1:13" x14ac:dyDescent="0.3">
      <c r="A161" t="s">
        <v>2097</v>
      </c>
      <c r="B161" s="18">
        <v>45346</v>
      </c>
      <c r="C161" t="s">
        <v>66</v>
      </c>
      <c r="D161" t="s">
        <v>223</v>
      </c>
      <c r="E161">
        <v>20</v>
      </c>
      <c r="F161">
        <v>138.58000000000001</v>
      </c>
      <c r="G161" s="18">
        <v>45360</v>
      </c>
      <c r="H161" s="18">
        <v>45360</v>
      </c>
      <c r="I161">
        <v>20</v>
      </c>
      <c r="J161">
        <v>2771.6</v>
      </c>
      <c r="K161">
        <f>IF(tblPO[[#This Row],[Actual_Delivery_Date]]&lt;=tblPO[[#This Row],[Expected_Delivery_Date]],1,0)</f>
        <v>1</v>
      </c>
      <c r="L161">
        <f>IF(tblPO[[#This Row],[Actual_Delivery_Date]]&gt;tblPO[[#This Row],[Expected_Delivery_Date]],1,0)</f>
        <v>0</v>
      </c>
      <c r="M161">
        <f>tblPO[[#This Row],[Actual_Delivery_Date]]-tblPO[[#This Row],[PO_Date]]</f>
        <v>14</v>
      </c>
    </row>
    <row r="162" spans="1:13" x14ac:dyDescent="0.3">
      <c r="A162" t="s">
        <v>2096</v>
      </c>
      <c r="B162" s="18">
        <v>45335</v>
      </c>
      <c r="C162" t="s">
        <v>45</v>
      </c>
      <c r="D162" t="s">
        <v>249</v>
      </c>
      <c r="E162">
        <v>702</v>
      </c>
      <c r="F162">
        <v>66.069999999999993</v>
      </c>
      <c r="G162" s="18">
        <v>45349</v>
      </c>
      <c r="H162" s="18">
        <v>45347</v>
      </c>
      <c r="I162">
        <v>702</v>
      </c>
      <c r="J162">
        <v>46381.14</v>
      </c>
      <c r="K162">
        <f>IF(tblPO[[#This Row],[Actual_Delivery_Date]]&lt;=tblPO[[#This Row],[Expected_Delivery_Date]],1,0)</f>
        <v>1</v>
      </c>
      <c r="L162">
        <f>IF(tblPO[[#This Row],[Actual_Delivery_Date]]&gt;tblPO[[#This Row],[Expected_Delivery_Date]],1,0)</f>
        <v>0</v>
      </c>
      <c r="M162">
        <f>tblPO[[#This Row],[Actual_Delivery_Date]]-tblPO[[#This Row],[PO_Date]]</f>
        <v>12</v>
      </c>
    </row>
    <row r="163" spans="1:13" x14ac:dyDescent="0.3">
      <c r="A163" t="s">
        <v>2095</v>
      </c>
      <c r="B163" s="18">
        <v>45348</v>
      </c>
      <c r="C163" t="s">
        <v>56</v>
      </c>
      <c r="D163" t="s">
        <v>138</v>
      </c>
      <c r="E163">
        <v>23</v>
      </c>
      <c r="F163">
        <v>3515.4</v>
      </c>
      <c r="G163" s="18">
        <v>45365</v>
      </c>
      <c r="H163" s="18">
        <v>45362</v>
      </c>
      <c r="I163">
        <v>23</v>
      </c>
      <c r="J163">
        <v>80854.2</v>
      </c>
      <c r="K163">
        <f>IF(tblPO[[#This Row],[Actual_Delivery_Date]]&lt;=tblPO[[#This Row],[Expected_Delivery_Date]],1,0)</f>
        <v>1</v>
      </c>
      <c r="L163">
        <f>IF(tblPO[[#This Row],[Actual_Delivery_Date]]&gt;tblPO[[#This Row],[Expected_Delivery_Date]],1,0)</f>
        <v>0</v>
      </c>
      <c r="M163">
        <f>tblPO[[#This Row],[Actual_Delivery_Date]]-tblPO[[#This Row],[PO_Date]]</f>
        <v>14</v>
      </c>
    </row>
    <row r="164" spans="1:13" x14ac:dyDescent="0.3">
      <c r="A164" t="s">
        <v>2094</v>
      </c>
      <c r="B164" s="18">
        <v>45341</v>
      </c>
      <c r="C164" t="s">
        <v>58</v>
      </c>
      <c r="D164" t="s">
        <v>156</v>
      </c>
      <c r="E164">
        <v>442</v>
      </c>
      <c r="F164">
        <v>65.290000000000006</v>
      </c>
      <c r="G164" s="18">
        <v>45354</v>
      </c>
      <c r="H164" s="18">
        <v>45354</v>
      </c>
      <c r="I164">
        <v>442</v>
      </c>
      <c r="J164">
        <v>28858.18</v>
      </c>
      <c r="K164">
        <f>IF(tblPO[[#This Row],[Actual_Delivery_Date]]&lt;=tblPO[[#This Row],[Expected_Delivery_Date]],1,0)</f>
        <v>1</v>
      </c>
      <c r="L164">
        <f>IF(tblPO[[#This Row],[Actual_Delivery_Date]]&gt;tblPO[[#This Row],[Expected_Delivery_Date]],1,0)</f>
        <v>0</v>
      </c>
      <c r="M164">
        <f>tblPO[[#This Row],[Actual_Delivery_Date]]-tblPO[[#This Row],[PO_Date]]</f>
        <v>13</v>
      </c>
    </row>
    <row r="165" spans="1:13" x14ac:dyDescent="0.3">
      <c r="A165" t="s">
        <v>2093</v>
      </c>
      <c r="B165" s="18">
        <v>45341</v>
      </c>
      <c r="C165" t="s">
        <v>69</v>
      </c>
      <c r="D165" t="s">
        <v>132</v>
      </c>
      <c r="E165">
        <v>4</v>
      </c>
      <c r="F165">
        <v>2397.1999999999998</v>
      </c>
      <c r="G165" s="18">
        <v>45348</v>
      </c>
      <c r="H165" s="18">
        <v>45348</v>
      </c>
      <c r="I165">
        <v>4</v>
      </c>
      <c r="J165">
        <v>9588.7999999999993</v>
      </c>
      <c r="K165">
        <f>IF(tblPO[[#This Row],[Actual_Delivery_Date]]&lt;=tblPO[[#This Row],[Expected_Delivery_Date]],1,0)</f>
        <v>1</v>
      </c>
      <c r="L165">
        <f>IF(tblPO[[#This Row],[Actual_Delivery_Date]]&gt;tblPO[[#This Row],[Expected_Delivery_Date]],1,0)</f>
        <v>0</v>
      </c>
      <c r="M165">
        <f>tblPO[[#This Row],[Actual_Delivery_Date]]-tblPO[[#This Row],[PO_Date]]</f>
        <v>7</v>
      </c>
    </row>
    <row r="166" spans="1:13" x14ac:dyDescent="0.3">
      <c r="A166" t="s">
        <v>2092</v>
      </c>
      <c r="B166" s="18">
        <v>45323</v>
      </c>
      <c r="C166" t="s">
        <v>38</v>
      </c>
      <c r="D166" t="s">
        <v>235</v>
      </c>
      <c r="E166">
        <v>166</v>
      </c>
      <c r="F166">
        <v>74.48</v>
      </c>
      <c r="G166" s="18">
        <v>45331</v>
      </c>
      <c r="H166" s="18">
        <v>45331</v>
      </c>
      <c r="I166">
        <v>166</v>
      </c>
      <c r="J166">
        <v>12363.68</v>
      </c>
      <c r="K166">
        <f>IF(tblPO[[#This Row],[Actual_Delivery_Date]]&lt;=tblPO[[#This Row],[Expected_Delivery_Date]],1,0)</f>
        <v>1</v>
      </c>
      <c r="L166">
        <f>IF(tblPO[[#This Row],[Actual_Delivery_Date]]&gt;tblPO[[#This Row],[Expected_Delivery_Date]],1,0)</f>
        <v>0</v>
      </c>
      <c r="M166">
        <f>tblPO[[#This Row],[Actual_Delivery_Date]]-tblPO[[#This Row],[PO_Date]]</f>
        <v>8</v>
      </c>
    </row>
    <row r="167" spans="1:13" x14ac:dyDescent="0.3">
      <c r="A167" t="s">
        <v>2091</v>
      </c>
      <c r="B167" s="18">
        <v>45345</v>
      </c>
      <c r="C167" t="s">
        <v>50</v>
      </c>
      <c r="D167" t="s">
        <v>140</v>
      </c>
      <c r="E167">
        <v>76</v>
      </c>
      <c r="F167">
        <v>420.24</v>
      </c>
      <c r="G167" s="18">
        <v>45362</v>
      </c>
      <c r="H167" s="18">
        <v>45361</v>
      </c>
      <c r="I167">
        <v>76</v>
      </c>
      <c r="J167">
        <v>31938.240000000002</v>
      </c>
      <c r="K167">
        <f>IF(tblPO[[#This Row],[Actual_Delivery_Date]]&lt;=tblPO[[#This Row],[Expected_Delivery_Date]],1,0)</f>
        <v>1</v>
      </c>
      <c r="L167">
        <f>IF(tblPO[[#This Row],[Actual_Delivery_Date]]&gt;tblPO[[#This Row],[Expected_Delivery_Date]],1,0)</f>
        <v>0</v>
      </c>
      <c r="M167">
        <f>tblPO[[#This Row],[Actual_Delivery_Date]]-tblPO[[#This Row],[PO_Date]]</f>
        <v>16</v>
      </c>
    </row>
    <row r="168" spans="1:13" x14ac:dyDescent="0.3">
      <c r="A168" t="s">
        <v>2090</v>
      </c>
      <c r="B168" s="18">
        <v>45350</v>
      </c>
      <c r="C168" t="s">
        <v>38</v>
      </c>
      <c r="D168" t="s">
        <v>221</v>
      </c>
      <c r="E168">
        <v>6</v>
      </c>
      <c r="F168">
        <v>1903.23</v>
      </c>
      <c r="G168" s="18">
        <v>45355</v>
      </c>
      <c r="H168" s="18">
        <v>45355</v>
      </c>
      <c r="I168">
        <v>6</v>
      </c>
      <c r="J168">
        <v>11419.38</v>
      </c>
      <c r="K168">
        <f>IF(tblPO[[#This Row],[Actual_Delivery_Date]]&lt;=tblPO[[#This Row],[Expected_Delivery_Date]],1,0)</f>
        <v>1</v>
      </c>
      <c r="L168">
        <f>IF(tblPO[[#This Row],[Actual_Delivery_Date]]&gt;tblPO[[#This Row],[Expected_Delivery_Date]],1,0)</f>
        <v>0</v>
      </c>
      <c r="M168">
        <f>tblPO[[#This Row],[Actual_Delivery_Date]]-tblPO[[#This Row],[PO_Date]]</f>
        <v>5</v>
      </c>
    </row>
    <row r="169" spans="1:13" x14ac:dyDescent="0.3">
      <c r="A169" t="s">
        <v>2089</v>
      </c>
      <c r="B169" s="18">
        <v>45325</v>
      </c>
      <c r="C169" t="s">
        <v>52</v>
      </c>
      <c r="D169" t="s">
        <v>231</v>
      </c>
      <c r="E169">
        <v>191</v>
      </c>
      <c r="F169">
        <v>142.54</v>
      </c>
      <c r="G169" s="18">
        <v>45337</v>
      </c>
      <c r="H169" s="18">
        <v>45335</v>
      </c>
      <c r="I169">
        <v>191</v>
      </c>
      <c r="J169">
        <v>27225.14</v>
      </c>
      <c r="K169">
        <f>IF(tblPO[[#This Row],[Actual_Delivery_Date]]&lt;=tblPO[[#This Row],[Expected_Delivery_Date]],1,0)</f>
        <v>1</v>
      </c>
      <c r="L169">
        <f>IF(tblPO[[#This Row],[Actual_Delivery_Date]]&gt;tblPO[[#This Row],[Expected_Delivery_Date]],1,0)</f>
        <v>0</v>
      </c>
      <c r="M169">
        <f>tblPO[[#This Row],[Actual_Delivery_Date]]-tblPO[[#This Row],[PO_Date]]</f>
        <v>10</v>
      </c>
    </row>
    <row r="170" spans="1:13" x14ac:dyDescent="0.3">
      <c r="A170" t="s">
        <v>2088</v>
      </c>
      <c r="B170" s="18">
        <v>45348</v>
      </c>
      <c r="C170" t="s">
        <v>71</v>
      </c>
      <c r="D170" t="s">
        <v>146</v>
      </c>
      <c r="E170">
        <v>7</v>
      </c>
      <c r="F170">
        <v>2617.2600000000002</v>
      </c>
      <c r="G170" s="18">
        <v>45362</v>
      </c>
      <c r="H170" s="18">
        <v>45359</v>
      </c>
      <c r="I170">
        <v>7</v>
      </c>
      <c r="J170">
        <v>18320.82</v>
      </c>
      <c r="K170">
        <f>IF(tblPO[[#This Row],[Actual_Delivery_Date]]&lt;=tblPO[[#This Row],[Expected_Delivery_Date]],1,0)</f>
        <v>1</v>
      </c>
      <c r="L170">
        <f>IF(tblPO[[#This Row],[Actual_Delivery_Date]]&gt;tblPO[[#This Row],[Expected_Delivery_Date]],1,0)</f>
        <v>0</v>
      </c>
      <c r="M170">
        <f>tblPO[[#This Row],[Actual_Delivery_Date]]-tblPO[[#This Row],[PO_Date]]</f>
        <v>11</v>
      </c>
    </row>
    <row r="171" spans="1:13" x14ac:dyDescent="0.3">
      <c r="A171" t="s">
        <v>2087</v>
      </c>
      <c r="B171" s="18">
        <v>45323</v>
      </c>
      <c r="C171" t="s">
        <v>46</v>
      </c>
      <c r="D171" t="s">
        <v>86</v>
      </c>
      <c r="E171">
        <v>136</v>
      </c>
      <c r="F171">
        <v>339.89</v>
      </c>
      <c r="G171" s="18">
        <v>45346</v>
      </c>
      <c r="H171" s="18">
        <v>45345</v>
      </c>
      <c r="I171">
        <v>136</v>
      </c>
      <c r="J171">
        <v>46225.04</v>
      </c>
      <c r="K171">
        <f>IF(tblPO[[#This Row],[Actual_Delivery_Date]]&lt;=tblPO[[#This Row],[Expected_Delivery_Date]],1,0)</f>
        <v>1</v>
      </c>
      <c r="L171">
        <f>IF(tblPO[[#This Row],[Actual_Delivery_Date]]&gt;tblPO[[#This Row],[Expected_Delivery_Date]],1,0)</f>
        <v>0</v>
      </c>
      <c r="M171">
        <f>tblPO[[#This Row],[Actual_Delivery_Date]]-tblPO[[#This Row],[PO_Date]]</f>
        <v>22</v>
      </c>
    </row>
    <row r="172" spans="1:13" x14ac:dyDescent="0.3">
      <c r="A172" t="s">
        <v>2086</v>
      </c>
      <c r="B172" s="18">
        <v>45325</v>
      </c>
      <c r="C172" t="s">
        <v>48</v>
      </c>
      <c r="D172" t="s">
        <v>160</v>
      </c>
      <c r="E172">
        <v>138</v>
      </c>
      <c r="F172">
        <v>119.84</v>
      </c>
      <c r="G172" s="18">
        <v>45346</v>
      </c>
      <c r="H172" s="18">
        <v>45346</v>
      </c>
      <c r="I172">
        <v>138</v>
      </c>
      <c r="J172">
        <v>16537.919999999998</v>
      </c>
      <c r="K172">
        <f>IF(tblPO[[#This Row],[Actual_Delivery_Date]]&lt;=tblPO[[#This Row],[Expected_Delivery_Date]],1,0)</f>
        <v>1</v>
      </c>
      <c r="L172">
        <f>IF(tblPO[[#This Row],[Actual_Delivery_Date]]&gt;tblPO[[#This Row],[Expected_Delivery_Date]],1,0)</f>
        <v>0</v>
      </c>
      <c r="M172">
        <f>tblPO[[#This Row],[Actual_Delivery_Date]]-tblPO[[#This Row],[PO_Date]]</f>
        <v>21</v>
      </c>
    </row>
    <row r="173" spans="1:13" x14ac:dyDescent="0.3">
      <c r="A173" t="s">
        <v>2085</v>
      </c>
      <c r="B173" s="18">
        <v>45325</v>
      </c>
      <c r="C173" t="s">
        <v>43</v>
      </c>
      <c r="D173" t="s">
        <v>152</v>
      </c>
      <c r="E173">
        <v>638</v>
      </c>
      <c r="F173">
        <v>78.63</v>
      </c>
      <c r="G173" s="18">
        <v>45332</v>
      </c>
      <c r="H173" s="18">
        <v>45348</v>
      </c>
      <c r="I173">
        <v>594</v>
      </c>
      <c r="J173">
        <v>50165.94</v>
      </c>
      <c r="K173">
        <f>IF(tblPO[[#This Row],[Actual_Delivery_Date]]&lt;=tblPO[[#This Row],[Expected_Delivery_Date]],1,0)</f>
        <v>0</v>
      </c>
      <c r="L173">
        <f>IF(tblPO[[#This Row],[Actual_Delivery_Date]]&gt;tblPO[[#This Row],[Expected_Delivery_Date]],1,0)</f>
        <v>1</v>
      </c>
      <c r="M173">
        <f>tblPO[[#This Row],[Actual_Delivery_Date]]-tblPO[[#This Row],[PO_Date]]</f>
        <v>23</v>
      </c>
    </row>
    <row r="174" spans="1:13" x14ac:dyDescent="0.3">
      <c r="A174" t="s">
        <v>2084</v>
      </c>
      <c r="B174" s="18">
        <v>45343</v>
      </c>
      <c r="C174" t="s">
        <v>63</v>
      </c>
      <c r="D174" t="s">
        <v>160</v>
      </c>
      <c r="E174">
        <v>614</v>
      </c>
      <c r="F174">
        <v>120.09</v>
      </c>
      <c r="G174" s="18">
        <v>45373</v>
      </c>
      <c r="H174" s="18">
        <v>45371</v>
      </c>
      <c r="I174">
        <v>614</v>
      </c>
      <c r="J174">
        <v>73735.259999999995</v>
      </c>
      <c r="K174">
        <f>IF(tblPO[[#This Row],[Actual_Delivery_Date]]&lt;=tblPO[[#This Row],[Expected_Delivery_Date]],1,0)</f>
        <v>1</v>
      </c>
      <c r="L174">
        <f>IF(tblPO[[#This Row],[Actual_Delivery_Date]]&gt;tblPO[[#This Row],[Expected_Delivery_Date]],1,0)</f>
        <v>0</v>
      </c>
      <c r="M174">
        <f>tblPO[[#This Row],[Actual_Delivery_Date]]-tblPO[[#This Row],[PO_Date]]</f>
        <v>28</v>
      </c>
    </row>
    <row r="175" spans="1:13" x14ac:dyDescent="0.3">
      <c r="A175" t="s">
        <v>2083</v>
      </c>
      <c r="B175" s="18">
        <v>45339</v>
      </c>
      <c r="C175" t="s">
        <v>43</v>
      </c>
      <c r="D175" t="s">
        <v>146</v>
      </c>
      <c r="E175">
        <v>5</v>
      </c>
      <c r="F175">
        <v>2594.23</v>
      </c>
      <c r="G175" s="18">
        <v>45346</v>
      </c>
      <c r="H175" s="18">
        <v>45344</v>
      </c>
      <c r="I175">
        <v>5</v>
      </c>
      <c r="J175">
        <v>12971.15</v>
      </c>
      <c r="K175">
        <f>IF(tblPO[[#This Row],[Actual_Delivery_Date]]&lt;=tblPO[[#This Row],[Expected_Delivery_Date]],1,0)</f>
        <v>1</v>
      </c>
      <c r="L175">
        <f>IF(tblPO[[#This Row],[Actual_Delivery_Date]]&gt;tblPO[[#This Row],[Expected_Delivery_Date]],1,0)</f>
        <v>0</v>
      </c>
      <c r="M175">
        <f>tblPO[[#This Row],[Actual_Delivery_Date]]-tblPO[[#This Row],[PO_Date]]</f>
        <v>5</v>
      </c>
    </row>
    <row r="176" spans="1:13" x14ac:dyDescent="0.3">
      <c r="A176" t="s">
        <v>2082</v>
      </c>
      <c r="B176" s="18">
        <v>45332</v>
      </c>
      <c r="C176" t="s">
        <v>55</v>
      </c>
      <c r="D176" t="s">
        <v>237</v>
      </c>
      <c r="E176">
        <v>581</v>
      </c>
      <c r="F176">
        <v>97.35</v>
      </c>
      <c r="G176" s="18">
        <v>45346</v>
      </c>
      <c r="H176" s="18">
        <v>45345</v>
      </c>
      <c r="I176">
        <v>581</v>
      </c>
      <c r="J176">
        <v>56560.35</v>
      </c>
      <c r="K176">
        <f>IF(tblPO[[#This Row],[Actual_Delivery_Date]]&lt;=tblPO[[#This Row],[Expected_Delivery_Date]],1,0)</f>
        <v>1</v>
      </c>
      <c r="L176">
        <f>IF(tblPO[[#This Row],[Actual_Delivery_Date]]&gt;tblPO[[#This Row],[Expected_Delivery_Date]],1,0)</f>
        <v>0</v>
      </c>
      <c r="M176">
        <f>tblPO[[#This Row],[Actual_Delivery_Date]]-tblPO[[#This Row],[PO_Date]]</f>
        <v>13</v>
      </c>
    </row>
    <row r="177" spans="1:13" x14ac:dyDescent="0.3">
      <c r="A177" t="s">
        <v>2081</v>
      </c>
      <c r="B177" s="18">
        <v>45339</v>
      </c>
      <c r="C177" t="s">
        <v>51</v>
      </c>
      <c r="D177" t="s">
        <v>168</v>
      </c>
      <c r="E177">
        <v>145</v>
      </c>
      <c r="F177">
        <v>55.76</v>
      </c>
      <c r="G177" s="18">
        <v>45347</v>
      </c>
      <c r="H177" s="18">
        <v>45345</v>
      </c>
      <c r="I177">
        <v>145</v>
      </c>
      <c r="J177">
        <v>8085.2</v>
      </c>
      <c r="K177">
        <f>IF(tblPO[[#This Row],[Actual_Delivery_Date]]&lt;=tblPO[[#This Row],[Expected_Delivery_Date]],1,0)</f>
        <v>1</v>
      </c>
      <c r="L177">
        <f>IF(tblPO[[#This Row],[Actual_Delivery_Date]]&gt;tblPO[[#This Row],[Expected_Delivery_Date]],1,0)</f>
        <v>0</v>
      </c>
      <c r="M177">
        <f>tblPO[[#This Row],[Actual_Delivery_Date]]-tblPO[[#This Row],[PO_Date]]</f>
        <v>6</v>
      </c>
    </row>
    <row r="178" spans="1:13" x14ac:dyDescent="0.3">
      <c r="A178" t="s">
        <v>2080</v>
      </c>
      <c r="B178" s="18">
        <v>45333</v>
      </c>
      <c r="C178" t="s">
        <v>38</v>
      </c>
      <c r="D178" t="s">
        <v>212</v>
      </c>
      <c r="E178">
        <v>164</v>
      </c>
      <c r="F178">
        <v>325.64999999999998</v>
      </c>
      <c r="G178" s="18">
        <v>45337</v>
      </c>
      <c r="H178" s="18">
        <v>45334</v>
      </c>
      <c r="I178">
        <v>164</v>
      </c>
      <c r="J178">
        <v>53406.6</v>
      </c>
      <c r="K178">
        <f>IF(tblPO[[#This Row],[Actual_Delivery_Date]]&lt;=tblPO[[#This Row],[Expected_Delivery_Date]],1,0)</f>
        <v>1</v>
      </c>
      <c r="L178">
        <f>IF(tblPO[[#This Row],[Actual_Delivery_Date]]&gt;tblPO[[#This Row],[Expected_Delivery_Date]],1,0)</f>
        <v>0</v>
      </c>
      <c r="M178">
        <f>tblPO[[#This Row],[Actual_Delivery_Date]]-tblPO[[#This Row],[PO_Date]]</f>
        <v>1</v>
      </c>
    </row>
    <row r="179" spans="1:13" x14ac:dyDescent="0.3">
      <c r="A179" t="s">
        <v>2079</v>
      </c>
      <c r="B179" s="18">
        <v>45343</v>
      </c>
      <c r="C179" t="s">
        <v>49</v>
      </c>
      <c r="D179" t="s">
        <v>188</v>
      </c>
      <c r="E179">
        <v>321</v>
      </c>
      <c r="F179">
        <v>34.17</v>
      </c>
      <c r="G179" s="18">
        <v>45352</v>
      </c>
      <c r="H179" s="18">
        <v>45352</v>
      </c>
      <c r="I179">
        <v>321</v>
      </c>
      <c r="J179">
        <v>10968.57</v>
      </c>
      <c r="K179">
        <f>IF(tblPO[[#This Row],[Actual_Delivery_Date]]&lt;=tblPO[[#This Row],[Expected_Delivery_Date]],1,0)</f>
        <v>1</v>
      </c>
      <c r="L179">
        <f>IF(tblPO[[#This Row],[Actual_Delivery_Date]]&gt;tblPO[[#This Row],[Expected_Delivery_Date]],1,0)</f>
        <v>0</v>
      </c>
      <c r="M179">
        <f>tblPO[[#This Row],[Actual_Delivery_Date]]-tblPO[[#This Row],[PO_Date]]</f>
        <v>9</v>
      </c>
    </row>
    <row r="180" spans="1:13" x14ac:dyDescent="0.3">
      <c r="A180" t="s">
        <v>2078</v>
      </c>
      <c r="B180" s="18">
        <v>45340</v>
      </c>
      <c r="C180" t="s">
        <v>42</v>
      </c>
      <c r="D180" t="s">
        <v>110</v>
      </c>
      <c r="E180">
        <v>22</v>
      </c>
      <c r="F180">
        <v>5489.14</v>
      </c>
      <c r="G180" s="18">
        <v>45361</v>
      </c>
      <c r="H180" s="18">
        <v>45360</v>
      </c>
      <c r="I180">
        <v>22</v>
      </c>
      <c r="J180">
        <v>120761.08</v>
      </c>
      <c r="K180">
        <f>IF(tblPO[[#This Row],[Actual_Delivery_Date]]&lt;=tblPO[[#This Row],[Expected_Delivery_Date]],1,0)</f>
        <v>1</v>
      </c>
      <c r="L180">
        <f>IF(tblPO[[#This Row],[Actual_Delivery_Date]]&gt;tblPO[[#This Row],[Expected_Delivery_Date]],1,0)</f>
        <v>0</v>
      </c>
      <c r="M180">
        <f>tblPO[[#This Row],[Actual_Delivery_Date]]-tblPO[[#This Row],[PO_Date]]</f>
        <v>20</v>
      </c>
    </row>
    <row r="181" spans="1:13" x14ac:dyDescent="0.3">
      <c r="A181" t="s">
        <v>2077</v>
      </c>
      <c r="B181" s="18">
        <v>45332</v>
      </c>
      <c r="C181" t="s">
        <v>42</v>
      </c>
      <c r="D181" t="s">
        <v>86</v>
      </c>
      <c r="E181">
        <v>113</v>
      </c>
      <c r="F181">
        <v>350</v>
      </c>
      <c r="G181" s="18">
        <v>45358</v>
      </c>
      <c r="H181" s="18">
        <v>45355</v>
      </c>
      <c r="I181">
        <v>113</v>
      </c>
      <c r="J181">
        <v>39550</v>
      </c>
      <c r="K181">
        <f>IF(tblPO[[#This Row],[Actual_Delivery_Date]]&lt;=tblPO[[#This Row],[Expected_Delivery_Date]],1,0)</f>
        <v>1</v>
      </c>
      <c r="L181">
        <f>IF(tblPO[[#This Row],[Actual_Delivery_Date]]&gt;tblPO[[#This Row],[Expected_Delivery_Date]],1,0)</f>
        <v>0</v>
      </c>
      <c r="M181">
        <f>tblPO[[#This Row],[Actual_Delivery_Date]]-tblPO[[#This Row],[PO_Date]]</f>
        <v>23</v>
      </c>
    </row>
    <row r="182" spans="1:13" x14ac:dyDescent="0.3">
      <c r="A182" t="s">
        <v>2076</v>
      </c>
      <c r="B182" s="18">
        <v>45333</v>
      </c>
      <c r="C182" t="s">
        <v>47</v>
      </c>
      <c r="D182" t="s">
        <v>225</v>
      </c>
      <c r="E182">
        <v>62</v>
      </c>
      <c r="F182">
        <v>175.78</v>
      </c>
      <c r="G182" s="18">
        <v>45340</v>
      </c>
      <c r="H182" s="18">
        <v>45339</v>
      </c>
      <c r="I182">
        <v>62</v>
      </c>
      <c r="J182">
        <v>10898.36</v>
      </c>
      <c r="K182">
        <f>IF(tblPO[[#This Row],[Actual_Delivery_Date]]&lt;=tblPO[[#This Row],[Expected_Delivery_Date]],1,0)</f>
        <v>1</v>
      </c>
      <c r="L182">
        <f>IF(tblPO[[#This Row],[Actual_Delivery_Date]]&gt;tblPO[[#This Row],[Expected_Delivery_Date]],1,0)</f>
        <v>0</v>
      </c>
      <c r="M182">
        <f>tblPO[[#This Row],[Actual_Delivery_Date]]-tblPO[[#This Row],[PO_Date]]</f>
        <v>6</v>
      </c>
    </row>
    <row r="183" spans="1:13" x14ac:dyDescent="0.3">
      <c r="A183" t="s">
        <v>2075</v>
      </c>
      <c r="B183" s="18">
        <v>45327</v>
      </c>
      <c r="C183" t="s">
        <v>43</v>
      </c>
      <c r="D183" t="s">
        <v>149</v>
      </c>
      <c r="E183">
        <v>458</v>
      </c>
      <c r="F183">
        <v>64</v>
      </c>
      <c r="G183" s="18">
        <v>45341</v>
      </c>
      <c r="H183" s="18">
        <v>45338</v>
      </c>
      <c r="I183">
        <v>458</v>
      </c>
      <c r="J183">
        <v>29312</v>
      </c>
      <c r="K183">
        <f>IF(tblPO[[#This Row],[Actual_Delivery_Date]]&lt;=tblPO[[#This Row],[Expected_Delivery_Date]],1,0)</f>
        <v>1</v>
      </c>
      <c r="L183">
        <f>IF(tblPO[[#This Row],[Actual_Delivery_Date]]&gt;tblPO[[#This Row],[Expected_Delivery_Date]],1,0)</f>
        <v>0</v>
      </c>
      <c r="M183">
        <f>tblPO[[#This Row],[Actual_Delivery_Date]]-tblPO[[#This Row],[PO_Date]]</f>
        <v>11</v>
      </c>
    </row>
    <row r="184" spans="1:13" x14ac:dyDescent="0.3">
      <c r="A184" t="s">
        <v>2074</v>
      </c>
      <c r="B184" s="18">
        <v>45330</v>
      </c>
      <c r="C184" t="s">
        <v>41</v>
      </c>
      <c r="D184" t="s">
        <v>195</v>
      </c>
      <c r="E184">
        <v>125</v>
      </c>
      <c r="F184">
        <v>579.94000000000005</v>
      </c>
      <c r="G184" s="18">
        <v>45337</v>
      </c>
      <c r="H184" s="18">
        <v>45336</v>
      </c>
      <c r="I184">
        <v>125</v>
      </c>
      <c r="J184">
        <v>72492.5</v>
      </c>
      <c r="K184">
        <f>IF(tblPO[[#This Row],[Actual_Delivery_Date]]&lt;=tblPO[[#This Row],[Expected_Delivery_Date]],1,0)</f>
        <v>1</v>
      </c>
      <c r="L184">
        <f>IF(tblPO[[#This Row],[Actual_Delivery_Date]]&gt;tblPO[[#This Row],[Expected_Delivery_Date]],1,0)</f>
        <v>0</v>
      </c>
      <c r="M184">
        <f>tblPO[[#This Row],[Actual_Delivery_Date]]-tblPO[[#This Row],[PO_Date]]</f>
        <v>6</v>
      </c>
    </row>
    <row r="185" spans="1:13" x14ac:dyDescent="0.3">
      <c r="A185" t="s">
        <v>2073</v>
      </c>
      <c r="B185" s="18">
        <v>45350</v>
      </c>
      <c r="C185" t="s">
        <v>58</v>
      </c>
      <c r="D185" t="s">
        <v>149</v>
      </c>
      <c r="E185">
        <v>304</v>
      </c>
      <c r="F185">
        <v>87.2</v>
      </c>
      <c r="G185" s="18">
        <v>45367</v>
      </c>
      <c r="H185" s="18">
        <v>45366</v>
      </c>
      <c r="I185">
        <v>304</v>
      </c>
      <c r="J185">
        <v>26508.799999999999</v>
      </c>
      <c r="K185">
        <f>IF(tblPO[[#This Row],[Actual_Delivery_Date]]&lt;=tblPO[[#This Row],[Expected_Delivery_Date]],1,0)</f>
        <v>1</v>
      </c>
      <c r="L185">
        <f>IF(tblPO[[#This Row],[Actual_Delivery_Date]]&gt;tblPO[[#This Row],[Expected_Delivery_Date]],1,0)</f>
        <v>0</v>
      </c>
      <c r="M185">
        <f>tblPO[[#This Row],[Actual_Delivery_Date]]-tblPO[[#This Row],[PO_Date]]</f>
        <v>16</v>
      </c>
    </row>
    <row r="186" spans="1:13" x14ac:dyDescent="0.3">
      <c r="A186" t="s">
        <v>2072</v>
      </c>
      <c r="B186" s="18">
        <v>45338</v>
      </c>
      <c r="C186" t="s">
        <v>67</v>
      </c>
      <c r="D186" t="s">
        <v>106</v>
      </c>
      <c r="E186">
        <v>8</v>
      </c>
      <c r="F186">
        <v>20347.18</v>
      </c>
      <c r="G186" s="18">
        <v>45359</v>
      </c>
      <c r="H186" s="18">
        <v>45356</v>
      </c>
      <c r="I186">
        <v>8</v>
      </c>
      <c r="J186">
        <v>162777.44</v>
      </c>
      <c r="K186">
        <f>IF(tblPO[[#This Row],[Actual_Delivery_Date]]&lt;=tblPO[[#This Row],[Expected_Delivery_Date]],1,0)</f>
        <v>1</v>
      </c>
      <c r="L186">
        <f>IF(tblPO[[#This Row],[Actual_Delivery_Date]]&gt;tblPO[[#This Row],[Expected_Delivery_Date]],1,0)</f>
        <v>0</v>
      </c>
      <c r="M186">
        <f>tblPO[[#This Row],[Actual_Delivery_Date]]-tblPO[[#This Row],[PO_Date]]</f>
        <v>18</v>
      </c>
    </row>
    <row r="187" spans="1:13" x14ac:dyDescent="0.3">
      <c r="A187" t="s">
        <v>2071</v>
      </c>
      <c r="B187" s="18">
        <v>45329</v>
      </c>
      <c r="C187" t="s">
        <v>48</v>
      </c>
      <c r="D187" t="s">
        <v>160</v>
      </c>
      <c r="E187">
        <v>296</v>
      </c>
      <c r="F187">
        <v>123.08</v>
      </c>
      <c r="G187" s="18">
        <v>45359</v>
      </c>
      <c r="H187" s="18">
        <v>45356</v>
      </c>
      <c r="I187">
        <v>296</v>
      </c>
      <c r="J187">
        <v>36431.68</v>
      </c>
      <c r="K187">
        <f>IF(tblPO[[#This Row],[Actual_Delivery_Date]]&lt;=tblPO[[#This Row],[Expected_Delivery_Date]],1,0)</f>
        <v>1</v>
      </c>
      <c r="L187">
        <f>IF(tblPO[[#This Row],[Actual_Delivery_Date]]&gt;tblPO[[#This Row],[Expected_Delivery_Date]],1,0)</f>
        <v>0</v>
      </c>
      <c r="M187">
        <f>tblPO[[#This Row],[Actual_Delivery_Date]]-tblPO[[#This Row],[PO_Date]]</f>
        <v>27</v>
      </c>
    </row>
    <row r="188" spans="1:13" x14ac:dyDescent="0.3">
      <c r="A188" t="s">
        <v>2070</v>
      </c>
      <c r="B188" s="18">
        <v>45344</v>
      </c>
      <c r="C188" t="s">
        <v>39</v>
      </c>
      <c r="D188" t="s">
        <v>158</v>
      </c>
      <c r="E188">
        <v>177</v>
      </c>
      <c r="F188">
        <v>133.77000000000001</v>
      </c>
      <c r="G188" s="18">
        <v>45371</v>
      </c>
      <c r="H188" s="18">
        <v>45368</v>
      </c>
      <c r="I188">
        <v>177</v>
      </c>
      <c r="J188">
        <v>23677.29</v>
      </c>
      <c r="K188">
        <f>IF(tblPO[[#This Row],[Actual_Delivery_Date]]&lt;=tblPO[[#This Row],[Expected_Delivery_Date]],1,0)</f>
        <v>1</v>
      </c>
      <c r="L188">
        <f>IF(tblPO[[#This Row],[Actual_Delivery_Date]]&gt;tblPO[[#This Row],[Expected_Delivery_Date]],1,0)</f>
        <v>0</v>
      </c>
      <c r="M188">
        <f>tblPO[[#This Row],[Actual_Delivery_Date]]-tblPO[[#This Row],[PO_Date]]</f>
        <v>24</v>
      </c>
    </row>
    <row r="189" spans="1:13" x14ac:dyDescent="0.3">
      <c r="A189" t="s">
        <v>2069</v>
      </c>
      <c r="B189" s="18">
        <v>45346</v>
      </c>
      <c r="C189" t="s">
        <v>38</v>
      </c>
      <c r="D189" t="s">
        <v>225</v>
      </c>
      <c r="E189">
        <v>77</v>
      </c>
      <c r="F189">
        <v>213.56</v>
      </c>
      <c r="G189" s="18">
        <v>45360</v>
      </c>
      <c r="H189" s="18">
        <v>45359</v>
      </c>
      <c r="I189">
        <v>68</v>
      </c>
      <c r="J189">
        <v>16444.12</v>
      </c>
      <c r="K189">
        <f>IF(tblPO[[#This Row],[Actual_Delivery_Date]]&lt;=tblPO[[#This Row],[Expected_Delivery_Date]],1,0)</f>
        <v>1</v>
      </c>
      <c r="L189">
        <f>IF(tblPO[[#This Row],[Actual_Delivery_Date]]&gt;tblPO[[#This Row],[Expected_Delivery_Date]],1,0)</f>
        <v>0</v>
      </c>
      <c r="M189">
        <f>tblPO[[#This Row],[Actual_Delivery_Date]]-tblPO[[#This Row],[PO_Date]]</f>
        <v>13</v>
      </c>
    </row>
    <row r="190" spans="1:13" x14ac:dyDescent="0.3">
      <c r="A190" t="s">
        <v>2068</v>
      </c>
      <c r="B190" s="18">
        <v>45332</v>
      </c>
      <c r="C190" t="s">
        <v>50</v>
      </c>
      <c r="D190" t="s">
        <v>125</v>
      </c>
      <c r="E190">
        <v>151</v>
      </c>
      <c r="F190">
        <v>945.33</v>
      </c>
      <c r="G190" s="18">
        <v>45337</v>
      </c>
      <c r="H190" s="18">
        <v>45337</v>
      </c>
      <c r="I190">
        <v>151</v>
      </c>
      <c r="J190">
        <v>142744.82999999999</v>
      </c>
      <c r="K190">
        <f>IF(tblPO[[#This Row],[Actual_Delivery_Date]]&lt;=tblPO[[#This Row],[Expected_Delivery_Date]],1,0)</f>
        <v>1</v>
      </c>
      <c r="L190">
        <f>IF(tblPO[[#This Row],[Actual_Delivery_Date]]&gt;tblPO[[#This Row],[Expected_Delivery_Date]],1,0)</f>
        <v>0</v>
      </c>
      <c r="M190">
        <f>tblPO[[#This Row],[Actual_Delivery_Date]]-tblPO[[#This Row],[PO_Date]]</f>
        <v>5</v>
      </c>
    </row>
    <row r="191" spans="1:13" x14ac:dyDescent="0.3">
      <c r="A191" t="s">
        <v>2067</v>
      </c>
      <c r="B191" s="18">
        <v>45344</v>
      </c>
      <c r="C191" t="s">
        <v>63</v>
      </c>
      <c r="D191" t="s">
        <v>168</v>
      </c>
      <c r="E191">
        <v>688</v>
      </c>
      <c r="F191">
        <v>85.37</v>
      </c>
      <c r="G191" s="18">
        <v>45359</v>
      </c>
      <c r="H191" s="18">
        <v>45356</v>
      </c>
      <c r="I191">
        <v>688</v>
      </c>
      <c r="J191">
        <v>58734.559999999998</v>
      </c>
      <c r="K191">
        <f>IF(tblPO[[#This Row],[Actual_Delivery_Date]]&lt;=tblPO[[#This Row],[Expected_Delivery_Date]],1,0)</f>
        <v>1</v>
      </c>
      <c r="L191">
        <f>IF(tblPO[[#This Row],[Actual_Delivery_Date]]&gt;tblPO[[#This Row],[Expected_Delivery_Date]],1,0)</f>
        <v>0</v>
      </c>
      <c r="M191">
        <f>tblPO[[#This Row],[Actual_Delivery_Date]]-tblPO[[#This Row],[PO_Date]]</f>
        <v>12</v>
      </c>
    </row>
    <row r="192" spans="1:13" x14ac:dyDescent="0.3">
      <c r="A192" t="s">
        <v>2066</v>
      </c>
      <c r="B192" s="18">
        <v>45334</v>
      </c>
      <c r="C192" t="s">
        <v>42</v>
      </c>
      <c r="D192" t="s">
        <v>86</v>
      </c>
      <c r="E192">
        <v>152</v>
      </c>
      <c r="F192">
        <v>354.9</v>
      </c>
      <c r="G192" s="18">
        <v>45350</v>
      </c>
      <c r="H192" s="18">
        <v>45350</v>
      </c>
      <c r="I192">
        <v>152</v>
      </c>
      <c r="J192">
        <v>53944.800000000003</v>
      </c>
      <c r="K192">
        <f>IF(tblPO[[#This Row],[Actual_Delivery_Date]]&lt;=tblPO[[#This Row],[Expected_Delivery_Date]],1,0)</f>
        <v>1</v>
      </c>
      <c r="L192">
        <f>IF(tblPO[[#This Row],[Actual_Delivery_Date]]&gt;tblPO[[#This Row],[Expected_Delivery_Date]],1,0)</f>
        <v>0</v>
      </c>
      <c r="M192">
        <f>tblPO[[#This Row],[Actual_Delivery_Date]]-tblPO[[#This Row],[PO_Date]]</f>
        <v>16</v>
      </c>
    </row>
    <row r="193" spans="1:13" x14ac:dyDescent="0.3">
      <c r="A193" t="s">
        <v>2065</v>
      </c>
      <c r="B193" s="18">
        <v>45333</v>
      </c>
      <c r="C193" t="s">
        <v>50</v>
      </c>
      <c r="D193" t="s">
        <v>142</v>
      </c>
      <c r="E193">
        <v>192</v>
      </c>
      <c r="F193">
        <v>176.83</v>
      </c>
      <c r="G193" s="18">
        <v>45351</v>
      </c>
      <c r="H193" s="18">
        <v>45349</v>
      </c>
      <c r="I193">
        <v>192</v>
      </c>
      <c r="J193">
        <v>33951.360000000001</v>
      </c>
      <c r="K193">
        <f>IF(tblPO[[#This Row],[Actual_Delivery_Date]]&lt;=tblPO[[#This Row],[Expected_Delivery_Date]],1,0)</f>
        <v>1</v>
      </c>
      <c r="L193">
        <f>IF(tblPO[[#This Row],[Actual_Delivery_Date]]&gt;tblPO[[#This Row],[Expected_Delivery_Date]],1,0)</f>
        <v>0</v>
      </c>
      <c r="M193">
        <f>tblPO[[#This Row],[Actual_Delivery_Date]]-tblPO[[#This Row],[PO_Date]]</f>
        <v>16</v>
      </c>
    </row>
    <row r="194" spans="1:13" x14ac:dyDescent="0.3">
      <c r="A194" t="s">
        <v>2064</v>
      </c>
      <c r="B194" s="18">
        <v>45333</v>
      </c>
      <c r="C194" t="s">
        <v>50</v>
      </c>
      <c r="D194" t="s">
        <v>125</v>
      </c>
      <c r="E194">
        <v>166</v>
      </c>
      <c r="F194">
        <v>941.08</v>
      </c>
      <c r="G194" s="18">
        <v>45341</v>
      </c>
      <c r="H194" s="18">
        <v>45340</v>
      </c>
      <c r="I194">
        <v>166</v>
      </c>
      <c r="J194">
        <v>156219.28</v>
      </c>
      <c r="K194">
        <f>IF(tblPO[[#This Row],[Actual_Delivery_Date]]&lt;=tblPO[[#This Row],[Expected_Delivery_Date]],1,0)</f>
        <v>1</v>
      </c>
      <c r="L194">
        <f>IF(tblPO[[#This Row],[Actual_Delivery_Date]]&gt;tblPO[[#This Row],[Expected_Delivery_Date]],1,0)</f>
        <v>0</v>
      </c>
      <c r="M194">
        <f>tblPO[[#This Row],[Actual_Delivery_Date]]-tblPO[[#This Row],[PO_Date]]</f>
        <v>7</v>
      </c>
    </row>
    <row r="195" spans="1:13" x14ac:dyDescent="0.3">
      <c r="A195" t="s">
        <v>2063</v>
      </c>
      <c r="B195" s="18">
        <v>45338</v>
      </c>
      <c r="C195" t="s">
        <v>39</v>
      </c>
      <c r="D195" t="s">
        <v>160</v>
      </c>
      <c r="E195">
        <v>595</v>
      </c>
      <c r="F195">
        <v>115.04</v>
      </c>
      <c r="G195" s="18">
        <v>45368</v>
      </c>
      <c r="H195" s="18">
        <v>45365</v>
      </c>
      <c r="I195">
        <v>595</v>
      </c>
      <c r="J195">
        <v>68448.800000000003</v>
      </c>
      <c r="K195">
        <f>IF(tblPO[[#This Row],[Actual_Delivery_Date]]&lt;=tblPO[[#This Row],[Expected_Delivery_Date]],1,0)</f>
        <v>1</v>
      </c>
      <c r="L195">
        <f>IF(tblPO[[#This Row],[Actual_Delivery_Date]]&gt;tblPO[[#This Row],[Expected_Delivery_Date]],1,0)</f>
        <v>0</v>
      </c>
      <c r="M195">
        <f>tblPO[[#This Row],[Actual_Delivery_Date]]-tblPO[[#This Row],[PO_Date]]</f>
        <v>27</v>
      </c>
    </row>
    <row r="196" spans="1:13" x14ac:dyDescent="0.3">
      <c r="A196" t="s">
        <v>2062</v>
      </c>
      <c r="B196" s="18">
        <v>45332</v>
      </c>
      <c r="C196" t="s">
        <v>52</v>
      </c>
      <c r="D196" t="s">
        <v>245</v>
      </c>
      <c r="E196">
        <v>20</v>
      </c>
      <c r="F196">
        <v>4230.41</v>
      </c>
      <c r="G196" s="18">
        <v>45335</v>
      </c>
      <c r="H196" s="18">
        <v>45334</v>
      </c>
      <c r="I196">
        <v>20</v>
      </c>
      <c r="J196">
        <v>84608.2</v>
      </c>
      <c r="K196">
        <f>IF(tblPO[[#This Row],[Actual_Delivery_Date]]&lt;=tblPO[[#This Row],[Expected_Delivery_Date]],1,0)</f>
        <v>1</v>
      </c>
      <c r="L196">
        <f>IF(tblPO[[#This Row],[Actual_Delivery_Date]]&gt;tblPO[[#This Row],[Expected_Delivery_Date]],1,0)</f>
        <v>0</v>
      </c>
      <c r="M196">
        <f>tblPO[[#This Row],[Actual_Delivery_Date]]-tblPO[[#This Row],[PO_Date]]</f>
        <v>2</v>
      </c>
    </row>
    <row r="197" spans="1:13" x14ac:dyDescent="0.3">
      <c r="A197" t="s">
        <v>2061</v>
      </c>
      <c r="B197" s="18">
        <v>45324</v>
      </c>
      <c r="C197" t="s">
        <v>38</v>
      </c>
      <c r="D197" t="s">
        <v>215</v>
      </c>
      <c r="E197">
        <v>25</v>
      </c>
      <c r="F197">
        <v>3823.6</v>
      </c>
      <c r="G197" s="18">
        <v>45342</v>
      </c>
      <c r="H197" s="18">
        <v>45342</v>
      </c>
      <c r="I197">
        <v>25</v>
      </c>
      <c r="J197">
        <v>95590</v>
      </c>
      <c r="K197">
        <f>IF(tblPO[[#This Row],[Actual_Delivery_Date]]&lt;=tblPO[[#This Row],[Expected_Delivery_Date]],1,0)</f>
        <v>1</v>
      </c>
      <c r="L197">
        <f>IF(tblPO[[#This Row],[Actual_Delivery_Date]]&gt;tblPO[[#This Row],[Expected_Delivery_Date]],1,0)</f>
        <v>0</v>
      </c>
      <c r="M197">
        <f>tblPO[[#This Row],[Actual_Delivery_Date]]-tblPO[[#This Row],[PO_Date]]</f>
        <v>18</v>
      </c>
    </row>
    <row r="198" spans="1:13" x14ac:dyDescent="0.3">
      <c r="A198" t="s">
        <v>2060</v>
      </c>
      <c r="B198" s="18">
        <v>45326</v>
      </c>
      <c r="C198" t="s">
        <v>47</v>
      </c>
      <c r="D198" t="s">
        <v>237</v>
      </c>
      <c r="E198">
        <v>767</v>
      </c>
      <c r="F198">
        <v>67.760000000000005</v>
      </c>
      <c r="G198" s="18">
        <v>45335</v>
      </c>
      <c r="H198" s="18">
        <v>45334</v>
      </c>
      <c r="I198">
        <v>767</v>
      </c>
      <c r="J198">
        <v>51971.92</v>
      </c>
      <c r="K198">
        <f>IF(tblPO[[#This Row],[Actual_Delivery_Date]]&lt;=tblPO[[#This Row],[Expected_Delivery_Date]],1,0)</f>
        <v>1</v>
      </c>
      <c r="L198">
        <f>IF(tblPO[[#This Row],[Actual_Delivery_Date]]&gt;tblPO[[#This Row],[Expected_Delivery_Date]],1,0)</f>
        <v>0</v>
      </c>
      <c r="M198">
        <f>tblPO[[#This Row],[Actual_Delivery_Date]]-tblPO[[#This Row],[PO_Date]]</f>
        <v>8</v>
      </c>
    </row>
    <row r="199" spans="1:13" x14ac:dyDescent="0.3">
      <c r="A199" t="s">
        <v>2059</v>
      </c>
      <c r="B199" s="18">
        <v>45339</v>
      </c>
      <c r="C199" t="s">
        <v>50</v>
      </c>
      <c r="D199" t="s">
        <v>130</v>
      </c>
      <c r="E199">
        <v>115</v>
      </c>
      <c r="F199">
        <v>393.51</v>
      </c>
      <c r="G199" s="18">
        <v>45357</v>
      </c>
      <c r="H199" s="18">
        <v>45354</v>
      </c>
      <c r="I199">
        <v>115</v>
      </c>
      <c r="J199">
        <v>45253.65</v>
      </c>
      <c r="K199">
        <f>IF(tblPO[[#This Row],[Actual_Delivery_Date]]&lt;=tblPO[[#This Row],[Expected_Delivery_Date]],1,0)</f>
        <v>1</v>
      </c>
      <c r="L199">
        <f>IF(tblPO[[#This Row],[Actual_Delivery_Date]]&gt;tblPO[[#This Row],[Expected_Delivery_Date]],1,0)</f>
        <v>0</v>
      </c>
      <c r="M199">
        <f>tblPO[[#This Row],[Actual_Delivery_Date]]-tblPO[[#This Row],[PO_Date]]</f>
        <v>15</v>
      </c>
    </row>
    <row r="200" spans="1:13" x14ac:dyDescent="0.3">
      <c r="A200" t="s">
        <v>2058</v>
      </c>
      <c r="B200" s="18">
        <v>45344</v>
      </c>
      <c r="C200" t="s">
        <v>42</v>
      </c>
      <c r="D200" t="s">
        <v>94</v>
      </c>
      <c r="E200">
        <v>93</v>
      </c>
      <c r="F200">
        <v>500.4</v>
      </c>
      <c r="G200" s="18">
        <v>45371</v>
      </c>
      <c r="H200" s="18">
        <v>45370</v>
      </c>
      <c r="I200">
        <v>93</v>
      </c>
      <c r="J200">
        <v>46537.2</v>
      </c>
      <c r="K200">
        <f>IF(tblPO[[#This Row],[Actual_Delivery_Date]]&lt;=tblPO[[#This Row],[Expected_Delivery_Date]],1,0)</f>
        <v>1</v>
      </c>
      <c r="L200">
        <f>IF(tblPO[[#This Row],[Actual_Delivery_Date]]&gt;tblPO[[#This Row],[Expected_Delivery_Date]],1,0)</f>
        <v>0</v>
      </c>
      <c r="M200">
        <f>tblPO[[#This Row],[Actual_Delivery_Date]]-tblPO[[#This Row],[PO_Date]]</f>
        <v>26</v>
      </c>
    </row>
    <row r="201" spans="1:13" x14ac:dyDescent="0.3">
      <c r="A201" t="s">
        <v>2057</v>
      </c>
      <c r="B201" s="18">
        <v>45340</v>
      </c>
      <c r="C201" t="s">
        <v>39</v>
      </c>
      <c r="D201" t="s">
        <v>162</v>
      </c>
      <c r="E201">
        <v>400</v>
      </c>
      <c r="F201">
        <v>46.32</v>
      </c>
      <c r="G201" s="18">
        <v>45363</v>
      </c>
      <c r="H201" s="18">
        <v>45362</v>
      </c>
      <c r="I201">
        <v>400</v>
      </c>
      <c r="J201">
        <v>18528</v>
      </c>
      <c r="K201">
        <f>IF(tblPO[[#This Row],[Actual_Delivery_Date]]&lt;=tblPO[[#This Row],[Expected_Delivery_Date]],1,0)</f>
        <v>1</v>
      </c>
      <c r="L201">
        <f>IF(tblPO[[#This Row],[Actual_Delivery_Date]]&gt;tblPO[[#This Row],[Expected_Delivery_Date]],1,0)</f>
        <v>0</v>
      </c>
      <c r="M201">
        <f>tblPO[[#This Row],[Actual_Delivery_Date]]-tblPO[[#This Row],[PO_Date]]</f>
        <v>22</v>
      </c>
    </row>
    <row r="202" spans="1:13" x14ac:dyDescent="0.3">
      <c r="A202" t="s">
        <v>2056</v>
      </c>
      <c r="B202" s="18">
        <v>45340</v>
      </c>
      <c r="C202" t="s">
        <v>52</v>
      </c>
      <c r="D202" t="s">
        <v>239</v>
      </c>
      <c r="E202">
        <v>335</v>
      </c>
      <c r="F202">
        <v>95.52</v>
      </c>
      <c r="G202" s="18">
        <v>45352</v>
      </c>
      <c r="H202" s="18">
        <v>45351</v>
      </c>
      <c r="I202">
        <v>335</v>
      </c>
      <c r="J202">
        <v>31999.200000000001</v>
      </c>
      <c r="K202">
        <f>IF(tblPO[[#This Row],[Actual_Delivery_Date]]&lt;=tblPO[[#This Row],[Expected_Delivery_Date]],1,0)</f>
        <v>1</v>
      </c>
      <c r="L202">
        <f>IF(tblPO[[#This Row],[Actual_Delivery_Date]]&gt;tblPO[[#This Row],[Expected_Delivery_Date]],1,0)</f>
        <v>0</v>
      </c>
      <c r="M202">
        <f>tblPO[[#This Row],[Actual_Delivery_Date]]-tblPO[[#This Row],[PO_Date]]</f>
        <v>11</v>
      </c>
    </row>
    <row r="203" spans="1:13" x14ac:dyDescent="0.3">
      <c r="A203" t="s">
        <v>2055</v>
      </c>
      <c r="B203" s="18">
        <v>45338</v>
      </c>
      <c r="C203" t="s">
        <v>65</v>
      </c>
      <c r="D203" t="s">
        <v>185</v>
      </c>
      <c r="E203">
        <v>1543</v>
      </c>
      <c r="F203">
        <v>7.55</v>
      </c>
      <c r="G203" s="18">
        <v>45351</v>
      </c>
      <c r="H203" s="18">
        <v>45350</v>
      </c>
      <c r="I203">
        <v>1543</v>
      </c>
      <c r="J203">
        <v>11649.65</v>
      </c>
      <c r="K203">
        <f>IF(tblPO[[#This Row],[Actual_Delivery_Date]]&lt;=tblPO[[#This Row],[Expected_Delivery_Date]],1,0)</f>
        <v>1</v>
      </c>
      <c r="L203">
        <f>IF(tblPO[[#This Row],[Actual_Delivery_Date]]&gt;tblPO[[#This Row],[Expected_Delivery_Date]],1,0)</f>
        <v>0</v>
      </c>
      <c r="M203">
        <f>tblPO[[#This Row],[Actual_Delivery_Date]]-tblPO[[#This Row],[PO_Date]]</f>
        <v>12</v>
      </c>
    </row>
    <row r="204" spans="1:13" x14ac:dyDescent="0.3">
      <c r="A204" t="s">
        <v>2054</v>
      </c>
      <c r="B204" s="18">
        <v>45335</v>
      </c>
      <c r="C204" t="s">
        <v>72</v>
      </c>
      <c r="D204" t="s">
        <v>215</v>
      </c>
      <c r="E204">
        <v>14</v>
      </c>
      <c r="F204">
        <v>2620.5100000000002</v>
      </c>
      <c r="G204" s="18">
        <v>45349</v>
      </c>
      <c r="H204" s="18">
        <v>45367</v>
      </c>
      <c r="I204">
        <v>14</v>
      </c>
      <c r="J204">
        <v>36687.14</v>
      </c>
      <c r="K204">
        <f>IF(tblPO[[#This Row],[Actual_Delivery_Date]]&lt;=tblPO[[#This Row],[Expected_Delivery_Date]],1,0)</f>
        <v>0</v>
      </c>
      <c r="L204">
        <f>IF(tblPO[[#This Row],[Actual_Delivery_Date]]&gt;tblPO[[#This Row],[Expected_Delivery_Date]],1,0)</f>
        <v>1</v>
      </c>
      <c r="M204">
        <f>tblPO[[#This Row],[Actual_Delivery_Date]]-tblPO[[#This Row],[PO_Date]]</f>
        <v>32</v>
      </c>
    </row>
    <row r="205" spans="1:13" x14ac:dyDescent="0.3">
      <c r="A205" t="s">
        <v>2053</v>
      </c>
      <c r="B205" s="18">
        <v>45325</v>
      </c>
      <c r="C205" t="s">
        <v>62</v>
      </c>
      <c r="D205" t="s">
        <v>209</v>
      </c>
      <c r="E205">
        <v>781</v>
      </c>
      <c r="F205">
        <v>16.91</v>
      </c>
      <c r="G205" s="18">
        <v>45339</v>
      </c>
      <c r="H205" s="18">
        <v>45342</v>
      </c>
      <c r="I205">
        <v>781</v>
      </c>
      <c r="J205">
        <v>13206.71</v>
      </c>
      <c r="K205">
        <f>IF(tblPO[[#This Row],[Actual_Delivery_Date]]&lt;=tblPO[[#This Row],[Expected_Delivery_Date]],1,0)</f>
        <v>0</v>
      </c>
      <c r="L205">
        <f>IF(tblPO[[#This Row],[Actual_Delivery_Date]]&gt;tblPO[[#This Row],[Expected_Delivery_Date]],1,0)</f>
        <v>1</v>
      </c>
      <c r="M205">
        <f>tblPO[[#This Row],[Actual_Delivery_Date]]-tblPO[[#This Row],[PO_Date]]</f>
        <v>17</v>
      </c>
    </row>
    <row r="206" spans="1:13" x14ac:dyDescent="0.3">
      <c r="A206" t="s">
        <v>2052</v>
      </c>
      <c r="B206" s="18">
        <v>45331</v>
      </c>
      <c r="C206" t="s">
        <v>39</v>
      </c>
      <c r="D206" t="s">
        <v>170</v>
      </c>
      <c r="E206">
        <v>601</v>
      </c>
      <c r="F206">
        <v>89.85</v>
      </c>
      <c r="G206" s="18">
        <v>45360</v>
      </c>
      <c r="H206" s="18">
        <v>45358</v>
      </c>
      <c r="I206">
        <v>601</v>
      </c>
      <c r="J206">
        <v>53999.85</v>
      </c>
      <c r="K206">
        <f>IF(tblPO[[#This Row],[Actual_Delivery_Date]]&lt;=tblPO[[#This Row],[Expected_Delivery_Date]],1,0)</f>
        <v>1</v>
      </c>
      <c r="L206">
        <f>IF(tblPO[[#This Row],[Actual_Delivery_Date]]&gt;tblPO[[#This Row],[Expected_Delivery_Date]],1,0)</f>
        <v>0</v>
      </c>
      <c r="M206">
        <f>tblPO[[#This Row],[Actual_Delivery_Date]]-tblPO[[#This Row],[PO_Date]]</f>
        <v>27</v>
      </c>
    </row>
    <row r="207" spans="1:13" x14ac:dyDescent="0.3">
      <c r="A207" t="s">
        <v>2051</v>
      </c>
      <c r="B207" s="18">
        <v>45324</v>
      </c>
      <c r="C207" t="s">
        <v>50</v>
      </c>
      <c r="D207" t="s">
        <v>119</v>
      </c>
      <c r="E207">
        <v>9</v>
      </c>
      <c r="F207">
        <v>8730.23</v>
      </c>
      <c r="G207" s="18">
        <v>45334</v>
      </c>
      <c r="H207" s="18">
        <v>45331</v>
      </c>
      <c r="I207">
        <v>9</v>
      </c>
      <c r="J207">
        <v>78572.070000000007</v>
      </c>
      <c r="K207">
        <f>IF(tblPO[[#This Row],[Actual_Delivery_Date]]&lt;=tblPO[[#This Row],[Expected_Delivery_Date]],1,0)</f>
        <v>1</v>
      </c>
      <c r="L207">
        <f>IF(tblPO[[#This Row],[Actual_Delivery_Date]]&gt;tblPO[[#This Row],[Expected_Delivery_Date]],1,0)</f>
        <v>0</v>
      </c>
      <c r="M207">
        <f>tblPO[[#This Row],[Actual_Delivery_Date]]-tblPO[[#This Row],[PO_Date]]</f>
        <v>7</v>
      </c>
    </row>
    <row r="208" spans="1:13" x14ac:dyDescent="0.3">
      <c r="A208" t="s">
        <v>2050</v>
      </c>
      <c r="B208" s="18">
        <v>45344</v>
      </c>
      <c r="C208" t="s">
        <v>46</v>
      </c>
      <c r="D208" t="s">
        <v>100</v>
      </c>
      <c r="E208">
        <v>2</v>
      </c>
      <c r="F208">
        <v>57228.11</v>
      </c>
      <c r="G208" s="18">
        <v>45360</v>
      </c>
      <c r="H208" s="18">
        <v>45358</v>
      </c>
      <c r="I208">
        <v>2</v>
      </c>
      <c r="J208">
        <v>114456.22</v>
      </c>
      <c r="K208">
        <f>IF(tblPO[[#This Row],[Actual_Delivery_Date]]&lt;=tblPO[[#This Row],[Expected_Delivery_Date]],1,0)</f>
        <v>1</v>
      </c>
      <c r="L208">
        <f>IF(tblPO[[#This Row],[Actual_Delivery_Date]]&gt;tblPO[[#This Row],[Expected_Delivery_Date]],1,0)</f>
        <v>0</v>
      </c>
      <c r="M208">
        <f>tblPO[[#This Row],[Actual_Delivery_Date]]-tblPO[[#This Row],[PO_Date]]</f>
        <v>14</v>
      </c>
    </row>
    <row r="209" spans="1:13" x14ac:dyDescent="0.3">
      <c r="A209" t="s">
        <v>2049</v>
      </c>
      <c r="B209" s="18">
        <v>45347</v>
      </c>
      <c r="C209" t="s">
        <v>38</v>
      </c>
      <c r="D209" t="s">
        <v>221</v>
      </c>
      <c r="E209">
        <v>8</v>
      </c>
      <c r="F209">
        <v>1946.48</v>
      </c>
      <c r="G209" s="18">
        <v>45359</v>
      </c>
      <c r="H209" s="18">
        <v>45356</v>
      </c>
      <c r="I209">
        <v>8</v>
      </c>
      <c r="J209">
        <v>15571.84</v>
      </c>
      <c r="K209">
        <f>IF(tblPO[[#This Row],[Actual_Delivery_Date]]&lt;=tblPO[[#This Row],[Expected_Delivery_Date]],1,0)</f>
        <v>1</v>
      </c>
      <c r="L209">
        <f>IF(tblPO[[#This Row],[Actual_Delivery_Date]]&gt;tblPO[[#This Row],[Expected_Delivery_Date]],1,0)</f>
        <v>0</v>
      </c>
      <c r="M209">
        <f>tblPO[[#This Row],[Actual_Delivery_Date]]-tblPO[[#This Row],[PO_Date]]</f>
        <v>9</v>
      </c>
    </row>
    <row r="210" spans="1:13" x14ac:dyDescent="0.3">
      <c r="A210" t="s">
        <v>2048</v>
      </c>
      <c r="B210" s="18">
        <v>45340</v>
      </c>
      <c r="C210" t="s">
        <v>42</v>
      </c>
      <c r="D210" t="s">
        <v>108</v>
      </c>
      <c r="E210">
        <v>4</v>
      </c>
      <c r="F210">
        <v>14818.37</v>
      </c>
      <c r="G210" s="18">
        <v>45353</v>
      </c>
      <c r="H210" s="18">
        <v>45351</v>
      </c>
      <c r="I210">
        <v>4</v>
      </c>
      <c r="J210">
        <v>59273.48</v>
      </c>
      <c r="K210">
        <f>IF(tblPO[[#This Row],[Actual_Delivery_Date]]&lt;=tblPO[[#This Row],[Expected_Delivery_Date]],1,0)</f>
        <v>1</v>
      </c>
      <c r="L210">
        <f>IF(tblPO[[#This Row],[Actual_Delivery_Date]]&gt;tblPO[[#This Row],[Expected_Delivery_Date]],1,0)</f>
        <v>0</v>
      </c>
      <c r="M210">
        <f>tblPO[[#This Row],[Actual_Delivery_Date]]-tblPO[[#This Row],[PO_Date]]</f>
        <v>11</v>
      </c>
    </row>
    <row r="211" spans="1:13" x14ac:dyDescent="0.3">
      <c r="A211" t="s">
        <v>2047</v>
      </c>
      <c r="B211" s="18">
        <v>45349</v>
      </c>
      <c r="C211" t="s">
        <v>66</v>
      </c>
      <c r="D211" t="s">
        <v>241</v>
      </c>
      <c r="E211">
        <v>3</v>
      </c>
      <c r="F211">
        <v>2814.42</v>
      </c>
      <c r="G211" s="18">
        <v>45364</v>
      </c>
      <c r="H211" s="18">
        <v>45362</v>
      </c>
      <c r="I211">
        <v>3</v>
      </c>
      <c r="J211">
        <v>8443.26</v>
      </c>
      <c r="K211">
        <f>IF(tblPO[[#This Row],[Actual_Delivery_Date]]&lt;=tblPO[[#This Row],[Expected_Delivery_Date]],1,0)</f>
        <v>1</v>
      </c>
      <c r="L211">
        <f>IF(tblPO[[#This Row],[Actual_Delivery_Date]]&gt;tblPO[[#This Row],[Expected_Delivery_Date]],1,0)</f>
        <v>0</v>
      </c>
      <c r="M211">
        <f>tblPO[[#This Row],[Actual_Delivery_Date]]-tblPO[[#This Row],[PO_Date]]</f>
        <v>13</v>
      </c>
    </row>
    <row r="212" spans="1:13" x14ac:dyDescent="0.3">
      <c r="A212" t="s">
        <v>2046</v>
      </c>
      <c r="B212" s="18">
        <v>45323</v>
      </c>
      <c r="C212" t="s">
        <v>42</v>
      </c>
      <c r="D212" t="s">
        <v>84</v>
      </c>
      <c r="E212">
        <v>19</v>
      </c>
      <c r="F212">
        <v>233.39</v>
      </c>
      <c r="G212" s="18">
        <v>45344</v>
      </c>
      <c r="H212" s="18">
        <v>45341</v>
      </c>
      <c r="I212">
        <v>19</v>
      </c>
      <c r="J212">
        <v>4434.41</v>
      </c>
      <c r="K212">
        <f>IF(tblPO[[#This Row],[Actual_Delivery_Date]]&lt;=tblPO[[#This Row],[Expected_Delivery_Date]],1,0)</f>
        <v>1</v>
      </c>
      <c r="L212">
        <f>IF(tblPO[[#This Row],[Actual_Delivery_Date]]&gt;tblPO[[#This Row],[Expected_Delivery_Date]],1,0)</f>
        <v>0</v>
      </c>
      <c r="M212">
        <f>tblPO[[#This Row],[Actual_Delivery_Date]]-tblPO[[#This Row],[PO_Date]]</f>
        <v>18</v>
      </c>
    </row>
    <row r="213" spans="1:13" x14ac:dyDescent="0.3">
      <c r="A213" t="s">
        <v>2045</v>
      </c>
      <c r="B213" s="18">
        <v>45340</v>
      </c>
      <c r="C213" t="s">
        <v>54</v>
      </c>
      <c r="D213" t="s">
        <v>199</v>
      </c>
      <c r="E213">
        <v>174</v>
      </c>
      <c r="F213">
        <v>245.3</v>
      </c>
      <c r="G213" s="18">
        <v>45358</v>
      </c>
      <c r="H213" s="18">
        <v>45366</v>
      </c>
      <c r="I213">
        <v>174</v>
      </c>
      <c r="J213">
        <v>42682.2</v>
      </c>
      <c r="K213">
        <f>IF(tblPO[[#This Row],[Actual_Delivery_Date]]&lt;=tblPO[[#This Row],[Expected_Delivery_Date]],1,0)</f>
        <v>0</v>
      </c>
      <c r="L213">
        <f>IF(tblPO[[#This Row],[Actual_Delivery_Date]]&gt;tblPO[[#This Row],[Expected_Delivery_Date]],1,0)</f>
        <v>1</v>
      </c>
      <c r="M213">
        <f>tblPO[[#This Row],[Actual_Delivery_Date]]-tblPO[[#This Row],[PO_Date]]</f>
        <v>26</v>
      </c>
    </row>
    <row r="214" spans="1:13" x14ac:dyDescent="0.3">
      <c r="A214" t="s">
        <v>2044</v>
      </c>
      <c r="B214" s="18">
        <v>45333</v>
      </c>
      <c r="C214" t="s">
        <v>40</v>
      </c>
      <c r="D214" t="s">
        <v>127</v>
      </c>
      <c r="E214">
        <v>5</v>
      </c>
      <c r="F214">
        <v>5670.05</v>
      </c>
      <c r="G214" s="18">
        <v>45341</v>
      </c>
      <c r="H214" s="18">
        <v>45340</v>
      </c>
      <c r="I214">
        <v>5</v>
      </c>
      <c r="J214">
        <v>28350.25</v>
      </c>
      <c r="K214">
        <f>IF(tblPO[[#This Row],[Actual_Delivery_Date]]&lt;=tblPO[[#This Row],[Expected_Delivery_Date]],1,0)</f>
        <v>1</v>
      </c>
      <c r="L214">
        <f>IF(tblPO[[#This Row],[Actual_Delivery_Date]]&gt;tblPO[[#This Row],[Expected_Delivery_Date]],1,0)</f>
        <v>0</v>
      </c>
      <c r="M214">
        <f>tblPO[[#This Row],[Actual_Delivery_Date]]-tblPO[[#This Row],[PO_Date]]</f>
        <v>7</v>
      </c>
    </row>
    <row r="215" spans="1:13" x14ac:dyDescent="0.3">
      <c r="A215" t="s">
        <v>2043</v>
      </c>
      <c r="B215" s="18">
        <v>45341</v>
      </c>
      <c r="C215" t="s">
        <v>72</v>
      </c>
      <c r="D215" t="s">
        <v>251</v>
      </c>
      <c r="E215">
        <v>352</v>
      </c>
      <c r="F215">
        <v>58.89</v>
      </c>
      <c r="G215" s="18">
        <v>45350</v>
      </c>
      <c r="H215" s="18">
        <v>45350</v>
      </c>
      <c r="I215">
        <v>352</v>
      </c>
      <c r="J215">
        <v>20729.28</v>
      </c>
      <c r="K215">
        <f>IF(tblPO[[#This Row],[Actual_Delivery_Date]]&lt;=tblPO[[#This Row],[Expected_Delivery_Date]],1,0)</f>
        <v>1</v>
      </c>
      <c r="L215">
        <f>IF(tblPO[[#This Row],[Actual_Delivery_Date]]&gt;tblPO[[#This Row],[Expected_Delivery_Date]],1,0)</f>
        <v>0</v>
      </c>
      <c r="M215">
        <f>tblPO[[#This Row],[Actual_Delivery_Date]]-tblPO[[#This Row],[PO_Date]]</f>
        <v>9</v>
      </c>
    </row>
    <row r="216" spans="1:13" x14ac:dyDescent="0.3">
      <c r="A216" t="s">
        <v>2042</v>
      </c>
      <c r="B216" s="18">
        <v>45344</v>
      </c>
      <c r="C216" t="s">
        <v>39</v>
      </c>
      <c r="D216" t="s">
        <v>160</v>
      </c>
      <c r="E216">
        <v>460</v>
      </c>
      <c r="F216">
        <v>110.56</v>
      </c>
      <c r="G216" s="18">
        <v>45359</v>
      </c>
      <c r="H216" s="18">
        <v>45357</v>
      </c>
      <c r="I216">
        <v>460</v>
      </c>
      <c r="J216">
        <v>50857.599999999999</v>
      </c>
      <c r="K216">
        <f>IF(tblPO[[#This Row],[Actual_Delivery_Date]]&lt;=tblPO[[#This Row],[Expected_Delivery_Date]],1,0)</f>
        <v>1</v>
      </c>
      <c r="L216">
        <f>IF(tblPO[[#This Row],[Actual_Delivery_Date]]&gt;tblPO[[#This Row],[Expected_Delivery_Date]],1,0)</f>
        <v>0</v>
      </c>
      <c r="M216">
        <f>tblPO[[#This Row],[Actual_Delivery_Date]]-tblPO[[#This Row],[PO_Date]]</f>
        <v>13</v>
      </c>
    </row>
    <row r="217" spans="1:13" x14ac:dyDescent="0.3">
      <c r="A217" t="s">
        <v>2041</v>
      </c>
      <c r="B217" s="18">
        <v>45335</v>
      </c>
      <c r="C217" t="s">
        <v>42</v>
      </c>
      <c r="D217" t="s">
        <v>81</v>
      </c>
      <c r="E217">
        <v>5</v>
      </c>
      <c r="F217">
        <v>26299.01</v>
      </c>
      <c r="G217" s="18">
        <v>45354</v>
      </c>
      <c r="H217" s="18">
        <v>45353</v>
      </c>
      <c r="I217">
        <v>5</v>
      </c>
      <c r="J217">
        <v>131495.04999999999</v>
      </c>
      <c r="K217">
        <f>IF(tblPO[[#This Row],[Actual_Delivery_Date]]&lt;=tblPO[[#This Row],[Expected_Delivery_Date]],1,0)</f>
        <v>1</v>
      </c>
      <c r="L217">
        <f>IF(tblPO[[#This Row],[Actual_Delivery_Date]]&gt;tblPO[[#This Row],[Expected_Delivery_Date]],1,0)</f>
        <v>0</v>
      </c>
      <c r="M217">
        <f>tblPO[[#This Row],[Actual_Delivery_Date]]-tblPO[[#This Row],[PO_Date]]</f>
        <v>18</v>
      </c>
    </row>
    <row r="218" spans="1:13" x14ac:dyDescent="0.3">
      <c r="A218" t="s">
        <v>2040</v>
      </c>
      <c r="B218" s="18">
        <v>45323</v>
      </c>
      <c r="C218" t="s">
        <v>55</v>
      </c>
      <c r="D218" t="s">
        <v>233</v>
      </c>
      <c r="E218">
        <v>156</v>
      </c>
      <c r="F218">
        <v>236.75</v>
      </c>
      <c r="G218" s="18">
        <v>45343</v>
      </c>
      <c r="H218" s="18">
        <v>45341</v>
      </c>
      <c r="I218">
        <v>139</v>
      </c>
      <c r="J218">
        <v>36933</v>
      </c>
      <c r="K218">
        <f>IF(tblPO[[#This Row],[Actual_Delivery_Date]]&lt;=tblPO[[#This Row],[Expected_Delivery_Date]],1,0)</f>
        <v>1</v>
      </c>
      <c r="L218">
        <f>IF(tblPO[[#This Row],[Actual_Delivery_Date]]&gt;tblPO[[#This Row],[Expected_Delivery_Date]],1,0)</f>
        <v>0</v>
      </c>
      <c r="M218">
        <f>tblPO[[#This Row],[Actual_Delivery_Date]]-tblPO[[#This Row],[PO_Date]]</f>
        <v>18</v>
      </c>
    </row>
    <row r="219" spans="1:13" x14ac:dyDescent="0.3">
      <c r="A219" t="s">
        <v>2039</v>
      </c>
      <c r="B219" s="18">
        <v>45339</v>
      </c>
      <c r="C219" t="s">
        <v>46</v>
      </c>
      <c r="D219" t="s">
        <v>102</v>
      </c>
      <c r="E219">
        <v>185</v>
      </c>
      <c r="F219">
        <v>632.30999999999995</v>
      </c>
      <c r="G219" s="18">
        <v>45360</v>
      </c>
      <c r="H219" s="18">
        <v>45359</v>
      </c>
      <c r="I219">
        <v>185</v>
      </c>
      <c r="J219">
        <v>116977.35</v>
      </c>
      <c r="K219">
        <f>IF(tblPO[[#This Row],[Actual_Delivery_Date]]&lt;=tblPO[[#This Row],[Expected_Delivery_Date]],1,0)</f>
        <v>1</v>
      </c>
      <c r="L219">
        <f>IF(tblPO[[#This Row],[Actual_Delivery_Date]]&gt;tblPO[[#This Row],[Expected_Delivery_Date]],1,0)</f>
        <v>0</v>
      </c>
      <c r="M219">
        <f>tblPO[[#This Row],[Actual_Delivery_Date]]-tblPO[[#This Row],[PO_Date]]</f>
        <v>20</v>
      </c>
    </row>
    <row r="220" spans="1:13" x14ac:dyDescent="0.3">
      <c r="A220" t="s">
        <v>2038</v>
      </c>
      <c r="B220" s="18">
        <v>45338</v>
      </c>
      <c r="C220" t="s">
        <v>47</v>
      </c>
      <c r="D220" t="s">
        <v>237</v>
      </c>
      <c r="E220">
        <v>186</v>
      </c>
      <c r="F220">
        <v>68.819999999999993</v>
      </c>
      <c r="G220" s="18">
        <v>45345</v>
      </c>
      <c r="H220" s="18">
        <v>45344</v>
      </c>
      <c r="I220">
        <v>186</v>
      </c>
      <c r="J220">
        <v>12800.52</v>
      </c>
      <c r="K220">
        <f>IF(tblPO[[#This Row],[Actual_Delivery_Date]]&lt;=tblPO[[#This Row],[Expected_Delivery_Date]],1,0)</f>
        <v>1</v>
      </c>
      <c r="L220">
        <f>IF(tblPO[[#This Row],[Actual_Delivery_Date]]&gt;tblPO[[#This Row],[Expected_Delivery_Date]],1,0)</f>
        <v>0</v>
      </c>
      <c r="M220">
        <f>tblPO[[#This Row],[Actual_Delivery_Date]]-tblPO[[#This Row],[PO_Date]]</f>
        <v>6</v>
      </c>
    </row>
    <row r="221" spans="1:13" x14ac:dyDescent="0.3">
      <c r="A221" t="s">
        <v>2037</v>
      </c>
      <c r="B221" s="18">
        <v>45348</v>
      </c>
      <c r="C221" t="s">
        <v>53</v>
      </c>
      <c r="D221" t="s">
        <v>94</v>
      </c>
      <c r="E221">
        <v>147</v>
      </c>
      <c r="F221">
        <v>498.95</v>
      </c>
      <c r="G221" s="18">
        <v>45366</v>
      </c>
      <c r="H221" s="18">
        <v>45363</v>
      </c>
      <c r="I221">
        <v>147</v>
      </c>
      <c r="J221">
        <v>73345.649999999994</v>
      </c>
      <c r="K221">
        <f>IF(tblPO[[#This Row],[Actual_Delivery_Date]]&lt;=tblPO[[#This Row],[Expected_Delivery_Date]],1,0)</f>
        <v>1</v>
      </c>
      <c r="L221">
        <f>IF(tblPO[[#This Row],[Actual_Delivery_Date]]&gt;tblPO[[#This Row],[Expected_Delivery_Date]],1,0)</f>
        <v>0</v>
      </c>
      <c r="M221">
        <f>tblPO[[#This Row],[Actual_Delivery_Date]]-tblPO[[#This Row],[PO_Date]]</f>
        <v>15</v>
      </c>
    </row>
    <row r="222" spans="1:13" x14ac:dyDescent="0.3">
      <c r="A222" t="s">
        <v>2036</v>
      </c>
      <c r="B222" s="18">
        <v>45341</v>
      </c>
      <c r="C222" t="s">
        <v>46</v>
      </c>
      <c r="D222" t="s">
        <v>94</v>
      </c>
      <c r="E222">
        <v>29</v>
      </c>
      <c r="F222">
        <v>533.55999999999995</v>
      </c>
      <c r="G222" s="18">
        <v>45356</v>
      </c>
      <c r="H222" s="18">
        <v>45354</v>
      </c>
      <c r="I222">
        <v>29</v>
      </c>
      <c r="J222">
        <v>15473.24</v>
      </c>
      <c r="K222">
        <f>IF(tblPO[[#This Row],[Actual_Delivery_Date]]&lt;=tblPO[[#This Row],[Expected_Delivery_Date]],1,0)</f>
        <v>1</v>
      </c>
      <c r="L222">
        <f>IF(tblPO[[#This Row],[Actual_Delivery_Date]]&gt;tblPO[[#This Row],[Expected_Delivery_Date]],1,0)</f>
        <v>0</v>
      </c>
      <c r="M222">
        <f>tblPO[[#This Row],[Actual_Delivery_Date]]-tblPO[[#This Row],[PO_Date]]</f>
        <v>13</v>
      </c>
    </row>
    <row r="223" spans="1:13" x14ac:dyDescent="0.3">
      <c r="A223" t="s">
        <v>2035</v>
      </c>
      <c r="B223" s="18">
        <v>45337</v>
      </c>
      <c r="C223" t="s">
        <v>50</v>
      </c>
      <c r="D223" t="s">
        <v>138</v>
      </c>
      <c r="E223">
        <v>18</v>
      </c>
      <c r="F223">
        <v>3771.98</v>
      </c>
      <c r="G223" s="18">
        <v>45343</v>
      </c>
      <c r="H223" s="18">
        <v>45343</v>
      </c>
      <c r="I223">
        <v>18</v>
      </c>
      <c r="J223">
        <v>67895.64</v>
      </c>
      <c r="K223">
        <f>IF(tblPO[[#This Row],[Actual_Delivery_Date]]&lt;=tblPO[[#This Row],[Expected_Delivery_Date]],1,0)</f>
        <v>1</v>
      </c>
      <c r="L223">
        <f>IF(tblPO[[#This Row],[Actual_Delivery_Date]]&gt;tblPO[[#This Row],[Expected_Delivery_Date]],1,0)</f>
        <v>0</v>
      </c>
      <c r="M223">
        <f>tblPO[[#This Row],[Actual_Delivery_Date]]-tblPO[[#This Row],[PO_Date]]</f>
        <v>6</v>
      </c>
    </row>
    <row r="224" spans="1:13" x14ac:dyDescent="0.3">
      <c r="A224" t="s">
        <v>2034</v>
      </c>
      <c r="B224" s="18">
        <v>45337</v>
      </c>
      <c r="C224" t="s">
        <v>60</v>
      </c>
      <c r="D224" t="s">
        <v>125</v>
      </c>
      <c r="E224">
        <v>24</v>
      </c>
      <c r="F224">
        <v>681.02</v>
      </c>
      <c r="G224" s="18">
        <v>45344</v>
      </c>
      <c r="H224" s="18">
        <v>45344</v>
      </c>
      <c r="I224">
        <v>24</v>
      </c>
      <c r="J224">
        <v>16344.48</v>
      </c>
      <c r="K224">
        <f>IF(tblPO[[#This Row],[Actual_Delivery_Date]]&lt;=tblPO[[#This Row],[Expected_Delivery_Date]],1,0)</f>
        <v>1</v>
      </c>
      <c r="L224">
        <f>IF(tblPO[[#This Row],[Actual_Delivery_Date]]&gt;tblPO[[#This Row],[Expected_Delivery_Date]],1,0)</f>
        <v>0</v>
      </c>
      <c r="M224">
        <f>tblPO[[#This Row],[Actual_Delivery_Date]]-tblPO[[#This Row],[PO_Date]]</f>
        <v>7</v>
      </c>
    </row>
    <row r="225" spans="1:13" x14ac:dyDescent="0.3">
      <c r="A225" t="s">
        <v>2033</v>
      </c>
      <c r="B225" s="18">
        <v>45346</v>
      </c>
      <c r="C225" t="s">
        <v>49</v>
      </c>
      <c r="D225" t="s">
        <v>193</v>
      </c>
      <c r="E225">
        <v>365</v>
      </c>
      <c r="F225">
        <v>30.71</v>
      </c>
      <c r="G225" s="18">
        <v>45349</v>
      </c>
      <c r="H225" s="18">
        <v>45346</v>
      </c>
      <c r="I225">
        <v>365</v>
      </c>
      <c r="J225">
        <v>11209.15</v>
      </c>
      <c r="K225">
        <f>IF(tblPO[[#This Row],[Actual_Delivery_Date]]&lt;=tblPO[[#This Row],[Expected_Delivery_Date]],1,0)</f>
        <v>1</v>
      </c>
      <c r="L225">
        <f>IF(tblPO[[#This Row],[Actual_Delivery_Date]]&gt;tblPO[[#This Row],[Expected_Delivery_Date]],1,0)</f>
        <v>0</v>
      </c>
      <c r="M225">
        <f>tblPO[[#This Row],[Actual_Delivery_Date]]-tblPO[[#This Row],[PO_Date]]</f>
        <v>0</v>
      </c>
    </row>
    <row r="226" spans="1:13" x14ac:dyDescent="0.3">
      <c r="A226" t="s">
        <v>2032</v>
      </c>
      <c r="B226" s="18">
        <v>45334</v>
      </c>
      <c r="C226" t="s">
        <v>48</v>
      </c>
      <c r="D226" t="s">
        <v>158</v>
      </c>
      <c r="E226">
        <v>118</v>
      </c>
      <c r="F226">
        <v>138.12</v>
      </c>
      <c r="G226" s="18">
        <v>45348</v>
      </c>
      <c r="H226" s="18">
        <v>45345</v>
      </c>
      <c r="I226">
        <v>118</v>
      </c>
      <c r="J226">
        <v>16298.16</v>
      </c>
      <c r="K226">
        <f>IF(tblPO[[#This Row],[Actual_Delivery_Date]]&lt;=tblPO[[#This Row],[Expected_Delivery_Date]],1,0)</f>
        <v>1</v>
      </c>
      <c r="L226">
        <f>IF(tblPO[[#This Row],[Actual_Delivery_Date]]&gt;tblPO[[#This Row],[Expected_Delivery_Date]],1,0)</f>
        <v>0</v>
      </c>
      <c r="M226">
        <f>tblPO[[#This Row],[Actual_Delivery_Date]]-tblPO[[#This Row],[PO_Date]]</f>
        <v>11</v>
      </c>
    </row>
    <row r="227" spans="1:13" x14ac:dyDescent="0.3">
      <c r="A227" t="s">
        <v>2031</v>
      </c>
      <c r="B227" s="18">
        <v>45324</v>
      </c>
      <c r="C227" t="s">
        <v>39</v>
      </c>
      <c r="D227" t="s">
        <v>174</v>
      </c>
      <c r="E227">
        <v>533</v>
      </c>
      <c r="F227">
        <v>46.58</v>
      </c>
      <c r="G227" s="18">
        <v>45345</v>
      </c>
      <c r="H227" s="18">
        <v>45343</v>
      </c>
      <c r="I227">
        <v>533</v>
      </c>
      <c r="J227">
        <v>24827.14</v>
      </c>
      <c r="K227">
        <f>IF(tblPO[[#This Row],[Actual_Delivery_Date]]&lt;=tblPO[[#This Row],[Expected_Delivery_Date]],1,0)</f>
        <v>1</v>
      </c>
      <c r="L227">
        <f>IF(tblPO[[#This Row],[Actual_Delivery_Date]]&gt;tblPO[[#This Row],[Expected_Delivery_Date]],1,0)</f>
        <v>0</v>
      </c>
      <c r="M227">
        <f>tblPO[[#This Row],[Actual_Delivery_Date]]-tblPO[[#This Row],[PO_Date]]</f>
        <v>19</v>
      </c>
    </row>
    <row r="228" spans="1:13" x14ac:dyDescent="0.3">
      <c r="A228" t="s">
        <v>2030</v>
      </c>
      <c r="B228" s="18">
        <v>45334</v>
      </c>
      <c r="C228" t="s">
        <v>40</v>
      </c>
      <c r="D228" t="s">
        <v>119</v>
      </c>
      <c r="E228">
        <v>15</v>
      </c>
      <c r="F228">
        <v>9029.16</v>
      </c>
      <c r="G228" s="18">
        <v>45349</v>
      </c>
      <c r="H228" s="18">
        <v>45349</v>
      </c>
      <c r="I228">
        <v>15</v>
      </c>
      <c r="J228">
        <v>135437.4</v>
      </c>
      <c r="K228">
        <f>IF(tblPO[[#This Row],[Actual_Delivery_Date]]&lt;=tblPO[[#This Row],[Expected_Delivery_Date]],1,0)</f>
        <v>1</v>
      </c>
      <c r="L228">
        <f>IF(tblPO[[#This Row],[Actual_Delivery_Date]]&gt;tblPO[[#This Row],[Expected_Delivery_Date]],1,0)</f>
        <v>0</v>
      </c>
      <c r="M228">
        <f>tblPO[[#This Row],[Actual_Delivery_Date]]-tblPO[[#This Row],[PO_Date]]</f>
        <v>15</v>
      </c>
    </row>
    <row r="229" spans="1:13" x14ac:dyDescent="0.3">
      <c r="A229" t="s">
        <v>2029</v>
      </c>
      <c r="B229" s="18">
        <v>45327</v>
      </c>
      <c r="C229" t="s">
        <v>51</v>
      </c>
      <c r="D229" t="s">
        <v>156</v>
      </c>
      <c r="E229">
        <v>602</v>
      </c>
      <c r="F229">
        <v>48.49</v>
      </c>
      <c r="G229" s="18">
        <v>45341</v>
      </c>
      <c r="H229" s="18">
        <v>45341</v>
      </c>
      <c r="I229">
        <v>602</v>
      </c>
      <c r="J229">
        <v>29190.98</v>
      </c>
      <c r="K229">
        <f>IF(tblPO[[#This Row],[Actual_Delivery_Date]]&lt;=tblPO[[#This Row],[Expected_Delivery_Date]],1,0)</f>
        <v>1</v>
      </c>
      <c r="L229">
        <f>IF(tblPO[[#This Row],[Actual_Delivery_Date]]&gt;tblPO[[#This Row],[Expected_Delivery_Date]],1,0)</f>
        <v>0</v>
      </c>
      <c r="M229">
        <f>tblPO[[#This Row],[Actual_Delivery_Date]]-tblPO[[#This Row],[PO_Date]]</f>
        <v>14</v>
      </c>
    </row>
    <row r="230" spans="1:13" x14ac:dyDescent="0.3">
      <c r="A230" t="s">
        <v>2028</v>
      </c>
      <c r="B230" s="18">
        <v>45323</v>
      </c>
      <c r="C230" t="s">
        <v>49</v>
      </c>
      <c r="D230" t="s">
        <v>185</v>
      </c>
      <c r="E230">
        <v>1809</v>
      </c>
      <c r="F230">
        <v>7.77</v>
      </c>
      <c r="G230" s="18">
        <v>45326</v>
      </c>
      <c r="H230" s="18">
        <v>45339</v>
      </c>
      <c r="I230">
        <v>1809</v>
      </c>
      <c r="J230">
        <v>14055.93</v>
      </c>
      <c r="K230">
        <f>IF(tblPO[[#This Row],[Actual_Delivery_Date]]&lt;=tblPO[[#This Row],[Expected_Delivery_Date]],1,0)</f>
        <v>0</v>
      </c>
      <c r="L230">
        <f>IF(tblPO[[#This Row],[Actual_Delivery_Date]]&gt;tblPO[[#This Row],[Expected_Delivery_Date]],1,0)</f>
        <v>1</v>
      </c>
      <c r="M230">
        <f>tblPO[[#This Row],[Actual_Delivery_Date]]-tblPO[[#This Row],[PO_Date]]</f>
        <v>16</v>
      </c>
    </row>
    <row r="231" spans="1:13" x14ac:dyDescent="0.3">
      <c r="A231" t="s">
        <v>2027</v>
      </c>
      <c r="B231" s="18">
        <v>45349</v>
      </c>
      <c r="C231" t="s">
        <v>62</v>
      </c>
      <c r="D231" t="s">
        <v>193</v>
      </c>
      <c r="E231">
        <v>438</v>
      </c>
      <c r="F231">
        <v>32.35</v>
      </c>
      <c r="G231" s="18">
        <v>45359</v>
      </c>
      <c r="H231" s="18">
        <v>45358</v>
      </c>
      <c r="I231">
        <v>438</v>
      </c>
      <c r="J231">
        <v>14169.3</v>
      </c>
      <c r="K231">
        <f>IF(tblPO[[#This Row],[Actual_Delivery_Date]]&lt;=tblPO[[#This Row],[Expected_Delivery_Date]],1,0)</f>
        <v>1</v>
      </c>
      <c r="L231">
        <f>IF(tblPO[[#This Row],[Actual_Delivery_Date]]&gt;tblPO[[#This Row],[Expected_Delivery_Date]],1,0)</f>
        <v>0</v>
      </c>
      <c r="M231">
        <f>tblPO[[#This Row],[Actual_Delivery_Date]]-tblPO[[#This Row],[PO_Date]]</f>
        <v>9</v>
      </c>
    </row>
    <row r="232" spans="1:13" x14ac:dyDescent="0.3">
      <c r="A232" t="s">
        <v>2026</v>
      </c>
      <c r="B232" s="18">
        <v>45347</v>
      </c>
      <c r="C232" t="s">
        <v>52</v>
      </c>
      <c r="D232" t="s">
        <v>239</v>
      </c>
      <c r="E232">
        <v>792</v>
      </c>
      <c r="F232">
        <v>95.37</v>
      </c>
      <c r="G232" s="18">
        <v>45353</v>
      </c>
      <c r="H232" s="18">
        <v>45353</v>
      </c>
      <c r="I232">
        <v>792</v>
      </c>
      <c r="J232">
        <v>75533.039999999994</v>
      </c>
      <c r="K232">
        <f>IF(tblPO[[#This Row],[Actual_Delivery_Date]]&lt;=tblPO[[#This Row],[Expected_Delivery_Date]],1,0)</f>
        <v>1</v>
      </c>
      <c r="L232">
        <f>IF(tblPO[[#This Row],[Actual_Delivery_Date]]&gt;tblPO[[#This Row],[Expected_Delivery_Date]],1,0)</f>
        <v>0</v>
      </c>
      <c r="M232">
        <f>tblPO[[#This Row],[Actual_Delivery_Date]]-tblPO[[#This Row],[PO_Date]]</f>
        <v>6</v>
      </c>
    </row>
    <row r="233" spans="1:13" x14ac:dyDescent="0.3">
      <c r="A233" t="s">
        <v>2025</v>
      </c>
      <c r="B233" s="18">
        <v>45326</v>
      </c>
      <c r="C233" t="s">
        <v>38</v>
      </c>
      <c r="D233" t="s">
        <v>251</v>
      </c>
      <c r="E233">
        <v>118</v>
      </c>
      <c r="F233">
        <v>83.24</v>
      </c>
      <c r="G233" s="18">
        <v>45330</v>
      </c>
      <c r="H233" s="18">
        <v>45327</v>
      </c>
      <c r="I233">
        <v>118</v>
      </c>
      <c r="J233">
        <v>9822.32</v>
      </c>
      <c r="K233">
        <f>IF(tblPO[[#This Row],[Actual_Delivery_Date]]&lt;=tblPO[[#This Row],[Expected_Delivery_Date]],1,0)</f>
        <v>1</v>
      </c>
      <c r="L233">
        <f>IF(tblPO[[#This Row],[Actual_Delivery_Date]]&gt;tblPO[[#This Row],[Expected_Delivery_Date]],1,0)</f>
        <v>0</v>
      </c>
      <c r="M233">
        <f>tblPO[[#This Row],[Actual_Delivery_Date]]-tblPO[[#This Row],[PO_Date]]</f>
        <v>1</v>
      </c>
    </row>
    <row r="234" spans="1:13" x14ac:dyDescent="0.3">
      <c r="A234" t="s">
        <v>2024</v>
      </c>
      <c r="B234" s="18">
        <v>45340</v>
      </c>
      <c r="C234" t="s">
        <v>43</v>
      </c>
      <c r="D234" t="s">
        <v>176</v>
      </c>
      <c r="E234">
        <v>289</v>
      </c>
      <c r="F234">
        <v>37.5</v>
      </c>
      <c r="G234" s="18">
        <v>45349</v>
      </c>
      <c r="H234" s="18">
        <v>45346</v>
      </c>
      <c r="I234">
        <v>289</v>
      </c>
      <c r="J234">
        <v>10837.5</v>
      </c>
      <c r="K234">
        <f>IF(tblPO[[#This Row],[Actual_Delivery_Date]]&lt;=tblPO[[#This Row],[Expected_Delivery_Date]],1,0)</f>
        <v>1</v>
      </c>
      <c r="L234">
        <f>IF(tblPO[[#This Row],[Actual_Delivery_Date]]&gt;tblPO[[#This Row],[Expected_Delivery_Date]],1,0)</f>
        <v>0</v>
      </c>
      <c r="M234">
        <f>tblPO[[#This Row],[Actual_Delivery_Date]]-tblPO[[#This Row],[PO_Date]]</f>
        <v>6</v>
      </c>
    </row>
    <row r="235" spans="1:13" x14ac:dyDescent="0.3">
      <c r="A235" t="s">
        <v>2023</v>
      </c>
      <c r="B235" s="18">
        <v>45341</v>
      </c>
      <c r="C235" t="s">
        <v>52</v>
      </c>
      <c r="D235" t="s">
        <v>233</v>
      </c>
      <c r="E235">
        <v>197</v>
      </c>
      <c r="F235">
        <v>199.37</v>
      </c>
      <c r="G235" s="18">
        <v>45354</v>
      </c>
      <c r="H235" s="18">
        <v>45353</v>
      </c>
      <c r="I235">
        <v>197</v>
      </c>
      <c r="J235">
        <v>39275.89</v>
      </c>
      <c r="K235">
        <f>IF(tblPO[[#This Row],[Actual_Delivery_Date]]&lt;=tblPO[[#This Row],[Expected_Delivery_Date]],1,0)</f>
        <v>1</v>
      </c>
      <c r="L235">
        <f>IF(tblPO[[#This Row],[Actual_Delivery_Date]]&gt;tblPO[[#This Row],[Expected_Delivery_Date]],1,0)</f>
        <v>0</v>
      </c>
      <c r="M235">
        <f>tblPO[[#This Row],[Actual_Delivery_Date]]-tblPO[[#This Row],[PO_Date]]</f>
        <v>12</v>
      </c>
    </row>
    <row r="236" spans="1:13" x14ac:dyDescent="0.3">
      <c r="A236" t="s">
        <v>2022</v>
      </c>
      <c r="B236" s="18">
        <v>45339</v>
      </c>
      <c r="C236" t="s">
        <v>68</v>
      </c>
      <c r="D236" t="s">
        <v>146</v>
      </c>
      <c r="E236">
        <v>23</v>
      </c>
      <c r="F236">
        <v>2121.67</v>
      </c>
      <c r="G236" s="18">
        <v>45349</v>
      </c>
      <c r="H236" s="18">
        <v>45348</v>
      </c>
      <c r="I236">
        <v>22</v>
      </c>
      <c r="J236">
        <v>48798.41</v>
      </c>
      <c r="K236">
        <f>IF(tblPO[[#This Row],[Actual_Delivery_Date]]&lt;=tblPO[[#This Row],[Expected_Delivery_Date]],1,0)</f>
        <v>1</v>
      </c>
      <c r="L236">
        <f>IF(tblPO[[#This Row],[Actual_Delivery_Date]]&gt;tblPO[[#This Row],[Expected_Delivery_Date]],1,0)</f>
        <v>0</v>
      </c>
      <c r="M236">
        <f>tblPO[[#This Row],[Actual_Delivery_Date]]-tblPO[[#This Row],[PO_Date]]</f>
        <v>9</v>
      </c>
    </row>
    <row r="237" spans="1:13" x14ac:dyDescent="0.3">
      <c r="A237" t="s">
        <v>2021</v>
      </c>
      <c r="B237" s="18">
        <v>45343</v>
      </c>
      <c r="C237" t="s">
        <v>49</v>
      </c>
      <c r="D237" t="s">
        <v>179</v>
      </c>
      <c r="E237">
        <v>229</v>
      </c>
      <c r="F237">
        <v>19.72</v>
      </c>
      <c r="G237" s="18">
        <v>45359</v>
      </c>
      <c r="H237" s="18">
        <v>45356</v>
      </c>
      <c r="I237">
        <v>229</v>
      </c>
      <c r="J237">
        <v>4515.88</v>
      </c>
      <c r="K237">
        <f>IF(tblPO[[#This Row],[Actual_Delivery_Date]]&lt;=tblPO[[#This Row],[Expected_Delivery_Date]],1,0)</f>
        <v>1</v>
      </c>
      <c r="L237">
        <f>IF(tblPO[[#This Row],[Actual_Delivery_Date]]&gt;tblPO[[#This Row],[Expected_Delivery_Date]],1,0)</f>
        <v>0</v>
      </c>
      <c r="M237">
        <f>tblPO[[#This Row],[Actual_Delivery_Date]]-tblPO[[#This Row],[PO_Date]]</f>
        <v>13</v>
      </c>
    </row>
    <row r="238" spans="1:13" x14ac:dyDescent="0.3">
      <c r="A238" t="s">
        <v>2020</v>
      </c>
      <c r="B238" s="18">
        <v>45333</v>
      </c>
      <c r="C238" t="s">
        <v>54</v>
      </c>
      <c r="D238" t="s">
        <v>188</v>
      </c>
      <c r="E238">
        <v>587</v>
      </c>
      <c r="F238">
        <v>30.05</v>
      </c>
      <c r="G238" s="18">
        <v>45349</v>
      </c>
      <c r="H238" s="18">
        <v>45348</v>
      </c>
      <c r="I238">
        <v>587</v>
      </c>
      <c r="J238">
        <v>17639.349999999999</v>
      </c>
      <c r="K238">
        <f>IF(tblPO[[#This Row],[Actual_Delivery_Date]]&lt;=tblPO[[#This Row],[Expected_Delivery_Date]],1,0)</f>
        <v>1</v>
      </c>
      <c r="L238">
        <f>IF(tblPO[[#This Row],[Actual_Delivery_Date]]&gt;tblPO[[#This Row],[Expected_Delivery_Date]],1,0)</f>
        <v>0</v>
      </c>
      <c r="M238">
        <f>tblPO[[#This Row],[Actual_Delivery_Date]]-tblPO[[#This Row],[PO_Date]]</f>
        <v>15</v>
      </c>
    </row>
    <row r="239" spans="1:13" x14ac:dyDescent="0.3">
      <c r="A239" t="s">
        <v>2019</v>
      </c>
      <c r="B239" s="18">
        <v>45332</v>
      </c>
      <c r="C239" t="s">
        <v>55</v>
      </c>
      <c r="D239" t="s">
        <v>217</v>
      </c>
      <c r="E239">
        <v>280</v>
      </c>
      <c r="F239">
        <v>31.29</v>
      </c>
      <c r="G239" s="18">
        <v>45348</v>
      </c>
      <c r="H239" s="18">
        <v>45345</v>
      </c>
      <c r="I239">
        <v>280</v>
      </c>
      <c r="J239">
        <v>8761.2000000000007</v>
      </c>
      <c r="K239">
        <f>IF(tblPO[[#This Row],[Actual_Delivery_Date]]&lt;=tblPO[[#This Row],[Expected_Delivery_Date]],1,0)</f>
        <v>1</v>
      </c>
      <c r="L239">
        <f>IF(tblPO[[#This Row],[Actual_Delivery_Date]]&gt;tblPO[[#This Row],[Expected_Delivery_Date]],1,0)</f>
        <v>0</v>
      </c>
      <c r="M239">
        <f>tblPO[[#This Row],[Actual_Delivery_Date]]-tblPO[[#This Row],[PO_Date]]</f>
        <v>13</v>
      </c>
    </row>
    <row r="240" spans="1:13" x14ac:dyDescent="0.3">
      <c r="A240" t="s">
        <v>2018</v>
      </c>
      <c r="B240" s="18">
        <v>45335</v>
      </c>
      <c r="C240" t="s">
        <v>40</v>
      </c>
      <c r="D240" t="s">
        <v>130</v>
      </c>
      <c r="E240">
        <v>44</v>
      </c>
      <c r="F240">
        <v>400.83</v>
      </c>
      <c r="G240" s="18">
        <v>45345</v>
      </c>
      <c r="H240" s="18">
        <v>45344</v>
      </c>
      <c r="I240">
        <v>44</v>
      </c>
      <c r="J240">
        <v>17636.52</v>
      </c>
      <c r="K240">
        <f>IF(tblPO[[#This Row],[Actual_Delivery_Date]]&lt;=tblPO[[#This Row],[Expected_Delivery_Date]],1,0)</f>
        <v>1</v>
      </c>
      <c r="L240">
        <f>IF(tblPO[[#This Row],[Actual_Delivery_Date]]&gt;tblPO[[#This Row],[Expected_Delivery_Date]],1,0)</f>
        <v>0</v>
      </c>
      <c r="M240">
        <f>tblPO[[#This Row],[Actual_Delivery_Date]]-tblPO[[#This Row],[PO_Date]]</f>
        <v>9</v>
      </c>
    </row>
    <row r="241" spans="1:13" x14ac:dyDescent="0.3">
      <c r="A241" t="s">
        <v>2017</v>
      </c>
      <c r="B241" s="18">
        <v>45325</v>
      </c>
      <c r="C241" t="s">
        <v>41</v>
      </c>
      <c r="D241" t="s">
        <v>179</v>
      </c>
      <c r="E241">
        <v>429</v>
      </c>
      <c r="F241">
        <v>20.16</v>
      </c>
      <c r="G241" s="18">
        <v>45334</v>
      </c>
      <c r="H241" s="18">
        <v>45334</v>
      </c>
      <c r="I241">
        <v>429</v>
      </c>
      <c r="J241">
        <v>8648.64</v>
      </c>
      <c r="K241">
        <f>IF(tblPO[[#This Row],[Actual_Delivery_Date]]&lt;=tblPO[[#This Row],[Expected_Delivery_Date]],1,0)</f>
        <v>1</v>
      </c>
      <c r="L241">
        <f>IF(tblPO[[#This Row],[Actual_Delivery_Date]]&gt;tblPO[[#This Row],[Expected_Delivery_Date]],1,0)</f>
        <v>0</v>
      </c>
      <c r="M241">
        <f>tblPO[[#This Row],[Actual_Delivery_Date]]-tblPO[[#This Row],[PO_Date]]</f>
        <v>9</v>
      </c>
    </row>
    <row r="242" spans="1:13" x14ac:dyDescent="0.3">
      <c r="A242" t="s">
        <v>2016</v>
      </c>
      <c r="B242" s="18">
        <v>45329</v>
      </c>
      <c r="C242" t="s">
        <v>67</v>
      </c>
      <c r="D242" t="s">
        <v>92</v>
      </c>
      <c r="E242">
        <v>4</v>
      </c>
      <c r="F242">
        <v>4026.02</v>
      </c>
      <c r="G242" s="18">
        <v>45359</v>
      </c>
      <c r="H242" s="18">
        <v>45357</v>
      </c>
      <c r="I242">
        <v>4</v>
      </c>
      <c r="J242">
        <v>16104.08</v>
      </c>
      <c r="K242">
        <f>IF(tblPO[[#This Row],[Actual_Delivery_Date]]&lt;=tblPO[[#This Row],[Expected_Delivery_Date]],1,0)</f>
        <v>1</v>
      </c>
      <c r="L242">
        <f>IF(tblPO[[#This Row],[Actual_Delivery_Date]]&gt;tblPO[[#This Row],[Expected_Delivery_Date]],1,0)</f>
        <v>0</v>
      </c>
      <c r="M242">
        <f>tblPO[[#This Row],[Actual_Delivery_Date]]-tblPO[[#This Row],[PO_Date]]</f>
        <v>28</v>
      </c>
    </row>
    <row r="243" spans="1:13" x14ac:dyDescent="0.3">
      <c r="A243" t="s">
        <v>2015</v>
      </c>
      <c r="B243" s="18">
        <v>45329</v>
      </c>
      <c r="C243" t="s">
        <v>55</v>
      </c>
      <c r="D243" t="s">
        <v>231</v>
      </c>
      <c r="E243">
        <v>13</v>
      </c>
      <c r="F243">
        <v>159.84</v>
      </c>
      <c r="G243" s="18">
        <v>45347</v>
      </c>
      <c r="H243" s="18">
        <v>45348</v>
      </c>
      <c r="I243">
        <v>13</v>
      </c>
      <c r="J243">
        <v>2077.92</v>
      </c>
      <c r="K243">
        <f>IF(tblPO[[#This Row],[Actual_Delivery_Date]]&lt;=tblPO[[#This Row],[Expected_Delivery_Date]],1,0)</f>
        <v>0</v>
      </c>
      <c r="L243">
        <f>IF(tblPO[[#This Row],[Actual_Delivery_Date]]&gt;tblPO[[#This Row],[Expected_Delivery_Date]],1,0)</f>
        <v>1</v>
      </c>
      <c r="M243">
        <f>tblPO[[#This Row],[Actual_Delivery_Date]]-tblPO[[#This Row],[PO_Date]]</f>
        <v>19</v>
      </c>
    </row>
    <row r="244" spans="1:13" x14ac:dyDescent="0.3">
      <c r="A244" t="s">
        <v>2014</v>
      </c>
      <c r="B244" s="18">
        <v>45345</v>
      </c>
      <c r="C244" t="s">
        <v>62</v>
      </c>
      <c r="D244" t="s">
        <v>183</v>
      </c>
      <c r="E244">
        <v>298</v>
      </c>
      <c r="F244">
        <v>11.14</v>
      </c>
      <c r="G244" s="18">
        <v>45354</v>
      </c>
      <c r="H244" s="18">
        <v>45352</v>
      </c>
      <c r="I244">
        <v>298</v>
      </c>
      <c r="J244">
        <v>3319.72</v>
      </c>
      <c r="K244">
        <f>IF(tblPO[[#This Row],[Actual_Delivery_Date]]&lt;=tblPO[[#This Row],[Expected_Delivery_Date]],1,0)</f>
        <v>1</v>
      </c>
      <c r="L244">
        <f>IF(tblPO[[#This Row],[Actual_Delivery_Date]]&gt;tblPO[[#This Row],[Expected_Delivery_Date]],1,0)</f>
        <v>0</v>
      </c>
      <c r="M244">
        <f>tblPO[[#This Row],[Actual_Delivery_Date]]-tblPO[[#This Row],[PO_Date]]</f>
        <v>7</v>
      </c>
    </row>
    <row r="245" spans="1:13" x14ac:dyDescent="0.3">
      <c r="A245" t="s">
        <v>2013</v>
      </c>
      <c r="B245" s="18">
        <v>45340</v>
      </c>
      <c r="C245" t="s">
        <v>40</v>
      </c>
      <c r="D245" t="s">
        <v>117</v>
      </c>
      <c r="E245">
        <v>129</v>
      </c>
      <c r="F245">
        <v>330.17</v>
      </c>
      <c r="G245" s="18">
        <v>45354</v>
      </c>
      <c r="H245" s="18">
        <v>45353</v>
      </c>
      <c r="I245">
        <v>129</v>
      </c>
      <c r="J245">
        <v>42591.93</v>
      </c>
      <c r="K245">
        <f>IF(tblPO[[#This Row],[Actual_Delivery_Date]]&lt;=tblPO[[#This Row],[Expected_Delivery_Date]],1,0)</f>
        <v>1</v>
      </c>
      <c r="L245">
        <f>IF(tblPO[[#This Row],[Actual_Delivery_Date]]&gt;tblPO[[#This Row],[Expected_Delivery_Date]],1,0)</f>
        <v>0</v>
      </c>
      <c r="M245">
        <f>tblPO[[#This Row],[Actual_Delivery_Date]]-tblPO[[#This Row],[PO_Date]]</f>
        <v>13</v>
      </c>
    </row>
    <row r="246" spans="1:13" x14ac:dyDescent="0.3">
      <c r="A246" t="s">
        <v>2012</v>
      </c>
      <c r="B246" s="18">
        <v>45338</v>
      </c>
      <c r="C246" t="s">
        <v>51</v>
      </c>
      <c r="D246" t="s">
        <v>162</v>
      </c>
      <c r="E246">
        <v>789</v>
      </c>
      <c r="F246">
        <v>32.21</v>
      </c>
      <c r="G246" s="18">
        <v>45351</v>
      </c>
      <c r="H246" s="18">
        <v>45362</v>
      </c>
      <c r="I246">
        <v>789</v>
      </c>
      <c r="J246">
        <v>25413.69</v>
      </c>
      <c r="K246">
        <f>IF(tblPO[[#This Row],[Actual_Delivery_Date]]&lt;=tblPO[[#This Row],[Expected_Delivery_Date]],1,0)</f>
        <v>0</v>
      </c>
      <c r="L246">
        <f>IF(tblPO[[#This Row],[Actual_Delivery_Date]]&gt;tblPO[[#This Row],[Expected_Delivery_Date]],1,0)</f>
        <v>1</v>
      </c>
      <c r="M246">
        <f>tblPO[[#This Row],[Actual_Delivery_Date]]-tblPO[[#This Row],[PO_Date]]</f>
        <v>24</v>
      </c>
    </row>
    <row r="247" spans="1:13" x14ac:dyDescent="0.3">
      <c r="A247" t="s">
        <v>2011</v>
      </c>
      <c r="B247" s="18">
        <v>45346</v>
      </c>
      <c r="C247" t="s">
        <v>47</v>
      </c>
      <c r="D247" t="s">
        <v>249</v>
      </c>
      <c r="E247">
        <v>276</v>
      </c>
      <c r="F247">
        <v>57.89</v>
      </c>
      <c r="G247" s="18">
        <v>45353</v>
      </c>
      <c r="H247" s="18">
        <v>45353</v>
      </c>
      <c r="I247">
        <v>276</v>
      </c>
      <c r="J247">
        <v>15977.64</v>
      </c>
      <c r="K247">
        <f>IF(tblPO[[#This Row],[Actual_Delivery_Date]]&lt;=tblPO[[#This Row],[Expected_Delivery_Date]],1,0)</f>
        <v>1</v>
      </c>
      <c r="L247">
        <f>IF(tblPO[[#This Row],[Actual_Delivery_Date]]&gt;tblPO[[#This Row],[Expected_Delivery_Date]],1,0)</f>
        <v>0</v>
      </c>
      <c r="M247">
        <f>tblPO[[#This Row],[Actual_Delivery_Date]]-tblPO[[#This Row],[PO_Date]]</f>
        <v>7</v>
      </c>
    </row>
    <row r="248" spans="1:13" x14ac:dyDescent="0.3">
      <c r="A248" t="s">
        <v>2010</v>
      </c>
      <c r="B248" s="18">
        <v>45341</v>
      </c>
      <c r="C248" t="s">
        <v>44</v>
      </c>
      <c r="D248" t="s">
        <v>203</v>
      </c>
      <c r="E248">
        <v>107</v>
      </c>
      <c r="F248">
        <v>307.36</v>
      </c>
      <c r="G248" s="18">
        <v>45360</v>
      </c>
      <c r="H248" s="18">
        <v>45359</v>
      </c>
      <c r="I248">
        <v>107</v>
      </c>
      <c r="J248">
        <v>32887.519999999997</v>
      </c>
      <c r="K248">
        <f>IF(tblPO[[#This Row],[Actual_Delivery_Date]]&lt;=tblPO[[#This Row],[Expected_Delivery_Date]],1,0)</f>
        <v>1</v>
      </c>
      <c r="L248">
        <f>IF(tblPO[[#This Row],[Actual_Delivery_Date]]&gt;tblPO[[#This Row],[Expected_Delivery_Date]],1,0)</f>
        <v>0</v>
      </c>
      <c r="M248">
        <f>tblPO[[#This Row],[Actual_Delivery_Date]]-tblPO[[#This Row],[PO_Date]]</f>
        <v>18</v>
      </c>
    </row>
    <row r="249" spans="1:13" x14ac:dyDescent="0.3">
      <c r="A249" t="s">
        <v>2009</v>
      </c>
      <c r="B249" s="18">
        <v>45343</v>
      </c>
      <c r="C249" t="s">
        <v>54</v>
      </c>
      <c r="D249" t="s">
        <v>181</v>
      </c>
      <c r="E249">
        <v>1581</v>
      </c>
      <c r="F249">
        <v>3.51</v>
      </c>
      <c r="G249" s="18">
        <v>45361</v>
      </c>
      <c r="H249" s="18">
        <v>45360</v>
      </c>
      <c r="I249">
        <v>1581</v>
      </c>
      <c r="J249">
        <v>5549.31</v>
      </c>
      <c r="K249">
        <f>IF(tblPO[[#This Row],[Actual_Delivery_Date]]&lt;=tblPO[[#This Row],[Expected_Delivery_Date]],1,0)</f>
        <v>1</v>
      </c>
      <c r="L249">
        <f>IF(tblPO[[#This Row],[Actual_Delivery_Date]]&gt;tblPO[[#This Row],[Expected_Delivery_Date]],1,0)</f>
        <v>0</v>
      </c>
      <c r="M249">
        <f>tblPO[[#This Row],[Actual_Delivery_Date]]-tblPO[[#This Row],[PO_Date]]</f>
        <v>17</v>
      </c>
    </row>
    <row r="250" spans="1:13" x14ac:dyDescent="0.3">
      <c r="A250" t="s">
        <v>2008</v>
      </c>
      <c r="B250" s="18">
        <v>45343</v>
      </c>
      <c r="C250" t="s">
        <v>55</v>
      </c>
      <c r="D250" t="s">
        <v>217</v>
      </c>
      <c r="E250">
        <v>605</v>
      </c>
      <c r="F250">
        <v>31.33</v>
      </c>
      <c r="G250" s="18">
        <v>45356</v>
      </c>
      <c r="H250" s="18">
        <v>45353</v>
      </c>
      <c r="I250">
        <v>605</v>
      </c>
      <c r="J250">
        <v>18954.650000000001</v>
      </c>
      <c r="K250">
        <f>IF(tblPO[[#This Row],[Actual_Delivery_Date]]&lt;=tblPO[[#This Row],[Expected_Delivery_Date]],1,0)</f>
        <v>1</v>
      </c>
      <c r="L250">
        <f>IF(tblPO[[#This Row],[Actual_Delivery_Date]]&gt;tblPO[[#This Row],[Expected_Delivery_Date]],1,0)</f>
        <v>0</v>
      </c>
      <c r="M250">
        <f>tblPO[[#This Row],[Actual_Delivery_Date]]-tblPO[[#This Row],[PO_Date]]</f>
        <v>10</v>
      </c>
    </row>
    <row r="251" spans="1:13" x14ac:dyDescent="0.3">
      <c r="A251" t="s">
        <v>2007</v>
      </c>
      <c r="B251" s="18">
        <v>45336</v>
      </c>
      <c r="C251" t="s">
        <v>46</v>
      </c>
      <c r="D251" t="s">
        <v>90</v>
      </c>
      <c r="E251">
        <v>1</v>
      </c>
      <c r="F251">
        <v>33735.839999999997</v>
      </c>
      <c r="G251" s="18">
        <v>45352</v>
      </c>
      <c r="H251" s="18">
        <v>45350</v>
      </c>
      <c r="I251">
        <v>1</v>
      </c>
      <c r="J251">
        <v>33735.839999999997</v>
      </c>
      <c r="K251">
        <f>IF(tblPO[[#This Row],[Actual_Delivery_Date]]&lt;=tblPO[[#This Row],[Expected_Delivery_Date]],1,0)</f>
        <v>1</v>
      </c>
      <c r="L251">
        <f>IF(tblPO[[#This Row],[Actual_Delivery_Date]]&gt;tblPO[[#This Row],[Expected_Delivery_Date]],1,0)</f>
        <v>0</v>
      </c>
      <c r="M251">
        <f>tblPO[[#This Row],[Actual_Delivery_Date]]-tblPO[[#This Row],[PO_Date]]</f>
        <v>14</v>
      </c>
    </row>
    <row r="252" spans="1:13" x14ac:dyDescent="0.3">
      <c r="A252" t="s">
        <v>2006</v>
      </c>
      <c r="B252" s="18">
        <v>45324</v>
      </c>
      <c r="C252" t="s">
        <v>44</v>
      </c>
      <c r="D252" t="s">
        <v>203</v>
      </c>
      <c r="E252">
        <v>105</v>
      </c>
      <c r="F252">
        <v>311.74</v>
      </c>
      <c r="G252" s="18">
        <v>45351</v>
      </c>
      <c r="H252" s="18">
        <v>45348</v>
      </c>
      <c r="I252">
        <v>98</v>
      </c>
      <c r="J252">
        <v>32732.7</v>
      </c>
      <c r="K252">
        <f>IF(tblPO[[#This Row],[Actual_Delivery_Date]]&lt;=tblPO[[#This Row],[Expected_Delivery_Date]],1,0)</f>
        <v>1</v>
      </c>
      <c r="L252">
        <f>IF(tblPO[[#This Row],[Actual_Delivery_Date]]&gt;tblPO[[#This Row],[Expected_Delivery_Date]],1,0)</f>
        <v>0</v>
      </c>
      <c r="M252">
        <f>tblPO[[#This Row],[Actual_Delivery_Date]]-tblPO[[#This Row],[PO_Date]]</f>
        <v>24</v>
      </c>
    </row>
    <row r="253" spans="1:13" x14ac:dyDescent="0.3">
      <c r="A253" t="s">
        <v>2005</v>
      </c>
      <c r="B253" s="18">
        <v>45331</v>
      </c>
      <c r="C253" t="s">
        <v>39</v>
      </c>
      <c r="D253" t="s">
        <v>176</v>
      </c>
      <c r="E253">
        <v>789</v>
      </c>
      <c r="F253">
        <v>47.64</v>
      </c>
      <c r="G253" s="18">
        <v>45360</v>
      </c>
      <c r="H253" s="18">
        <v>45366</v>
      </c>
      <c r="I253">
        <v>789</v>
      </c>
      <c r="J253">
        <v>37587.96</v>
      </c>
      <c r="K253">
        <f>IF(tblPO[[#This Row],[Actual_Delivery_Date]]&lt;=tblPO[[#This Row],[Expected_Delivery_Date]],1,0)</f>
        <v>0</v>
      </c>
      <c r="L253">
        <f>IF(tblPO[[#This Row],[Actual_Delivery_Date]]&gt;tblPO[[#This Row],[Expected_Delivery_Date]],1,0)</f>
        <v>1</v>
      </c>
      <c r="M253">
        <f>tblPO[[#This Row],[Actual_Delivery_Date]]-tblPO[[#This Row],[PO_Date]]</f>
        <v>35</v>
      </c>
    </row>
    <row r="254" spans="1:13" x14ac:dyDescent="0.3">
      <c r="A254" t="s">
        <v>2004</v>
      </c>
      <c r="B254" s="18">
        <v>45326</v>
      </c>
      <c r="C254" t="s">
        <v>40</v>
      </c>
      <c r="D254" t="s">
        <v>119</v>
      </c>
      <c r="E254">
        <v>7</v>
      </c>
      <c r="F254">
        <v>9049.26</v>
      </c>
      <c r="G254" s="18">
        <v>45332</v>
      </c>
      <c r="H254" s="18">
        <v>45330</v>
      </c>
      <c r="I254">
        <v>7</v>
      </c>
      <c r="J254">
        <v>63344.82</v>
      </c>
      <c r="K254">
        <f>IF(tblPO[[#This Row],[Actual_Delivery_Date]]&lt;=tblPO[[#This Row],[Expected_Delivery_Date]],1,0)</f>
        <v>1</v>
      </c>
      <c r="L254">
        <f>IF(tblPO[[#This Row],[Actual_Delivery_Date]]&gt;tblPO[[#This Row],[Expected_Delivery_Date]],1,0)</f>
        <v>0</v>
      </c>
      <c r="M254">
        <f>tblPO[[#This Row],[Actual_Delivery_Date]]-tblPO[[#This Row],[PO_Date]]</f>
        <v>4</v>
      </c>
    </row>
    <row r="255" spans="1:13" x14ac:dyDescent="0.3">
      <c r="A255" t="s">
        <v>2003</v>
      </c>
      <c r="B255" s="18">
        <v>45331</v>
      </c>
      <c r="C255" t="s">
        <v>48</v>
      </c>
      <c r="D255" t="s">
        <v>160</v>
      </c>
      <c r="E255">
        <v>412</v>
      </c>
      <c r="F255">
        <v>121.05</v>
      </c>
      <c r="G255" s="18">
        <v>45355</v>
      </c>
      <c r="H255" s="18">
        <v>45355</v>
      </c>
      <c r="I255">
        <v>412</v>
      </c>
      <c r="J255">
        <v>49872.6</v>
      </c>
      <c r="K255">
        <f>IF(tblPO[[#This Row],[Actual_Delivery_Date]]&lt;=tblPO[[#This Row],[Expected_Delivery_Date]],1,0)</f>
        <v>1</v>
      </c>
      <c r="L255">
        <f>IF(tblPO[[#This Row],[Actual_Delivery_Date]]&gt;tblPO[[#This Row],[Expected_Delivery_Date]],1,0)</f>
        <v>0</v>
      </c>
      <c r="M255">
        <f>tblPO[[#This Row],[Actual_Delivery_Date]]-tblPO[[#This Row],[PO_Date]]</f>
        <v>24</v>
      </c>
    </row>
    <row r="256" spans="1:13" x14ac:dyDescent="0.3">
      <c r="A256" t="s">
        <v>2002</v>
      </c>
      <c r="B256" s="18">
        <v>45332</v>
      </c>
      <c r="C256" t="s">
        <v>60</v>
      </c>
      <c r="D256" t="s">
        <v>136</v>
      </c>
      <c r="E256">
        <v>67</v>
      </c>
      <c r="F256">
        <v>486.35</v>
      </c>
      <c r="G256" s="18">
        <v>45337</v>
      </c>
      <c r="H256" s="18">
        <v>45334</v>
      </c>
      <c r="I256">
        <v>67</v>
      </c>
      <c r="J256">
        <v>32585.45</v>
      </c>
      <c r="K256">
        <f>IF(tblPO[[#This Row],[Actual_Delivery_Date]]&lt;=tblPO[[#This Row],[Expected_Delivery_Date]],1,0)</f>
        <v>1</v>
      </c>
      <c r="L256">
        <f>IF(tblPO[[#This Row],[Actual_Delivery_Date]]&gt;tblPO[[#This Row],[Expected_Delivery_Date]],1,0)</f>
        <v>0</v>
      </c>
      <c r="M256">
        <f>tblPO[[#This Row],[Actual_Delivery_Date]]-tblPO[[#This Row],[PO_Date]]</f>
        <v>2</v>
      </c>
    </row>
    <row r="257" spans="1:13" x14ac:dyDescent="0.3">
      <c r="A257" t="s">
        <v>2001</v>
      </c>
      <c r="B257" s="18">
        <v>45324</v>
      </c>
      <c r="C257" t="s">
        <v>38</v>
      </c>
      <c r="D257" t="s">
        <v>227</v>
      </c>
      <c r="E257">
        <v>17</v>
      </c>
      <c r="F257">
        <v>1237.72</v>
      </c>
      <c r="G257" s="18">
        <v>45327</v>
      </c>
      <c r="H257" s="18">
        <v>45324</v>
      </c>
      <c r="I257">
        <v>17</v>
      </c>
      <c r="J257">
        <v>21041.24</v>
      </c>
      <c r="K257">
        <f>IF(tblPO[[#This Row],[Actual_Delivery_Date]]&lt;=tblPO[[#This Row],[Expected_Delivery_Date]],1,0)</f>
        <v>1</v>
      </c>
      <c r="L257">
        <f>IF(tblPO[[#This Row],[Actual_Delivery_Date]]&gt;tblPO[[#This Row],[Expected_Delivery_Date]],1,0)</f>
        <v>0</v>
      </c>
      <c r="M257">
        <f>tblPO[[#This Row],[Actual_Delivery_Date]]-tblPO[[#This Row],[PO_Date]]</f>
        <v>0</v>
      </c>
    </row>
    <row r="258" spans="1:13" x14ac:dyDescent="0.3">
      <c r="A258" t="s">
        <v>2000</v>
      </c>
      <c r="B258" s="18">
        <v>45341</v>
      </c>
      <c r="C258" t="s">
        <v>45</v>
      </c>
      <c r="D258" t="s">
        <v>225</v>
      </c>
      <c r="E258">
        <v>94</v>
      </c>
      <c r="F258">
        <v>211.42</v>
      </c>
      <c r="G258" s="18">
        <v>45347</v>
      </c>
      <c r="H258" s="18">
        <v>45344</v>
      </c>
      <c r="I258">
        <v>94</v>
      </c>
      <c r="J258">
        <v>19873.48</v>
      </c>
      <c r="K258">
        <f>IF(tblPO[[#This Row],[Actual_Delivery_Date]]&lt;=tblPO[[#This Row],[Expected_Delivery_Date]],1,0)</f>
        <v>1</v>
      </c>
      <c r="L258">
        <f>IF(tblPO[[#This Row],[Actual_Delivery_Date]]&gt;tblPO[[#This Row],[Expected_Delivery_Date]],1,0)</f>
        <v>0</v>
      </c>
      <c r="M258">
        <f>tblPO[[#This Row],[Actual_Delivery_Date]]-tblPO[[#This Row],[PO_Date]]</f>
        <v>3</v>
      </c>
    </row>
    <row r="259" spans="1:13" x14ac:dyDescent="0.3">
      <c r="A259" t="s">
        <v>1999</v>
      </c>
      <c r="B259" s="18">
        <v>45338</v>
      </c>
      <c r="C259" t="s">
        <v>43</v>
      </c>
      <c r="D259" t="s">
        <v>146</v>
      </c>
      <c r="E259">
        <v>20</v>
      </c>
      <c r="F259">
        <v>2594.21</v>
      </c>
      <c r="G259" s="18">
        <v>45349</v>
      </c>
      <c r="H259" s="18">
        <v>45346</v>
      </c>
      <c r="I259">
        <v>20</v>
      </c>
      <c r="J259">
        <v>51884.2</v>
      </c>
      <c r="K259">
        <f>IF(tblPO[[#This Row],[Actual_Delivery_Date]]&lt;=tblPO[[#This Row],[Expected_Delivery_Date]],1,0)</f>
        <v>1</v>
      </c>
      <c r="L259">
        <f>IF(tblPO[[#This Row],[Actual_Delivery_Date]]&gt;tblPO[[#This Row],[Expected_Delivery_Date]],1,0)</f>
        <v>0</v>
      </c>
      <c r="M259">
        <f>tblPO[[#This Row],[Actual_Delivery_Date]]-tblPO[[#This Row],[PO_Date]]</f>
        <v>8</v>
      </c>
    </row>
    <row r="260" spans="1:13" x14ac:dyDescent="0.3">
      <c r="A260" t="s">
        <v>1998</v>
      </c>
      <c r="B260" s="18">
        <v>45344</v>
      </c>
      <c r="C260" t="s">
        <v>64</v>
      </c>
      <c r="D260" t="s">
        <v>134</v>
      </c>
      <c r="E260">
        <v>20</v>
      </c>
      <c r="F260">
        <v>3033.92</v>
      </c>
      <c r="G260" s="18">
        <v>45348</v>
      </c>
      <c r="H260" s="18">
        <v>45347</v>
      </c>
      <c r="I260">
        <v>18</v>
      </c>
      <c r="J260">
        <v>60678.400000000001</v>
      </c>
      <c r="K260">
        <f>IF(tblPO[[#This Row],[Actual_Delivery_Date]]&lt;=tblPO[[#This Row],[Expected_Delivery_Date]],1,0)</f>
        <v>1</v>
      </c>
      <c r="L260">
        <f>IF(tblPO[[#This Row],[Actual_Delivery_Date]]&gt;tblPO[[#This Row],[Expected_Delivery_Date]],1,0)</f>
        <v>0</v>
      </c>
      <c r="M260">
        <f>tblPO[[#This Row],[Actual_Delivery_Date]]-tblPO[[#This Row],[PO_Date]]</f>
        <v>3</v>
      </c>
    </row>
    <row r="261" spans="1:13" x14ac:dyDescent="0.3">
      <c r="A261" t="s">
        <v>1997</v>
      </c>
      <c r="B261" s="18">
        <v>45349</v>
      </c>
      <c r="C261" t="s">
        <v>52</v>
      </c>
      <c r="D261" t="s">
        <v>243</v>
      </c>
      <c r="E261">
        <v>192</v>
      </c>
      <c r="F261">
        <v>178.12</v>
      </c>
      <c r="G261" s="18">
        <v>45364</v>
      </c>
      <c r="H261" s="18">
        <v>45363</v>
      </c>
      <c r="I261">
        <v>192</v>
      </c>
      <c r="J261">
        <v>34199.040000000001</v>
      </c>
      <c r="K261">
        <f>IF(tblPO[[#This Row],[Actual_Delivery_Date]]&lt;=tblPO[[#This Row],[Expected_Delivery_Date]],1,0)</f>
        <v>1</v>
      </c>
      <c r="L261">
        <f>IF(tblPO[[#This Row],[Actual_Delivery_Date]]&gt;tblPO[[#This Row],[Expected_Delivery_Date]],1,0)</f>
        <v>0</v>
      </c>
      <c r="M261">
        <f>tblPO[[#This Row],[Actual_Delivery_Date]]-tblPO[[#This Row],[PO_Date]]</f>
        <v>14</v>
      </c>
    </row>
    <row r="262" spans="1:13" x14ac:dyDescent="0.3">
      <c r="A262" t="s">
        <v>1996</v>
      </c>
      <c r="B262" s="18">
        <v>45365</v>
      </c>
      <c r="C262" t="s">
        <v>41</v>
      </c>
      <c r="D262" t="s">
        <v>209</v>
      </c>
      <c r="E262">
        <v>352</v>
      </c>
      <c r="F262">
        <v>17</v>
      </c>
      <c r="G262" s="18">
        <v>45370</v>
      </c>
      <c r="H262" s="18">
        <v>45368</v>
      </c>
      <c r="I262">
        <v>352</v>
      </c>
      <c r="J262">
        <v>5984</v>
      </c>
      <c r="K262">
        <f>IF(tblPO[[#This Row],[Actual_Delivery_Date]]&lt;=tblPO[[#This Row],[Expected_Delivery_Date]],1,0)</f>
        <v>1</v>
      </c>
      <c r="L262">
        <f>IF(tblPO[[#This Row],[Actual_Delivery_Date]]&gt;tblPO[[#This Row],[Expected_Delivery_Date]],1,0)</f>
        <v>0</v>
      </c>
      <c r="M262">
        <f>tblPO[[#This Row],[Actual_Delivery_Date]]-tblPO[[#This Row],[PO_Date]]</f>
        <v>3</v>
      </c>
    </row>
    <row r="263" spans="1:13" x14ac:dyDescent="0.3">
      <c r="A263" t="s">
        <v>1995</v>
      </c>
      <c r="B263" s="18">
        <v>45368</v>
      </c>
      <c r="C263" t="s">
        <v>58</v>
      </c>
      <c r="D263" t="s">
        <v>166</v>
      </c>
      <c r="E263">
        <v>261</v>
      </c>
      <c r="F263">
        <v>98.05</v>
      </c>
      <c r="G263" s="18">
        <v>45395</v>
      </c>
      <c r="H263" s="18">
        <v>45392</v>
      </c>
      <c r="I263">
        <v>261</v>
      </c>
      <c r="J263">
        <v>25591.05</v>
      </c>
      <c r="K263">
        <f>IF(tblPO[[#This Row],[Actual_Delivery_Date]]&lt;=tblPO[[#This Row],[Expected_Delivery_Date]],1,0)</f>
        <v>1</v>
      </c>
      <c r="L263">
        <f>IF(tblPO[[#This Row],[Actual_Delivery_Date]]&gt;tblPO[[#This Row],[Expected_Delivery_Date]],1,0)</f>
        <v>0</v>
      </c>
      <c r="M263">
        <f>tblPO[[#This Row],[Actual_Delivery_Date]]-tblPO[[#This Row],[PO_Date]]</f>
        <v>24</v>
      </c>
    </row>
    <row r="264" spans="1:13" x14ac:dyDescent="0.3">
      <c r="A264" t="s">
        <v>1994</v>
      </c>
      <c r="B264" s="18">
        <v>45361</v>
      </c>
      <c r="C264" t="s">
        <v>43</v>
      </c>
      <c r="D264" t="s">
        <v>154</v>
      </c>
      <c r="E264">
        <v>118</v>
      </c>
      <c r="F264">
        <v>60.97</v>
      </c>
      <c r="G264" s="18">
        <v>45365</v>
      </c>
      <c r="H264" s="18">
        <v>45362</v>
      </c>
      <c r="I264">
        <v>108</v>
      </c>
      <c r="J264">
        <v>7194.46</v>
      </c>
      <c r="K264">
        <f>IF(tblPO[[#This Row],[Actual_Delivery_Date]]&lt;=tblPO[[#This Row],[Expected_Delivery_Date]],1,0)</f>
        <v>1</v>
      </c>
      <c r="L264">
        <f>IF(tblPO[[#This Row],[Actual_Delivery_Date]]&gt;tblPO[[#This Row],[Expected_Delivery_Date]],1,0)</f>
        <v>0</v>
      </c>
      <c r="M264">
        <f>tblPO[[#This Row],[Actual_Delivery_Date]]-tblPO[[#This Row],[PO_Date]]</f>
        <v>1</v>
      </c>
    </row>
    <row r="265" spans="1:13" x14ac:dyDescent="0.3">
      <c r="A265" t="s">
        <v>1993</v>
      </c>
      <c r="B265" s="18">
        <v>45381</v>
      </c>
      <c r="C265" t="s">
        <v>61</v>
      </c>
      <c r="D265" t="s">
        <v>245</v>
      </c>
      <c r="E265">
        <v>7</v>
      </c>
      <c r="F265">
        <v>3748.38</v>
      </c>
      <c r="G265" s="18">
        <v>45391</v>
      </c>
      <c r="H265" s="18">
        <v>45389</v>
      </c>
      <c r="I265">
        <v>7</v>
      </c>
      <c r="J265">
        <v>26238.66</v>
      </c>
      <c r="K265">
        <f>IF(tblPO[[#This Row],[Actual_Delivery_Date]]&lt;=tblPO[[#This Row],[Expected_Delivery_Date]],1,0)</f>
        <v>1</v>
      </c>
      <c r="L265">
        <f>IF(tblPO[[#This Row],[Actual_Delivery_Date]]&gt;tblPO[[#This Row],[Expected_Delivery_Date]],1,0)</f>
        <v>0</v>
      </c>
      <c r="M265">
        <f>tblPO[[#This Row],[Actual_Delivery_Date]]-tblPO[[#This Row],[PO_Date]]</f>
        <v>8</v>
      </c>
    </row>
    <row r="266" spans="1:13" x14ac:dyDescent="0.3">
      <c r="A266" t="s">
        <v>1992</v>
      </c>
      <c r="B266" s="18">
        <v>45377</v>
      </c>
      <c r="C266" t="s">
        <v>42</v>
      </c>
      <c r="D266" t="s">
        <v>98</v>
      </c>
      <c r="E266">
        <v>9</v>
      </c>
      <c r="F266">
        <v>10370.92</v>
      </c>
      <c r="G266" s="18">
        <v>45401</v>
      </c>
      <c r="H266" s="18">
        <v>45399</v>
      </c>
      <c r="I266">
        <v>9</v>
      </c>
      <c r="J266">
        <v>93338.28</v>
      </c>
      <c r="K266">
        <f>IF(tblPO[[#This Row],[Actual_Delivery_Date]]&lt;=tblPO[[#This Row],[Expected_Delivery_Date]],1,0)</f>
        <v>1</v>
      </c>
      <c r="L266">
        <f>IF(tblPO[[#This Row],[Actual_Delivery_Date]]&gt;tblPO[[#This Row],[Expected_Delivery_Date]],1,0)</f>
        <v>0</v>
      </c>
      <c r="M266">
        <f>tblPO[[#This Row],[Actual_Delivery_Date]]-tblPO[[#This Row],[PO_Date]]</f>
        <v>22</v>
      </c>
    </row>
    <row r="267" spans="1:13" x14ac:dyDescent="0.3">
      <c r="A267" t="s">
        <v>1991</v>
      </c>
      <c r="B267" s="18">
        <v>45371</v>
      </c>
      <c r="C267" t="s">
        <v>54</v>
      </c>
      <c r="D267" t="s">
        <v>197</v>
      </c>
      <c r="E267">
        <v>198</v>
      </c>
      <c r="F267">
        <v>216.58</v>
      </c>
      <c r="G267" s="18">
        <v>45380</v>
      </c>
      <c r="H267" s="18">
        <v>45380</v>
      </c>
      <c r="I267">
        <v>198</v>
      </c>
      <c r="J267">
        <v>42882.84</v>
      </c>
      <c r="K267">
        <f>IF(tblPO[[#This Row],[Actual_Delivery_Date]]&lt;=tblPO[[#This Row],[Expected_Delivery_Date]],1,0)</f>
        <v>1</v>
      </c>
      <c r="L267">
        <f>IF(tblPO[[#This Row],[Actual_Delivery_Date]]&gt;tblPO[[#This Row],[Expected_Delivery_Date]],1,0)</f>
        <v>0</v>
      </c>
      <c r="M267">
        <f>tblPO[[#This Row],[Actual_Delivery_Date]]-tblPO[[#This Row],[PO_Date]]</f>
        <v>9</v>
      </c>
    </row>
    <row r="268" spans="1:13" x14ac:dyDescent="0.3">
      <c r="A268" t="s">
        <v>1990</v>
      </c>
      <c r="B268" s="18">
        <v>45376</v>
      </c>
      <c r="C268" t="s">
        <v>39</v>
      </c>
      <c r="D268" t="s">
        <v>154</v>
      </c>
      <c r="E268">
        <v>335</v>
      </c>
      <c r="F268">
        <v>78.41</v>
      </c>
      <c r="G268" s="18">
        <v>45390</v>
      </c>
      <c r="H268" s="18">
        <v>45388</v>
      </c>
      <c r="I268">
        <v>335</v>
      </c>
      <c r="J268">
        <v>26267.35</v>
      </c>
      <c r="K268">
        <f>IF(tblPO[[#This Row],[Actual_Delivery_Date]]&lt;=tblPO[[#This Row],[Expected_Delivery_Date]],1,0)</f>
        <v>1</v>
      </c>
      <c r="L268">
        <f>IF(tblPO[[#This Row],[Actual_Delivery_Date]]&gt;tblPO[[#This Row],[Expected_Delivery_Date]],1,0)</f>
        <v>0</v>
      </c>
      <c r="M268">
        <f>tblPO[[#This Row],[Actual_Delivery_Date]]-tblPO[[#This Row],[PO_Date]]</f>
        <v>12</v>
      </c>
    </row>
    <row r="269" spans="1:13" x14ac:dyDescent="0.3">
      <c r="A269" t="s">
        <v>1989</v>
      </c>
      <c r="B269" s="18">
        <v>45373</v>
      </c>
      <c r="C269" t="s">
        <v>70</v>
      </c>
      <c r="D269" t="s">
        <v>203</v>
      </c>
      <c r="E269">
        <v>77</v>
      </c>
      <c r="F269">
        <v>337.05</v>
      </c>
      <c r="G269" s="18">
        <v>45391</v>
      </c>
      <c r="H269" s="18">
        <v>45390</v>
      </c>
      <c r="I269">
        <v>77</v>
      </c>
      <c r="J269">
        <v>25952.85</v>
      </c>
      <c r="K269">
        <f>IF(tblPO[[#This Row],[Actual_Delivery_Date]]&lt;=tblPO[[#This Row],[Expected_Delivery_Date]],1,0)</f>
        <v>1</v>
      </c>
      <c r="L269">
        <f>IF(tblPO[[#This Row],[Actual_Delivery_Date]]&gt;tblPO[[#This Row],[Expected_Delivery_Date]],1,0)</f>
        <v>0</v>
      </c>
      <c r="M269">
        <f>tblPO[[#This Row],[Actual_Delivery_Date]]-tblPO[[#This Row],[PO_Date]]</f>
        <v>17</v>
      </c>
    </row>
    <row r="270" spans="1:13" x14ac:dyDescent="0.3">
      <c r="A270" t="s">
        <v>1988</v>
      </c>
      <c r="B270" s="18">
        <v>45363</v>
      </c>
      <c r="C270" t="s">
        <v>52</v>
      </c>
      <c r="D270" t="s">
        <v>212</v>
      </c>
      <c r="E270">
        <v>39</v>
      </c>
      <c r="F270">
        <v>307.73</v>
      </c>
      <c r="G270" s="18">
        <v>45377</v>
      </c>
      <c r="H270" s="18">
        <v>45375</v>
      </c>
      <c r="I270">
        <v>39</v>
      </c>
      <c r="J270">
        <v>12001.47</v>
      </c>
      <c r="K270">
        <f>IF(tblPO[[#This Row],[Actual_Delivery_Date]]&lt;=tblPO[[#This Row],[Expected_Delivery_Date]],1,0)</f>
        <v>1</v>
      </c>
      <c r="L270">
        <f>IF(tblPO[[#This Row],[Actual_Delivery_Date]]&gt;tblPO[[#This Row],[Expected_Delivery_Date]],1,0)</f>
        <v>0</v>
      </c>
      <c r="M270">
        <f>tblPO[[#This Row],[Actual_Delivery_Date]]-tblPO[[#This Row],[PO_Date]]</f>
        <v>12</v>
      </c>
    </row>
    <row r="271" spans="1:13" x14ac:dyDescent="0.3">
      <c r="A271" t="s">
        <v>1987</v>
      </c>
      <c r="B271" s="18">
        <v>45373</v>
      </c>
      <c r="C271" t="s">
        <v>46</v>
      </c>
      <c r="D271" t="s">
        <v>88</v>
      </c>
      <c r="E271">
        <v>2</v>
      </c>
      <c r="F271">
        <v>19840.95</v>
      </c>
      <c r="G271" s="18">
        <v>45389</v>
      </c>
      <c r="H271" s="18">
        <v>45387</v>
      </c>
      <c r="I271">
        <v>2</v>
      </c>
      <c r="J271">
        <v>39681.9</v>
      </c>
      <c r="K271">
        <f>IF(tblPO[[#This Row],[Actual_Delivery_Date]]&lt;=tblPO[[#This Row],[Expected_Delivery_Date]],1,0)</f>
        <v>1</v>
      </c>
      <c r="L271">
        <f>IF(tblPO[[#This Row],[Actual_Delivery_Date]]&gt;tblPO[[#This Row],[Expected_Delivery_Date]],1,0)</f>
        <v>0</v>
      </c>
      <c r="M271">
        <f>tblPO[[#This Row],[Actual_Delivery_Date]]-tblPO[[#This Row],[PO_Date]]</f>
        <v>14</v>
      </c>
    </row>
    <row r="272" spans="1:13" x14ac:dyDescent="0.3">
      <c r="A272" t="s">
        <v>1986</v>
      </c>
      <c r="B272" s="18">
        <v>45368</v>
      </c>
      <c r="C272" t="s">
        <v>68</v>
      </c>
      <c r="D272" t="s">
        <v>172</v>
      </c>
      <c r="E272">
        <v>194</v>
      </c>
      <c r="F272">
        <v>24.71</v>
      </c>
      <c r="G272" s="18">
        <v>45383</v>
      </c>
      <c r="H272" s="18">
        <v>45381</v>
      </c>
      <c r="I272">
        <v>194</v>
      </c>
      <c r="J272">
        <v>4793.74</v>
      </c>
      <c r="K272">
        <f>IF(tblPO[[#This Row],[Actual_Delivery_Date]]&lt;=tblPO[[#This Row],[Expected_Delivery_Date]],1,0)</f>
        <v>1</v>
      </c>
      <c r="L272">
        <f>IF(tblPO[[#This Row],[Actual_Delivery_Date]]&gt;tblPO[[#This Row],[Expected_Delivery_Date]],1,0)</f>
        <v>0</v>
      </c>
      <c r="M272">
        <f>tblPO[[#This Row],[Actual_Delivery_Date]]-tblPO[[#This Row],[PO_Date]]</f>
        <v>13</v>
      </c>
    </row>
    <row r="273" spans="1:13" x14ac:dyDescent="0.3">
      <c r="A273" t="s">
        <v>1985</v>
      </c>
      <c r="B273" s="18">
        <v>45369</v>
      </c>
      <c r="C273" t="s">
        <v>38</v>
      </c>
      <c r="D273" t="s">
        <v>225</v>
      </c>
      <c r="E273">
        <v>172</v>
      </c>
      <c r="F273">
        <v>214.47</v>
      </c>
      <c r="G273" s="18">
        <v>45377</v>
      </c>
      <c r="H273" s="18">
        <v>45377</v>
      </c>
      <c r="I273">
        <v>172</v>
      </c>
      <c r="J273">
        <v>36888.839999999997</v>
      </c>
      <c r="K273">
        <f>IF(tblPO[[#This Row],[Actual_Delivery_Date]]&lt;=tblPO[[#This Row],[Expected_Delivery_Date]],1,0)</f>
        <v>1</v>
      </c>
      <c r="L273">
        <f>IF(tblPO[[#This Row],[Actual_Delivery_Date]]&gt;tblPO[[#This Row],[Expected_Delivery_Date]],1,0)</f>
        <v>0</v>
      </c>
      <c r="M273">
        <f>tblPO[[#This Row],[Actual_Delivery_Date]]-tblPO[[#This Row],[PO_Date]]</f>
        <v>8</v>
      </c>
    </row>
    <row r="274" spans="1:13" x14ac:dyDescent="0.3">
      <c r="A274" t="s">
        <v>1984</v>
      </c>
      <c r="B274" s="18">
        <v>45371</v>
      </c>
      <c r="C274" t="s">
        <v>44</v>
      </c>
      <c r="D274" t="s">
        <v>205</v>
      </c>
      <c r="E274">
        <v>125</v>
      </c>
      <c r="F274">
        <v>363.53</v>
      </c>
      <c r="G274" s="18">
        <v>45384</v>
      </c>
      <c r="H274" s="18">
        <v>45385</v>
      </c>
      <c r="I274">
        <v>125</v>
      </c>
      <c r="J274">
        <v>45441.25</v>
      </c>
      <c r="K274">
        <f>IF(tblPO[[#This Row],[Actual_Delivery_Date]]&lt;=tblPO[[#This Row],[Expected_Delivery_Date]],1,0)</f>
        <v>0</v>
      </c>
      <c r="L274">
        <f>IF(tblPO[[#This Row],[Actual_Delivery_Date]]&gt;tblPO[[#This Row],[Expected_Delivery_Date]],1,0)</f>
        <v>1</v>
      </c>
      <c r="M274">
        <f>tblPO[[#This Row],[Actual_Delivery_Date]]-tblPO[[#This Row],[PO_Date]]</f>
        <v>14</v>
      </c>
    </row>
    <row r="275" spans="1:13" x14ac:dyDescent="0.3">
      <c r="A275" t="s">
        <v>1983</v>
      </c>
      <c r="B275" s="18">
        <v>45368</v>
      </c>
      <c r="C275" t="s">
        <v>58</v>
      </c>
      <c r="D275" t="s">
        <v>170</v>
      </c>
      <c r="E275">
        <v>625</v>
      </c>
      <c r="F275">
        <v>95.96</v>
      </c>
      <c r="G275" s="18">
        <v>45395</v>
      </c>
      <c r="H275" s="18">
        <v>45395</v>
      </c>
      <c r="I275">
        <v>625</v>
      </c>
      <c r="J275">
        <v>59975</v>
      </c>
      <c r="K275">
        <f>IF(tblPO[[#This Row],[Actual_Delivery_Date]]&lt;=tblPO[[#This Row],[Expected_Delivery_Date]],1,0)</f>
        <v>1</v>
      </c>
      <c r="L275">
        <f>IF(tblPO[[#This Row],[Actual_Delivery_Date]]&gt;tblPO[[#This Row],[Expected_Delivery_Date]],1,0)</f>
        <v>0</v>
      </c>
      <c r="M275">
        <f>tblPO[[#This Row],[Actual_Delivery_Date]]-tblPO[[#This Row],[PO_Date]]</f>
        <v>27</v>
      </c>
    </row>
    <row r="276" spans="1:13" x14ac:dyDescent="0.3">
      <c r="A276" t="s">
        <v>1982</v>
      </c>
      <c r="B276" s="18">
        <v>45354</v>
      </c>
      <c r="C276" t="s">
        <v>42</v>
      </c>
      <c r="D276" t="s">
        <v>84</v>
      </c>
      <c r="E276">
        <v>52</v>
      </c>
      <c r="F276">
        <v>224.69</v>
      </c>
      <c r="G276" s="18">
        <v>45384</v>
      </c>
      <c r="H276" s="18">
        <v>45382</v>
      </c>
      <c r="I276">
        <v>52</v>
      </c>
      <c r="J276">
        <v>11683.88</v>
      </c>
      <c r="K276">
        <f>IF(tblPO[[#This Row],[Actual_Delivery_Date]]&lt;=tblPO[[#This Row],[Expected_Delivery_Date]],1,0)</f>
        <v>1</v>
      </c>
      <c r="L276">
        <f>IF(tblPO[[#This Row],[Actual_Delivery_Date]]&gt;tblPO[[#This Row],[Expected_Delivery_Date]],1,0)</f>
        <v>0</v>
      </c>
      <c r="M276">
        <f>tblPO[[#This Row],[Actual_Delivery_Date]]-tblPO[[#This Row],[PO_Date]]</f>
        <v>28</v>
      </c>
    </row>
    <row r="277" spans="1:13" x14ac:dyDescent="0.3">
      <c r="A277" t="s">
        <v>1981</v>
      </c>
      <c r="B277" s="18">
        <v>45357</v>
      </c>
      <c r="C277" t="s">
        <v>54</v>
      </c>
      <c r="D277" t="s">
        <v>201</v>
      </c>
      <c r="E277">
        <v>345</v>
      </c>
      <c r="F277">
        <v>34.33</v>
      </c>
      <c r="G277" s="18">
        <v>45374</v>
      </c>
      <c r="H277" s="18">
        <v>45374</v>
      </c>
      <c r="I277">
        <v>345</v>
      </c>
      <c r="J277">
        <v>11843.85</v>
      </c>
      <c r="K277">
        <f>IF(tblPO[[#This Row],[Actual_Delivery_Date]]&lt;=tblPO[[#This Row],[Expected_Delivery_Date]],1,0)</f>
        <v>1</v>
      </c>
      <c r="L277">
        <f>IF(tblPO[[#This Row],[Actual_Delivery_Date]]&gt;tblPO[[#This Row],[Expected_Delivery_Date]],1,0)</f>
        <v>0</v>
      </c>
      <c r="M277">
        <f>tblPO[[#This Row],[Actual_Delivery_Date]]-tblPO[[#This Row],[PO_Date]]</f>
        <v>17</v>
      </c>
    </row>
    <row r="278" spans="1:13" x14ac:dyDescent="0.3">
      <c r="A278" t="s">
        <v>1980</v>
      </c>
      <c r="B278" s="18">
        <v>45376</v>
      </c>
      <c r="C278" t="s">
        <v>66</v>
      </c>
      <c r="D278" t="s">
        <v>245</v>
      </c>
      <c r="E278">
        <v>10</v>
      </c>
      <c r="F278">
        <v>3590.77</v>
      </c>
      <c r="G278" s="18">
        <v>45390</v>
      </c>
      <c r="H278" s="18">
        <v>45387</v>
      </c>
      <c r="I278">
        <v>10</v>
      </c>
      <c r="J278">
        <v>35907.699999999997</v>
      </c>
      <c r="K278">
        <f>IF(tblPO[[#This Row],[Actual_Delivery_Date]]&lt;=tblPO[[#This Row],[Expected_Delivery_Date]],1,0)</f>
        <v>1</v>
      </c>
      <c r="L278">
        <f>IF(tblPO[[#This Row],[Actual_Delivery_Date]]&gt;tblPO[[#This Row],[Expected_Delivery_Date]],1,0)</f>
        <v>0</v>
      </c>
      <c r="M278">
        <f>tblPO[[#This Row],[Actual_Delivery_Date]]-tblPO[[#This Row],[PO_Date]]</f>
        <v>11</v>
      </c>
    </row>
    <row r="279" spans="1:13" x14ac:dyDescent="0.3">
      <c r="A279" t="s">
        <v>1979</v>
      </c>
      <c r="B279" s="18">
        <v>45355</v>
      </c>
      <c r="C279" t="s">
        <v>43</v>
      </c>
      <c r="D279" t="s">
        <v>162</v>
      </c>
      <c r="E279">
        <v>485</v>
      </c>
      <c r="F279">
        <v>34.33</v>
      </c>
      <c r="G279" s="18">
        <v>45365</v>
      </c>
      <c r="H279" s="18">
        <v>45362</v>
      </c>
      <c r="I279">
        <v>485</v>
      </c>
      <c r="J279">
        <v>16650.05</v>
      </c>
      <c r="K279">
        <f>IF(tblPO[[#This Row],[Actual_Delivery_Date]]&lt;=tblPO[[#This Row],[Expected_Delivery_Date]],1,0)</f>
        <v>1</v>
      </c>
      <c r="L279">
        <f>IF(tblPO[[#This Row],[Actual_Delivery_Date]]&gt;tblPO[[#This Row],[Expected_Delivery_Date]],1,0)</f>
        <v>0</v>
      </c>
      <c r="M279">
        <f>tblPO[[#This Row],[Actual_Delivery_Date]]-tblPO[[#This Row],[PO_Date]]</f>
        <v>7</v>
      </c>
    </row>
    <row r="280" spans="1:13" x14ac:dyDescent="0.3">
      <c r="A280" t="s">
        <v>1978</v>
      </c>
      <c r="B280" s="18">
        <v>45366</v>
      </c>
      <c r="C280" t="s">
        <v>54</v>
      </c>
      <c r="D280" t="s">
        <v>199</v>
      </c>
      <c r="E280">
        <v>32</v>
      </c>
      <c r="F280">
        <v>256.83</v>
      </c>
      <c r="G280" s="18">
        <v>45372</v>
      </c>
      <c r="H280" s="18">
        <v>45374</v>
      </c>
      <c r="I280">
        <v>32</v>
      </c>
      <c r="J280">
        <v>8218.56</v>
      </c>
      <c r="K280">
        <f>IF(tblPO[[#This Row],[Actual_Delivery_Date]]&lt;=tblPO[[#This Row],[Expected_Delivery_Date]],1,0)</f>
        <v>0</v>
      </c>
      <c r="L280">
        <f>IF(tblPO[[#This Row],[Actual_Delivery_Date]]&gt;tblPO[[#This Row],[Expected_Delivery_Date]],1,0)</f>
        <v>1</v>
      </c>
      <c r="M280">
        <f>tblPO[[#This Row],[Actual_Delivery_Date]]-tblPO[[#This Row],[PO_Date]]</f>
        <v>8</v>
      </c>
    </row>
    <row r="281" spans="1:13" x14ac:dyDescent="0.3">
      <c r="A281" t="s">
        <v>1977</v>
      </c>
      <c r="B281" s="18">
        <v>45371</v>
      </c>
      <c r="C281" t="s">
        <v>38</v>
      </c>
      <c r="D281" t="s">
        <v>215</v>
      </c>
      <c r="E281">
        <v>24</v>
      </c>
      <c r="F281">
        <v>3857.5</v>
      </c>
      <c r="G281" s="18">
        <v>45387</v>
      </c>
      <c r="H281" s="18">
        <v>45385</v>
      </c>
      <c r="I281">
        <v>24</v>
      </c>
      <c r="J281">
        <v>92580</v>
      </c>
      <c r="K281">
        <f>IF(tblPO[[#This Row],[Actual_Delivery_Date]]&lt;=tblPO[[#This Row],[Expected_Delivery_Date]],1,0)</f>
        <v>1</v>
      </c>
      <c r="L281">
        <f>IF(tblPO[[#This Row],[Actual_Delivery_Date]]&gt;tblPO[[#This Row],[Expected_Delivery_Date]],1,0)</f>
        <v>0</v>
      </c>
      <c r="M281">
        <f>tblPO[[#This Row],[Actual_Delivery_Date]]-tblPO[[#This Row],[PO_Date]]</f>
        <v>14</v>
      </c>
    </row>
    <row r="282" spans="1:13" x14ac:dyDescent="0.3">
      <c r="A282" t="s">
        <v>1976</v>
      </c>
      <c r="B282" s="18">
        <v>45370</v>
      </c>
      <c r="C282" t="s">
        <v>41</v>
      </c>
      <c r="D282" t="s">
        <v>181</v>
      </c>
      <c r="E282">
        <v>221</v>
      </c>
      <c r="F282">
        <v>4.04</v>
      </c>
      <c r="G282" s="18">
        <v>45384</v>
      </c>
      <c r="H282" s="18">
        <v>45382</v>
      </c>
      <c r="I282">
        <v>221</v>
      </c>
      <c r="J282">
        <v>892.84</v>
      </c>
      <c r="K282">
        <f>IF(tblPO[[#This Row],[Actual_Delivery_Date]]&lt;=tblPO[[#This Row],[Expected_Delivery_Date]],1,0)</f>
        <v>1</v>
      </c>
      <c r="L282">
        <f>IF(tblPO[[#This Row],[Actual_Delivery_Date]]&gt;tblPO[[#This Row],[Expected_Delivery_Date]],1,0)</f>
        <v>0</v>
      </c>
      <c r="M282">
        <f>tblPO[[#This Row],[Actual_Delivery_Date]]-tblPO[[#This Row],[PO_Date]]</f>
        <v>12</v>
      </c>
    </row>
    <row r="283" spans="1:13" x14ac:dyDescent="0.3">
      <c r="A283" t="s">
        <v>1975</v>
      </c>
      <c r="B283" s="18">
        <v>45360</v>
      </c>
      <c r="C283" t="s">
        <v>71</v>
      </c>
      <c r="D283" t="s">
        <v>154</v>
      </c>
      <c r="E283">
        <v>636</v>
      </c>
      <c r="F283">
        <v>61.52</v>
      </c>
      <c r="G283" s="18">
        <v>45366</v>
      </c>
      <c r="H283" s="18">
        <v>45366</v>
      </c>
      <c r="I283">
        <v>636</v>
      </c>
      <c r="J283">
        <v>39126.720000000001</v>
      </c>
      <c r="K283">
        <f>IF(tblPO[[#This Row],[Actual_Delivery_Date]]&lt;=tblPO[[#This Row],[Expected_Delivery_Date]],1,0)</f>
        <v>1</v>
      </c>
      <c r="L283">
        <f>IF(tblPO[[#This Row],[Actual_Delivery_Date]]&gt;tblPO[[#This Row],[Expected_Delivery_Date]],1,0)</f>
        <v>0</v>
      </c>
      <c r="M283">
        <f>tblPO[[#This Row],[Actual_Delivery_Date]]-tblPO[[#This Row],[PO_Date]]</f>
        <v>6</v>
      </c>
    </row>
    <row r="284" spans="1:13" x14ac:dyDescent="0.3">
      <c r="A284" t="s">
        <v>1974</v>
      </c>
      <c r="B284" s="18">
        <v>45374</v>
      </c>
      <c r="C284" t="s">
        <v>45</v>
      </c>
      <c r="D284" t="s">
        <v>235</v>
      </c>
      <c r="E284">
        <v>179</v>
      </c>
      <c r="F284">
        <v>74.319999999999993</v>
      </c>
      <c r="G284" s="18">
        <v>45381</v>
      </c>
      <c r="H284" s="18">
        <v>45380</v>
      </c>
      <c r="I284">
        <v>179</v>
      </c>
      <c r="J284">
        <v>13303.28</v>
      </c>
      <c r="K284">
        <f>IF(tblPO[[#This Row],[Actual_Delivery_Date]]&lt;=tblPO[[#This Row],[Expected_Delivery_Date]],1,0)</f>
        <v>1</v>
      </c>
      <c r="L284">
        <f>IF(tblPO[[#This Row],[Actual_Delivery_Date]]&gt;tblPO[[#This Row],[Expected_Delivery_Date]],1,0)</f>
        <v>0</v>
      </c>
      <c r="M284">
        <f>tblPO[[#This Row],[Actual_Delivery_Date]]-tblPO[[#This Row],[PO_Date]]</f>
        <v>6</v>
      </c>
    </row>
    <row r="285" spans="1:13" x14ac:dyDescent="0.3">
      <c r="A285" t="s">
        <v>1973</v>
      </c>
      <c r="B285" s="18">
        <v>45367</v>
      </c>
      <c r="C285" t="s">
        <v>43</v>
      </c>
      <c r="D285" t="s">
        <v>152</v>
      </c>
      <c r="E285">
        <v>452</v>
      </c>
      <c r="F285">
        <v>81.38</v>
      </c>
      <c r="G285" s="18">
        <v>45374</v>
      </c>
      <c r="H285" s="18">
        <v>45373</v>
      </c>
      <c r="I285">
        <v>452</v>
      </c>
      <c r="J285">
        <v>36783.760000000002</v>
      </c>
      <c r="K285">
        <f>IF(tblPO[[#This Row],[Actual_Delivery_Date]]&lt;=tblPO[[#This Row],[Expected_Delivery_Date]],1,0)</f>
        <v>1</v>
      </c>
      <c r="L285">
        <f>IF(tblPO[[#This Row],[Actual_Delivery_Date]]&gt;tblPO[[#This Row],[Expected_Delivery_Date]],1,0)</f>
        <v>0</v>
      </c>
      <c r="M285">
        <f>tblPO[[#This Row],[Actual_Delivery_Date]]-tblPO[[#This Row],[PO_Date]]</f>
        <v>6</v>
      </c>
    </row>
    <row r="286" spans="1:13" x14ac:dyDescent="0.3">
      <c r="A286" t="s">
        <v>1972</v>
      </c>
      <c r="B286" s="18">
        <v>45377</v>
      </c>
      <c r="C286" t="s">
        <v>65</v>
      </c>
      <c r="D286" t="s">
        <v>197</v>
      </c>
      <c r="E286">
        <v>172</v>
      </c>
      <c r="F286">
        <v>253.82</v>
      </c>
      <c r="G286" s="18">
        <v>45382</v>
      </c>
      <c r="H286" s="18">
        <v>45381</v>
      </c>
      <c r="I286">
        <v>172</v>
      </c>
      <c r="J286">
        <v>43657.04</v>
      </c>
      <c r="K286">
        <f>IF(tblPO[[#This Row],[Actual_Delivery_Date]]&lt;=tblPO[[#This Row],[Expected_Delivery_Date]],1,0)</f>
        <v>1</v>
      </c>
      <c r="L286">
        <f>IF(tblPO[[#This Row],[Actual_Delivery_Date]]&gt;tblPO[[#This Row],[Expected_Delivery_Date]],1,0)</f>
        <v>0</v>
      </c>
      <c r="M286">
        <f>tblPO[[#This Row],[Actual_Delivery_Date]]-tblPO[[#This Row],[PO_Date]]</f>
        <v>4</v>
      </c>
    </row>
    <row r="287" spans="1:13" x14ac:dyDescent="0.3">
      <c r="A287" t="s">
        <v>1971</v>
      </c>
      <c r="B287" s="18">
        <v>45362</v>
      </c>
      <c r="C287" t="s">
        <v>44</v>
      </c>
      <c r="D287" t="s">
        <v>179</v>
      </c>
      <c r="E287">
        <v>549</v>
      </c>
      <c r="F287">
        <v>17.850000000000001</v>
      </c>
      <c r="G287" s="18">
        <v>45392</v>
      </c>
      <c r="H287" s="18">
        <v>45389</v>
      </c>
      <c r="I287">
        <v>549</v>
      </c>
      <c r="J287">
        <v>9799.65</v>
      </c>
      <c r="K287">
        <f>IF(tblPO[[#This Row],[Actual_Delivery_Date]]&lt;=tblPO[[#This Row],[Expected_Delivery_Date]],1,0)</f>
        <v>1</v>
      </c>
      <c r="L287">
        <f>IF(tblPO[[#This Row],[Actual_Delivery_Date]]&gt;tblPO[[#This Row],[Expected_Delivery_Date]],1,0)</f>
        <v>0</v>
      </c>
      <c r="M287">
        <f>tblPO[[#This Row],[Actual_Delivery_Date]]-tblPO[[#This Row],[PO_Date]]</f>
        <v>27</v>
      </c>
    </row>
    <row r="288" spans="1:13" x14ac:dyDescent="0.3">
      <c r="A288" t="s">
        <v>1970</v>
      </c>
      <c r="B288" s="18">
        <v>45363</v>
      </c>
      <c r="C288" t="s">
        <v>51</v>
      </c>
      <c r="D288" t="s">
        <v>162</v>
      </c>
      <c r="E288">
        <v>764</v>
      </c>
      <c r="F288">
        <v>32.65</v>
      </c>
      <c r="G288" s="18">
        <v>45368</v>
      </c>
      <c r="H288" s="18">
        <v>45368</v>
      </c>
      <c r="I288">
        <v>764</v>
      </c>
      <c r="J288">
        <v>24944.6</v>
      </c>
      <c r="K288">
        <f>IF(tblPO[[#This Row],[Actual_Delivery_Date]]&lt;=tblPO[[#This Row],[Expected_Delivery_Date]],1,0)</f>
        <v>1</v>
      </c>
      <c r="L288">
        <f>IF(tblPO[[#This Row],[Actual_Delivery_Date]]&gt;tblPO[[#This Row],[Expected_Delivery_Date]],1,0)</f>
        <v>0</v>
      </c>
      <c r="M288">
        <f>tblPO[[#This Row],[Actual_Delivery_Date]]-tblPO[[#This Row],[PO_Date]]</f>
        <v>5</v>
      </c>
    </row>
    <row r="289" spans="1:13" x14ac:dyDescent="0.3">
      <c r="A289" t="s">
        <v>1969</v>
      </c>
      <c r="B289" s="18">
        <v>45360</v>
      </c>
      <c r="C289" t="s">
        <v>50</v>
      </c>
      <c r="D289" t="s">
        <v>130</v>
      </c>
      <c r="E289">
        <v>136</v>
      </c>
      <c r="F289">
        <v>397.67</v>
      </c>
      <c r="G289" s="18">
        <v>45373</v>
      </c>
      <c r="H289" s="18">
        <v>45372</v>
      </c>
      <c r="I289">
        <v>136</v>
      </c>
      <c r="J289">
        <v>54083.12</v>
      </c>
      <c r="K289">
        <f>IF(tblPO[[#This Row],[Actual_Delivery_Date]]&lt;=tblPO[[#This Row],[Expected_Delivery_Date]],1,0)</f>
        <v>1</v>
      </c>
      <c r="L289">
        <f>IF(tblPO[[#This Row],[Actual_Delivery_Date]]&gt;tblPO[[#This Row],[Expected_Delivery_Date]],1,0)</f>
        <v>0</v>
      </c>
      <c r="M289">
        <f>tblPO[[#This Row],[Actual_Delivery_Date]]-tblPO[[#This Row],[PO_Date]]</f>
        <v>12</v>
      </c>
    </row>
    <row r="290" spans="1:13" x14ac:dyDescent="0.3">
      <c r="A290" t="s">
        <v>1968</v>
      </c>
      <c r="B290" s="18">
        <v>45377</v>
      </c>
      <c r="C290" t="s">
        <v>38</v>
      </c>
      <c r="D290" t="s">
        <v>243</v>
      </c>
      <c r="E290">
        <v>134</v>
      </c>
      <c r="F290">
        <v>180.95</v>
      </c>
      <c r="G290" s="18">
        <v>45390</v>
      </c>
      <c r="H290" s="18">
        <v>45387</v>
      </c>
      <c r="I290">
        <v>127</v>
      </c>
      <c r="J290">
        <v>24247.3</v>
      </c>
      <c r="K290">
        <f>IF(tblPO[[#This Row],[Actual_Delivery_Date]]&lt;=tblPO[[#This Row],[Expected_Delivery_Date]],1,0)</f>
        <v>1</v>
      </c>
      <c r="L290">
        <f>IF(tblPO[[#This Row],[Actual_Delivery_Date]]&gt;tblPO[[#This Row],[Expected_Delivery_Date]],1,0)</f>
        <v>0</v>
      </c>
      <c r="M290">
        <f>tblPO[[#This Row],[Actual_Delivery_Date]]-tblPO[[#This Row],[PO_Date]]</f>
        <v>10</v>
      </c>
    </row>
    <row r="291" spans="1:13" x14ac:dyDescent="0.3">
      <c r="A291" t="s">
        <v>1967</v>
      </c>
      <c r="B291" s="18">
        <v>45381</v>
      </c>
      <c r="C291" t="s">
        <v>49</v>
      </c>
      <c r="D291" t="s">
        <v>181</v>
      </c>
      <c r="E291">
        <v>354</v>
      </c>
      <c r="F291">
        <v>3.95</v>
      </c>
      <c r="G291" s="18">
        <v>45389</v>
      </c>
      <c r="H291" s="18">
        <v>45386</v>
      </c>
      <c r="I291">
        <v>354</v>
      </c>
      <c r="J291">
        <v>1398.3</v>
      </c>
      <c r="K291">
        <f>IF(tblPO[[#This Row],[Actual_Delivery_Date]]&lt;=tblPO[[#This Row],[Expected_Delivery_Date]],1,0)</f>
        <v>1</v>
      </c>
      <c r="L291">
        <f>IF(tblPO[[#This Row],[Actual_Delivery_Date]]&gt;tblPO[[#This Row],[Expected_Delivery_Date]],1,0)</f>
        <v>0</v>
      </c>
      <c r="M291">
        <f>tblPO[[#This Row],[Actual_Delivery_Date]]-tblPO[[#This Row],[PO_Date]]</f>
        <v>5</v>
      </c>
    </row>
    <row r="292" spans="1:13" x14ac:dyDescent="0.3">
      <c r="A292" t="s">
        <v>1966</v>
      </c>
      <c r="B292" s="18">
        <v>45381</v>
      </c>
      <c r="C292" t="s">
        <v>56</v>
      </c>
      <c r="D292" t="s">
        <v>130</v>
      </c>
      <c r="E292">
        <v>186</v>
      </c>
      <c r="F292">
        <v>333.86</v>
      </c>
      <c r="G292" s="18">
        <v>45388</v>
      </c>
      <c r="H292" s="18">
        <v>45391</v>
      </c>
      <c r="I292">
        <v>186</v>
      </c>
      <c r="J292">
        <v>62097.96</v>
      </c>
      <c r="K292">
        <f>IF(tblPO[[#This Row],[Actual_Delivery_Date]]&lt;=tblPO[[#This Row],[Expected_Delivery_Date]],1,0)</f>
        <v>0</v>
      </c>
      <c r="L292">
        <f>IF(tblPO[[#This Row],[Actual_Delivery_Date]]&gt;tblPO[[#This Row],[Expected_Delivery_Date]],1,0)</f>
        <v>1</v>
      </c>
      <c r="M292">
        <f>tblPO[[#This Row],[Actual_Delivery_Date]]-tblPO[[#This Row],[PO_Date]]</f>
        <v>10</v>
      </c>
    </row>
    <row r="293" spans="1:13" x14ac:dyDescent="0.3">
      <c r="A293" t="s">
        <v>1965</v>
      </c>
      <c r="B293" s="18">
        <v>45360</v>
      </c>
      <c r="C293" t="s">
        <v>52</v>
      </c>
      <c r="D293" t="s">
        <v>235</v>
      </c>
      <c r="E293">
        <v>419</v>
      </c>
      <c r="F293">
        <v>71.319999999999993</v>
      </c>
      <c r="G293" s="18">
        <v>45365</v>
      </c>
      <c r="H293" s="18">
        <v>45363</v>
      </c>
      <c r="I293">
        <v>397</v>
      </c>
      <c r="J293">
        <v>29883.08</v>
      </c>
      <c r="K293">
        <f>IF(tblPO[[#This Row],[Actual_Delivery_Date]]&lt;=tblPO[[#This Row],[Expected_Delivery_Date]],1,0)</f>
        <v>1</v>
      </c>
      <c r="L293">
        <f>IF(tblPO[[#This Row],[Actual_Delivery_Date]]&gt;tblPO[[#This Row],[Expected_Delivery_Date]],1,0)</f>
        <v>0</v>
      </c>
      <c r="M293">
        <f>tblPO[[#This Row],[Actual_Delivery_Date]]-tblPO[[#This Row],[PO_Date]]</f>
        <v>3</v>
      </c>
    </row>
    <row r="294" spans="1:13" x14ac:dyDescent="0.3">
      <c r="A294" t="s">
        <v>1964</v>
      </c>
      <c r="B294" s="18">
        <v>45374</v>
      </c>
      <c r="C294" t="s">
        <v>38</v>
      </c>
      <c r="D294" t="s">
        <v>237</v>
      </c>
      <c r="E294">
        <v>143</v>
      </c>
      <c r="F294">
        <v>87.5</v>
      </c>
      <c r="G294" s="18">
        <v>45380</v>
      </c>
      <c r="H294" s="18">
        <v>45380</v>
      </c>
      <c r="I294">
        <v>135</v>
      </c>
      <c r="J294">
        <v>12512.5</v>
      </c>
      <c r="K294">
        <f>IF(tblPO[[#This Row],[Actual_Delivery_Date]]&lt;=tblPO[[#This Row],[Expected_Delivery_Date]],1,0)</f>
        <v>1</v>
      </c>
      <c r="L294">
        <f>IF(tblPO[[#This Row],[Actual_Delivery_Date]]&gt;tblPO[[#This Row],[Expected_Delivery_Date]],1,0)</f>
        <v>0</v>
      </c>
      <c r="M294">
        <f>tblPO[[#This Row],[Actual_Delivery_Date]]-tblPO[[#This Row],[PO_Date]]</f>
        <v>6</v>
      </c>
    </row>
    <row r="295" spans="1:13" x14ac:dyDescent="0.3">
      <c r="A295" t="s">
        <v>1963</v>
      </c>
      <c r="B295" s="18">
        <v>45352</v>
      </c>
      <c r="C295" t="s">
        <v>39</v>
      </c>
      <c r="D295" t="s">
        <v>160</v>
      </c>
      <c r="E295">
        <v>59</v>
      </c>
      <c r="F295">
        <v>113.71</v>
      </c>
      <c r="G295" s="18">
        <v>45374</v>
      </c>
      <c r="H295" s="18">
        <v>45374</v>
      </c>
      <c r="I295">
        <v>59</v>
      </c>
      <c r="J295">
        <v>6708.89</v>
      </c>
      <c r="K295">
        <f>IF(tblPO[[#This Row],[Actual_Delivery_Date]]&lt;=tblPO[[#This Row],[Expected_Delivery_Date]],1,0)</f>
        <v>1</v>
      </c>
      <c r="L295">
        <f>IF(tblPO[[#This Row],[Actual_Delivery_Date]]&gt;tblPO[[#This Row],[Expected_Delivery_Date]],1,0)</f>
        <v>0</v>
      </c>
      <c r="M295">
        <f>tblPO[[#This Row],[Actual_Delivery_Date]]-tblPO[[#This Row],[PO_Date]]</f>
        <v>22</v>
      </c>
    </row>
    <row r="296" spans="1:13" x14ac:dyDescent="0.3">
      <c r="A296" t="s">
        <v>1962</v>
      </c>
      <c r="B296" s="18">
        <v>45354</v>
      </c>
      <c r="C296" t="s">
        <v>52</v>
      </c>
      <c r="D296" t="s">
        <v>221</v>
      </c>
      <c r="E296">
        <v>14</v>
      </c>
      <c r="F296">
        <v>1826.56</v>
      </c>
      <c r="G296" s="18">
        <v>45360</v>
      </c>
      <c r="H296" s="18">
        <v>45359</v>
      </c>
      <c r="I296">
        <v>14</v>
      </c>
      <c r="J296">
        <v>25571.84</v>
      </c>
      <c r="K296">
        <f>IF(tblPO[[#This Row],[Actual_Delivery_Date]]&lt;=tblPO[[#This Row],[Expected_Delivery_Date]],1,0)</f>
        <v>1</v>
      </c>
      <c r="L296">
        <f>IF(tblPO[[#This Row],[Actual_Delivery_Date]]&gt;tblPO[[#This Row],[Expected_Delivery_Date]],1,0)</f>
        <v>0</v>
      </c>
      <c r="M296">
        <f>tblPO[[#This Row],[Actual_Delivery_Date]]-tblPO[[#This Row],[PO_Date]]</f>
        <v>5</v>
      </c>
    </row>
    <row r="297" spans="1:13" x14ac:dyDescent="0.3">
      <c r="A297" t="s">
        <v>1961</v>
      </c>
      <c r="B297" s="18">
        <v>45372</v>
      </c>
      <c r="C297" t="s">
        <v>49</v>
      </c>
      <c r="D297" t="s">
        <v>205</v>
      </c>
      <c r="E297">
        <v>44</v>
      </c>
      <c r="F297">
        <v>392.28</v>
      </c>
      <c r="G297" s="18">
        <v>45379</v>
      </c>
      <c r="H297" s="18">
        <v>45376</v>
      </c>
      <c r="I297">
        <v>44</v>
      </c>
      <c r="J297">
        <v>17260.32</v>
      </c>
      <c r="K297">
        <f>IF(tblPO[[#This Row],[Actual_Delivery_Date]]&lt;=tblPO[[#This Row],[Expected_Delivery_Date]],1,0)</f>
        <v>1</v>
      </c>
      <c r="L297">
        <f>IF(tblPO[[#This Row],[Actual_Delivery_Date]]&gt;tblPO[[#This Row],[Expected_Delivery_Date]],1,0)</f>
        <v>0</v>
      </c>
      <c r="M297">
        <f>tblPO[[#This Row],[Actual_Delivery_Date]]-tblPO[[#This Row],[PO_Date]]</f>
        <v>4</v>
      </c>
    </row>
    <row r="298" spans="1:13" x14ac:dyDescent="0.3">
      <c r="A298" t="s">
        <v>1960</v>
      </c>
      <c r="B298" s="18">
        <v>45372</v>
      </c>
      <c r="C298" t="s">
        <v>53</v>
      </c>
      <c r="D298" t="s">
        <v>106</v>
      </c>
      <c r="E298">
        <v>4</v>
      </c>
      <c r="F298">
        <v>21173.05</v>
      </c>
      <c r="G298" s="18">
        <v>45388</v>
      </c>
      <c r="H298" s="18">
        <v>45393</v>
      </c>
      <c r="I298">
        <v>4</v>
      </c>
      <c r="J298">
        <v>84692.2</v>
      </c>
      <c r="K298">
        <f>IF(tblPO[[#This Row],[Actual_Delivery_Date]]&lt;=tblPO[[#This Row],[Expected_Delivery_Date]],1,0)</f>
        <v>0</v>
      </c>
      <c r="L298">
        <f>IF(tblPO[[#This Row],[Actual_Delivery_Date]]&gt;tblPO[[#This Row],[Expected_Delivery_Date]],1,0)</f>
        <v>1</v>
      </c>
      <c r="M298">
        <f>tblPO[[#This Row],[Actual_Delivery_Date]]-tblPO[[#This Row],[PO_Date]]</f>
        <v>21</v>
      </c>
    </row>
    <row r="299" spans="1:13" x14ac:dyDescent="0.3">
      <c r="A299" t="s">
        <v>1959</v>
      </c>
      <c r="B299" s="18">
        <v>45356</v>
      </c>
      <c r="C299" t="s">
        <v>42</v>
      </c>
      <c r="D299" t="s">
        <v>84</v>
      </c>
      <c r="E299">
        <v>35</v>
      </c>
      <c r="F299">
        <v>220.59</v>
      </c>
      <c r="G299" s="18">
        <v>45371</v>
      </c>
      <c r="H299" s="18">
        <v>45371</v>
      </c>
      <c r="I299">
        <v>35</v>
      </c>
      <c r="J299">
        <v>7720.65</v>
      </c>
      <c r="K299">
        <f>IF(tblPO[[#This Row],[Actual_Delivery_Date]]&lt;=tblPO[[#This Row],[Expected_Delivery_Date]],1,0)</f>
        <v>1</v>
      </c>
      <c r="L299">
        <f>IF(tblPO[[#This Row],[Actual_Delivery_Date]]&gt;tblPO[[#This Row],[Expected_Delivery_Date]],1,0)</f>
        <v>0</v>
      </c>
      <c r="M299">
        <f>tblPO[[#This Row],[Actual_Delivery_Date]]-tblPO[[#This Row],[PO_Date]]</f>
        <v>15</v>
      </c>
    </row>
    <row r="300" spans="1:13" x14ac:dyDescent="0.3">
      <c r="A300" t="s">
        <v>1958</v>
      </c>
      <c r="B300" s="18">
        <v>45359</v>
      </c>
      <c r="C300" t="s">
        <v>39</v>
      </c>
      <c r="D300" t="s">
        <v>164</v>
      </c>
      <c r="E300">
        <v>45</v>
      </c>
      <c r="F300">
        <v>145.31</v>
      </c>
      <c r="G300" s="18">
        <v>45379</v>
      </c>
      <c r="H300" s="18">
        <v>45377</v>
      </c>
      <c r="I300">
        <v>45</v>
      </c>
      <c r="J300">
        <v>6538.95</v>
      </c>
      <c r="K300">
        <f>IF(tblPO[[#This Row],[Actual_Delivery_Date]]&lt;=tblPO[[#This Row],[Expected_Delivery_Date]],1,0)</f>
        <v>1</v>
      </c>
      <c r="L300">
        <f>IF(tblPO[[#This Row],[Actual_Delivery_Date]]&gt;tblPO[[#This Row],[Expected_Delivery_Date]],1,0)</f>
        <v>0</v>
      </c>
      <c r="M300">
        <f>tblPO[[#This Row],[Actual_Delivery_Date]]-tblPO[[#This Row],[PO_Date]]</f>
        <v>18</v>
      </c>
    </row>
    <row r="301" spans="1:13" x14ac:dyDescent="0.3">
      <c r="A301" t="s">
        <v>1957</v>
      </c>
      <c r="B301" s="18">
        <v>45376</v>
      </c>
      <c r="C301" t="s">
        <v>38</v>
      </c>
      <c r="D301" t="s">
        <v>212</v>
      </c>
      <c r="E301">
        <v>82</v>
      </c>
      <c r="F301">
        <v>325.66000000000003</v>
      </c>
      <c r="G301" s="18">
        <v>45379</v>
      </c>
      <c r="H301" s="18">
        <v>45378</v>
      </c>
      <c r="I301">
        <v>82</v>
      </c>
      <c r="J301">
        <v>26704.12</v>
      </c>
      <c r="K301">
        <f>IF(tblPO[[#This Row],[Actual_Delivery_Date]]&lt;=tblPO[[#This Row],[Expected_Delivery_Date]],1,0)</f>
        <v>1</v>
      </c>
      <c r="L301">
        <f>IF(tblPO[[#This Row],[Actual_Delivery_Date]]&gt;tblPO[[#This Row],[Expected_Delivery_Date]],1,0)</f>
        <v>0</v>
      </c>
      <c r="M301">
        <f>tblPO[[#This Row],[Actual_Delivery_Date]]-tblPO[[#This Row],[PO_Date]]</f>
        <v>2</v>
      </c>
    </row>
    <row r="302" spans="1:13" x14ac:dyDescent="0.3">
      <c r="A302" t="s">
        <v>1956</v>
      </c>
      <c r="B302" s="18">
        <v>45364</v>
      </c>
      <c r="C302" t="s">
        <v>42</v>
      </c>
      <c r="D302" t="s">
        <v>92</v>
      </c>
      <c r="E302">
        <v>25</v>
      </c>
      <c r="F302">
        <v>4639.53</v>
      </c>
      <c r="G302" s="18">
        <v>45385</v>
      </c>
      <c r="H302" s="18">
        <v>45383</v>
      </c>
      <c r="I302">
        <v>25</v>
      </c>
      <c r="J302">
        <v>115988.25</v>
      </c>
      <c r="K302">
        <f>IF(tblPO[[#This Row],[Actual_Delivery_Date]]&lt;=tblPO[[#This Row],[Expected_Delivery_Date]],1,0)</f>
        <v>1</v>
      </c>
      <c r="L302">
        <f>IF(tblPO[[#This Row],[Actual_Delivery_Date]]&gt;tblPO[[#This Row],[Expected_Delivery_Date]],1,0)</f>
        <v>0</v>
      </c>
      <c r="M302">
        <f>tblPO[[#This Row],[Actual_Delivery_Date]]-tblPO[[#This Row],[PO_Date]]</f>
        <v>19</v>
      </c>
    </row>
    <row r="303" spans="1:13" x14ac:dyDescent="0.3">
      <c r="A303" t="s">
        <v>1955</v>
      </c>
      <c r="B303" s="18">
        <v>45371</v>
      </c>
      <c r="C303" t="s">
        <v>43</v>
      </c>
      <c r="D303" t="s">
        <v>174</v>
      </c>
      <c r="E303">
        <v>703</v>
      </c>
      <c r="F303">
        <v>33.49</v>
      </c>
      <c r="G303" s="18">
        <v>45376</v>
      </c>
      <c r="H303" s="18">
        <v>45373</v>
      </c>
      <c r="I303">
        <v>703</v>
      </c>
      <c r="J303">
        <v>23543.47</v>
      </c>
      <c r="K303">
        <f>IF(tblPO[[#This Row],[Actual_Delivery_Date]]&lt;=tblPO[[#This Row],[Expected_Delivery_Date]],1,0)</f>
        <v>1</v>
      </c>
      <c r="L303">
        <f>IF(tblPO[[#This Row],[Actual_Delivery_Date]]&gt;tblPO[[#This Row],[Expected_Delivery_Date]],1,0)</f>
        <v>0</v>
      </c>
      <c r="M303">
        <f>tblPO[[#This Row],[Actual_Delivery_Date]]-tblPO[[#This Row],[PO_Date]]</f>
        <v>2</v>
      </c>
    </row>
    <row r="304" spans="1:13" x14ac:dyDescent="0.3">
      <c r="A304" t="s">
        <v>1954</v>
      </c>
      <c r="B304" s="18">
        <v>45379</v>
      </c>
      <c r="C304" t="s">
        <v>41</v>
      </c>
      <c r="D304" t="s">
        <v>179</v>
      </c>
      <c r="E304">
        <v>446</v>
      </c>
      <c r="F304">
        <v>19.940000000000001</v>
      </c>
      <c r="G304" s="18">
        <v>45395</v>
      </c>
      <c r="H304" s="18">
        <v>45393</v>
      </c>
      <c r="I304">
        <v>446</v>
      </c>
      <c r="J304">
        <v>8893.24</v>
      </c>
      <c r="K304">
        <f>IF(tblPO[[#This Row],[Actual_Delivery_Date]]&lt;=tblPO[[#This Row],[Expected_Delivery_Date]],1,0)</f>
        <v>1</v>
      </c>
      <c r="L304">
        <f>IF(tblPO[[#This Row],[Actual_Delivery_Date]]&gt;tblPO[[#This Row],[Expected_Delivery_Date]],1,0)</f>
        <v>0</v>
      </c>
      <c r="M304">
        <f>tblPO[[#This Row],[Actual_Delivery_Date]]-tblPO[[#This Row],[PO_Date]]</f>
        <v>14</v>
      </c>
    </row>
    <row r="305" spans="1:13" x14ac:dyDescent="0.3">
      <c r="A305" t="s">
        <v>1953</v>
      </c>
      <c r="B305" s="18">
        <v>45354</v>
      </c>
      <c r="C305" t="s">
        <v>39</v>
      </c>
      <c r="D305" t="s">
        <v>152</v>
      </c>
      <c r="E305">
        <v>651</v>
      </c>
      <c r="F305">
        <v>100.29</v>
      </c>
      <c r="G305" s="18">
        <v>45366</v>
      </c>
      <c r="H305" s="18">
        <v>45363</v>
      </c>
      <c r="I305">
        <v>651</v>
      </c>
      <c r="J305">
        <v>65288.79</v>
      </c>
      <c r="K305">
        <f>IF(tblPO[[#This Row],[Actual_Delivery_Date]]&lt;=tblPO[[#This Row],[Expected_Delivery_Date]],1,0)</f>
        <v>1</v>
      </c>
      <c r="L305">
        <f>IF(tblPO[[#This Row],[Actual_Delivery_Date]]&gt;tblPO[[#This Row],[Expected_Delivery_Date]],1,0)</f>
        <v>0</v>
      </c>
      <c r="M305">
        <f>tblPO[[#This Row],[Actual_Delivery_Date]]-tblPO[[#This Row],[PO_Date]]</f>
        <v>9</v>
      </c>
    </row>
    <row r="306" spans="1:13" x14ac:dyDescent="0.3">
      <c r="A306" t="s">
        <v>1952</v>
      </c>
      <c r="B306" s="18">
        <v>45372</v>
      </c>
      <c r="C306" t="s">
        <v>40</v>
      </c>
      <c r="D306" t="s">
        <v>117</v>
      </c>
      <c r="E306">
        <v>83</v>
      </c>
      <c r="F306">
        <v>333.26</v>
      </c>
      <c r="G306" s="18">
        <v>45388</v>
      </c>
      <c r="H306" s="18">
        <v>45388</v>
      </c>
      <c r="I306">
        <v>83</v>
      </c>
      <c r="J306">
        <v>27660.58</v>
      </c>
      <c r="K306">
        <f>IF(tblPO[[#This Row],[Actual_Delivery_Date]]&lt;=tblPO[[#This Row],[Expected_Delivery_Date]],1,0)</f>
        <v>1</v>
      </c>
      <c r="L306">
        <f>IF(tblPO[[#This Row],[Actual_Delivery_Date]]&gt;tblPO[[#This Row],[Expected_Delivery_Date]],1,0)</f>
        <v>0</v>
      </c>
      <c r="M306">
        <f>tblPO[[#This Row],[Actual_Delivery_Date]]-tblPO[[#This Row],[PO_Date]]</f>
        <v>16</v>
      </c>
    </row>
    <row r="307" spans="1:13" x14ac:dyDescent="0.3">
      <c r="A307" t="s">
        <v>1951</v>
      </c>
      <c r="B307" s="18">
        <v>45360</v>
      </c>
      <c r="C307" t="s">
        <v>44</v>
      </c>
      <c r="D307" t="s">
        <v>193</v>
      </c>
      <c r="E307">
        <v>206</v>
      </c>
      <c r="F307">
        <v>28.79</v>
      </c>
      <c r="G307" s="18">
        <v>45374</v>
      </c>
      <c r="H307" s="18">
        <v>45372</v>
      </c>
      <c r="I307">
        <v>206</v>
      </c>
      <c r="J307">
        <v>5930.74</v>
      </c>
      <c r="K307">
        <f>IF(tblPO[[#This Row],[Actual_Delivery_Date]]&lt;=tblPO[[#This Row],[Expected_Delivery_Date]],1,0)</f>
        <v>1</v>
      </c>
      <c r="L307">
        <f>IF(tblPO[[#This Row],[Actual_Delivery_Date]]&gt;tblPO[[#This Row],[Expected_Delivery_Date]],1,0)</f>
        <v>0</v>
      </c>
      <c r="M307">
        <f>tblPO[[#This Row],[Actual_Delivery_Date]]-tblPO[[#This Row],[PO_Date]]</f>
        <v>12</v>
      </c>
    </row>
    <row r="308" spans="1:13" x14ac:dyDescent="0.3">
      <c r="A308" t="s">
        <v>1950</v>
      </c>
      <c r="B308" s="18">
        <v>45370</v>
      </c>
      <c r="C308" t="s">
        <v>47</v>
      </c>
      <c r="D308" t="s">
        <v>243</v>
      </c>
      <c r="E308">
        <v>110</v>
      </c>
      <c r="F308">
        <v>144.41999999999999</v>
      </c>
      <c r="G308" s="18">
        <v>45375</v>
      </c>
      <c r="H308" s="18">
        <v>45375</v>
      </c>
      <c r="I308">
        <v>110</v>
      </c>
      <c r="J308">
        <v>15886.2</v>
      </c>
      <c r="K308">
        <f>IF(tblPO[[#This Row],[Actual_Delivery_Date]]&lt;=tblPO[[#This Row],[Expected_Delivery_Date]],1,0)</f>
        <v>1</v>
      </c>
      <c r="L308">
        <f>IF(tblPO[[#This Row],[Actual_Delivery_Date]]&gt;tblPO[[#This Row],[Expected_Delivery_Date]],1,0)</f>
        <v>0</v>
      </c>
      <c r="M308">
        <f>tblPO[[#This Row],[Actual_Delivery_Date]]-tblPO[[#This Row],[PO_Date]]</f>
        <v>5</v>
      </c>
    </row>
    <row r="309" spans="1:13" x14ac:dyDescent="0.3">
      <c r="A309" t="s">
        <v>1949</v>
      </c>
      <c r="B309" s="18">
        <v>45354</v>
      </c>
      <c r="C309" t="s">
        <v>44</v>
      </c>
      <c r="D309" t="s">
        <v>181</v>
      </c>
      <c r="E309">
        <v>600</v>
      </c>
      <c r="F309">
        <v>3.61</v>
      </c>
      <c r="G309" s="18">
        <v>45379</v>
      </c>
      <c r="H309" s="18">
        <v>45376</v>
      </c>
      <c r="I309">
        <v>600</v>
      </c>
      <c r="J309">
        <v>2166</v>
      </c>
      <c r="K309">
        <f>IF(tblPO[[#This Row],[Actual_Delivery_Date]]&lt;=tblPO[[#This Row],[Expected_Delivery_Date]],1,0)</f>
        <v>1</v>
      </c>
      <c r="L309">
        <f>IF(tblPO[[#This Row],[Actual_Delivery_Date]]&gt;tblPO[[#This Row],[Expected_Delivery_Date]],1,0)</f>
        <v>0</v>
      </c>
      <c r="M309">
        <f>tblPO[[#This Row],[Actual_Delivery_Date]]-tblPO[[#This Row],[PO_Date]]</f>
        <v>22</v>
      </c>
    </row>
    <row r="310" spans="1:13" x14ac:dyDescent="0.3">
      <c r="A310" t="s">
        <v>1948</v>
      </c>
      <c r="B310" s="18">
        <v>45356</v>
      </c>
      <c r="C310" t="s">
        <v>38</v>
      </c>
      <c r="D310" t="s">
        <v>241</v>
      </c>
      <c r="E310">
        <v>24</v>
      </c>
      <c r="F310">
        <v>3102.58</v>
      </c>
      <c r="G310" s="18">
        <v>45359</v>
      </c>
      <c r="H310" s="18">
        <v>45358</v>
      </c>
      <c r="I310">
        <v>24</v>
      </c>
      <c r="J310">
        <v>74461.919999999998</v>
      </c>
      <c r="K310">
        <f>IF(tblPO[[#This Row],[Actual_Delivery_Date]]&lt;=tblPO[[#This Row],[Expected_Delivery_Date]],1,0)</f>
        <v>1</v>
      </c>
      <c r="L310">
        <f>IF(tblPO[[#This Row],[Actual_Delivery_Date]]&gt;tblPO[[#This Row],[Expected_Delivery_Date]],1,0)</f>
        <v>0</v>
      </c>
      <c r="M310">
        <f>tblPO[[#This Row],[Actual_Delivery_Date]]-tblPO[[#This Row],[PO_Date]]</f>
        <v>2</v>
      </c>
    </row>
    <row r="311" spans="1:13" x14ac:dyDescent="0.3">
      <c r="A311" t="s">
        <v>1947</v>
      </c>
      <c r="B311" s="18">
        <v>45357</v>
      </c>
      <c r="C311" t="s">
        <v>43</v>
      </c>
      <c r="D311" t="s">
        <v>152</v>
      </c>
      <c r="E311">
        <v>315</v>
      </c>
      <c r="F311">
        <v>81.239999999999995</v>
      </c>
      <c r="G311" s="18">
        <v>45371</v>
      </c>
      <c r="H311" s="18">
        <v>45370</v>
      </c>
      <c r="I311">
        <v>315</v>
      </c>
      <c r="J311">
        <v>25590.6</v>
      </c>
      <c r="K311">
        <f>IF(tblPO[[#This Row],[Actual_Delivery_Date]]&lt;=tblPO[[#This Row],[Expected_Delivery_Date]],1,0)</f>
        <v>1</v>
      </c>
      <c r="L311">
        <f>IF(tblPO[[#This Row],[Actual_Delivery_Date]]&gt;tblPO[[#This Row],[Expected_Delivery_Date]],1,0)</f>
        <v>0</v>
      </c>
      <c r="M311">
        <f>tblPO[[#This Row],[Actual_Delivery_Date]]-tblPO[[#This Row],[PO_Date]]</f>
        <v>13</v>
      </c>
    </row>
    <row r="312" spans="1:13" x14ac:dyDescent="0.3">
      <c r="A312" t="s">
        <v>1946</v>
      </c>
      <c r="B312" s="18">
        <v>45362</v>
      </c>
      <c r="C312" t="s">
        <v>39</v>
      </c>
      <c r="D312" t="s">
        <v>174</v>
      </c>
      <c r="E312">
        <v>80</v>
      </c>
      <c r="F312">
        <v>45.81</v>
      </c>
      <c r="G312" s="18">
        <v>45387</v>
      </c>
      <c r="H312" s="18">
        <v>45384</v>
      </c>
      <c r="I312">
        <v>80</v>
      </c>
      <c r="J312">
        <v>3664.8</v>
      </c>
      <c r="K312">
        <f>IF(tblPO[[#This Row],[Actual_Delivery_Date]]&lt;=tblPO[[#This Row],[Expected_Delivery_Date]],1,0)</f>
        <v>1</v>
      </c>
      <c r="L312">
        <f>IF(tblPO[[#This Row],[Actual_Delivery_Date]]&gt;tblPO[[#This Row],[Expected_Delivery_Date]],1,0)</f>
        <v>0</v>
      </c>
      <c r="M312">
        <f>tblPO[[#This Row],[Actual_Delivery_Date]]-tblPO[[#This Row],[PO_Date]]</f>
        <v>22</v>
      </c>
    </row>
    <row r="313" spans="1:13" x14ac:dyDescent="0.3">
      <c r="A313" t="s">
        <v>1945</v>
      </c>
      <c r="B313" s="18">
        <v>45366</v>
      </c>
      <c r="C313" t="s">
        <v>48</v>
      </c>
      <c r="D313" t="s">
        <v>158</v>
      </c>
      <c r="E313">
        <v>137</v>
      </c>
      <c r="F313">
        <v>144.46</v>
      </c>
      <c r="G313" s="18">
        <v>45394</v>
      </c>
      <c r="H313" s="18">
        <v>45394</v>
      </c>
      <c r="I313">
        <v>137</v>
      </c>
      <c r="J313">
        <v>19791.02</v>
      </c>
      <c r="K313">
        <f>IF(tblPO[[#This Row],[Actual_Delivery_Date]]&lt;=tblPO[[#This Row],[Expected_Delivery_Date]],1,0)</f>
        <v>1</v>
      </c>
      <c r="L313">
        <f>IF(tblPO[[#This Row],[Actual_Delivery_Date]]&gt;tblPO[[#This Row],[Expected_Delivery_Date]],1,0)</f>
        <v>0</v>
      </c>
      <c r="M313">
        <f>tblPO[[#This Row],[Actual_Delivery_Date]]-tblPO[[#This Row],[PO_Date]]</f>
        <v>28</v>
      </c>
    </row>
    <row r="314" spans="1:13" x14ac:dyDescent="0.3">
      <c r="A314" t="s">
        <v>1944</v>
      </c>
      <c r="B314" s="18">
        <v>45376</v>
      </c>
      <c r="C314" t="s">
        <v>42</v>
      </c>
      <c r="D314" t="s">
        <v>106</v>
      </c>
      <c r="E314">
        <v>5</v>
      </c>
      <c r="F314">
        <v>22331.1</v>
      </c>
      <c r="G314" s="18">
        <v>45391</v>
      </c>
      <c r="H314" s="18">
        <v>45388</v>
      </c>
      <c r="I314">
        <v>5</v>
      </c>
      <c r="J314">
        <v>111655.5</v>
      </c>
      <c r="K314">
        <f>IF(tblPO[[#This Row],[Actual_Delivery_Date]]&lt;=tblPO[[#This Row],[Expected_Delivery_Date]],1,0)</f>
        <v>1</v>
      </c>
      <c r="L314">
        <f>IF(tblPO[[#This Row],[Actual_Delivery_Date]]&gt;tblPO[[#This Row],[Expected_Delivery_Date]],1,0)</f>
        <v>0</v>
      </c>
      <c r="M314">
        <f>tblPO[[#This Row],[Actual_Delivery_Date]]-tblPO[[#This Row],[PO_Date]]</f>
        <v>12</v>
      </c>
    </row>
    <row r="315" spans="1:13" x14ac:dyDescent="0.3">
      <c r="A315" t="s">
        <v>1943</v>
      </c>
      <c r="B315" s="18">
        <v>45359</v>
      </c>
      <c r="C315" t="s">
        <v>43</v>
      </c>
      <c r="D315" t="s">
        <v>160</v>
      </c>
      <c r="E315">
        <v>62</v>
      </c>
      <c r="F315">
        <v>82.1</v>
      </c>
      <c r="G315" s="18">
        <v>45363</v>
      </c>
      <c r="H315" s="18">
        <v>45363</v>
      </c>
      <c r="I315">
        <v>62</v>
      </c>
      <c r="J315">
        <v>5090.2</v>
      </c>
      <c r="K315">
        <f>IF(tblPO[[#This Row],[Actual_Delivery_Date]]&lt;=tblPO[[#This Row],[Expected_Delivery_Date]],1,0)</f>
        <v>1</v>
      </c>
      <c r="L315">
        <f>IF(tblPO[[#This Row],[Actual_Delivery_Date]]&gt;tblPO[[#This Row],[Expected_Delivery_Date]],1,0)</f>
        <v>0</v>
      </c>
      <c r="M315">
        <f>tblPO[[#This Row],[Actual_Delivery_Date]]-tblPO[[#This Row],[PO_Date]]</f>
        <v>4</v>
      </c>
    </row>
    <row r="316" spans="1:13" x14ac:dyDescent="0.3">
      <c r="A316" t="s">
        <v>1942</v>
      </c>
      <c r="B316" s="18">
        <v>45369</v>
      </c>
      <c r="C316" t="s">
        <v>41</v>
      </c>
      <c r="D316" t="s">
        <v>205</v>
      </c>
      <c r="E316">
        <v>19</v>
      </c>
      <c r="F316">
        <v>428.28</v>
      </c>
      <c r="G316" s="18">
        <v>45385</v>
      </c>
      <c r="H316" s="18">
        <v>45383</v>
      </c>
      <c r="I316">
        <v>19</v>
      </c>
      <c r="J316">
        <v>8137.32</v>
      </c>
      <c r="K316">
        <f>IF(tblPO[[#This Row],[Actual_Delivery_Date]]&lt;=tblPO[[#This Row],[Expected_Delivery_Date]],1,0)</f>
        <v>1</v>
      </c>
      <c r="L316">
        <f>IF(tblPO[[#This Row],[Actual_Delivery_Date]]&gt;tblPO[[#This Row],[Expected_Delivery_Date]],1,0)</f>
        <v>0</v>
      </c>
      <c r="M316">
        <f>tblPO[[#This Row],[Actual_Delivery_Date]]-tblPO[[#This Row],[PO_Date]]</f>
        <v>14</v>
      </c>
    </row>
    <row r="317" spans="1:13" x14ac:dyDescent="0.3">
      <c r="A317" t="s">
        <v>1941</v>
      </c>
      <c r="B317" s="18">
        <v>45370</v>
      </c>
      <c r="C317" t="s">
        <v>43</v>
      </c>
      <c r="D317" t="s">
        <v>154</v>
      </c>
      <c r="E317">
        <v>129</v>
      </c>
      <c r="F317">
        <v>60.32</v>
      </c>
      <c r="G317" s="18">
        <v>45384</v>
      </c>
      <c r="H317" s="18">
        <v>45381</v>
      </c>
      <c r="I317">
        <v>129</v>
      </c>
      <c r="J317">
        <v>7781.28</v>
      </c>
      <c r="K317">
        <f>IF(tblPO[[#This Row],[Actual_Delivery_Date]]&lt;=tblPO[[#This Row],[Expected_Delivery_Date]],1,0)</f>
        <v>1</v>
      </c>
      <c r="L317">
        <f>IF(tblPO[[#This Row],[Actual_Delivery_Date]]&gt;tblPO[[#This Row],[Expected_Delivery_Date]],1,0)</f>
        <v>0</v>
      </c>
      <c r="M317">
        <f>tblPO[[#This Row],[Actual_Delivery_Date]]-tblPO[[#This Row],[PO_Date]]</f>
        <v>11</v>
      </c>
    </row>
    <row r="318" spans="1:13" x14ac:dyDescent="0.3">
      <c r="A318" t="s">
        <v>1940</v>
      </c>
      <c r="B318" s="18">
        <v>45354</v>
      </c>
      <c r="C318" t="s">
        <v>38</v>
      </c>
      <c r="D318" t="s">
        <v>219</v>
      </c>
      <c r="E318">
        <v>460</v>
      </c>
      <c r="F318">
        <v>98.66</v>
      </c>
      <c r="G318" s="18">
        <v>45371</v>
      </c>
      <c r="H318" s="18">
        <v>45370</v>
      </c>
      <c r="I318">
        <v>460</v>
      </c>
      <c r="J318">
        <v>45383.6</v>
      </c>
      <c r="K318">
        <f>IF(tblPO[[#This Row],[Actual_Delivery_Date]]&lt;=tblPO[[#This Row],[Expected_Delivery_Date]],1,0)</f>
        <v>1</v>
      </c>
      <c r="L318">
        <f>IF(tblPO[[#This Row],[Actual_Delivery_Date]]&gt;tblPO[[#This Row],[Expected_Delivery_Date]],1,0)</f>
        <v>0</v>
      </c>
      <c r="M318">
        <f>tblPO[[#This Row],[Actual_Delivery_Date]]-tblPO[[#This Row],[PO_Date]]</f>
        <v>16</v>
      </c>
    </row>
    <row r="319" spans="1:13" x14ac:dyDescent="0.3">
      <c r="A319" t="s">
        <v>1939</v>
      </c>
      <c r="B319" s="18">
        <v>45358</v>
      </c>
      <c r="C319" t="s">
        <v>62</v>
      </c>
      <c r="D319" t="s">
        <v>193</v>
      </c>
      <c r="E319">
        <v>427</v>
      </c>
      <c r="F319">
        <v>32.44</v>
      </c>
      <c r="G319" s="18">
        <v>45370</v>
      </c>
      <c r="H319" s="18">
        <v>45369</v>
      </c>
      <c r="I319">
        <v>427</v>
      </c>
      <c r="J319">
        <v>13851.88</v>
      </c>
      <c r="K319">
        <f>IF(tblPO[[#This Row],[Actual_Delivery_Date]]&lt;=tblPO[[#This Row],[Expected_Delivery_Date]],1,0)</f>
        <v>1</v>
      </c>
      <c r="L319">
        <f>IF(tblPO[[#This Row],[Actual_Delivery_Date]]&gt;tblPO[[#This Row],[Expected_Delivery_Date]],1,0)</f>
        <v>0</v>
      </c>
      <c r="M319">
        <f>tblPO[[#This Row],[Actual_Delivery_Date]]-tblPO[[#This Row],[PO_Date]]</f>
        <v>11</v>
      </c>
    </row>
    <row r="320" spans="1:13" x14ac:dyDescent="0.3">
      <c r="A320" t="s">
        <v>1938</v>
      </c>
      <c r="B320" s="18">
        <v>45367</v>
      </c>
      <c r="C320" t="s">
        <v>62</v>
      </c>
      <c r="D320" t="s">
        <v>203</v>
      </c>
      <c r="E320">
        <v>161</v>
      </c>
      <c r="F320">
        <v>352.38</v>
      </c>
      <c r="G320" s="18">
        <v>45376</v>
      </c>
      <c r="H320" s="18">
        <v>45374</v>
      </c>
      <c r="I320">
        <v>161</v>
      </c>
      <c r="J320">
        <v>56733.18</v>
      </c>
      <c r="K320">
        <f>IF(tblPO[[#This Row],[Actual_Delivery_Date]]&lt;=tblPO[[#This Row],[Expected_Delivery_Date]],1,0)</f>
        <v>1</v>
      </c>
      <c r="L320">
        <f>IF(tblPO[[#This Row],[Actual_Delivery_Date]]&gt;tblPO[[#This Row],[Expected_Delivery_Date]],1,0)</f>
        <v>0</v>
      </c>
      <c r="M320">
        <f>tblPO[[#This Row],[Actual_Delivery_Date]]-tblPO[[#This Row],[PO_Date]]</f>
        <v>7</v>
      </c>
    </row>
    <row r="321" spans="1:13" x14ac:dyDescent="0.3">
      <c r="A321" t="s">
        <v>1937</v>
      </c>
      <c r="B321" s="18">
        <v>45369</v>
      </c>
      <c r="C321" t="s">
        <v>69</v>
      </c>
      <c r="D321" t="s">
        <v>113</v>
      </c>
      <c r="E321">
        <v>69</v>
      </c>
      <c r="F321">
        <v>409.83</v>
      </c>
      <c r="G321" s="18">
        <v>45383</v>
      </c>
      <c r="H321" s="18">
        <v>45380</v>
      </c>
      <c r="I321">
        <v>69</v>
      </c>
      <c r="J321">
        <v>28278.27</v>
      </c>
      <c r="K321">
        <f>IF(tblPO[[#This Row],[Actual_Delivery_Date]]&lt;=tblPO[[#This Row],[Expected_Delivery_Date]],1,0)</f>
        <v>1</v>
      </c>
      <c r="L321">
        <f>IF(tblPO[[#This Row],[Actual_Delivery_Date]]&gt;tblPO[[#This Row],[Expected_Delivery_Date]],1,0)</f>
        <v>0</v>
      </c>
      <c r="M321">
        <f>tblPO[[#This Row],[Actual_Delivery_Date]]-tblPO[[#This Row],[PO_Date]]</f>
        <v>11</v>
      </c>
    </row>
    <row r="322" spans="1:13" x14ac:dyDescent="0.3">
      <c r="A322" t="s">
        <v>1936</v>
      </c>
      <c r="B322" s="18">
        <v>45379</v>
      </c>
      <c r="C322" t="s">
        <v>47</v>
      </c>
      <c r="D322" t="s">
        <v>251</v>
      </c>
      <c r="E322">
        <v>435</v>
      </c>
      <c r="F322">
        <v>69.41</v>
      </c>
      <c r="G322" s="18">
        <v>45391</v>
      </c>
      <c r="H322" s="18">
        <v>45389</v>
      </c>
      <c r="I322">
        <v>435</v>
      </c>
      <c r="J322">
        <v>30193.35</v>
      </c>
      <c r="K322">
        <f>IF(tblPO[[#This Row],[Actual_Delivery_Date]]&lt;=tblPO[[#This Row],[Expected_Delivery_Date]],1,0)</f>
        <v>1</v>
      </c>
      <c r="L322">
        <f>IF(tblPO[[#This Row],[Actual_Delivery_Date]]&gt;tblPO[[#This Row],[Expected_Delivery_Date]],1,0)</f>
        <v>0</v>
      </c>
      <c r="M322">
        <f>tblPO[[#This Row],[Actual_Delivery_Date]]-tblPO[[#This Row],[PO_Date]]</f>
        <v>10</v>
      </c>
    </row>
    <row r="323" spans="1:13" x14ac:dyDescent="0.3">
      <c r="A323" t="s">
        <v>1935</v>
      </c>
      <c r="B323" s="18">
        <v>45374</v>
      </c>
      <c r="C323" t="s">
        <v>40</v>
      </c>
      <c r="D323" t="s">
        <v>142</v>
      </c>
      <c r="E323">
        <v>46</v>
      </c>
      <c r="F323">
        <v>196.15</v>
      </c>
      <c r="G323" s="18">
        <v>45385</v>
      </c>
      <c r="H323" s="18">
        <v>45383</v>
      </c>
      <c r="I323">
        <v>46</v>
      </c>
      <c r="J323">
        <v>9022.9</v>
      </c>
      <c r="K323">
        <f>IF(tblPO[[#This Row],[Actual_Delivery_Date]]&lt;=tblPO[[#This Row],[Expected_Delivery_Date]],1,0)</f>
        <v>1</v>
      </c>
      <c r="L323">
        <f>IF(tblPO[[#This Row],[Actual_Delivery_Date]]&gt;tblPO[[#This Row],[Expected_Delivery_Date]],1,0)</f>
        <v>0</v>
      </c>
      <c r="M323">
        <f>tblPO[[#This Row],[Actual_Delivery_Date]]-tblPO[[#This Row],[PO_Date]]</f>
        <v>9</v>
      </c>
    </row>
    <row r="324" spans="1:13" x14ac:dyDescent="0.3">
      <c r="A324" t="s">
        <v>1934</v>
      </c>
      <c r="B324" s="18">
        <v>45366</v>
      </c>
      <c r="C324" t="s">
        <v>43</v>
      </c>
      <c r="D324" t="s">
        <v>160</v>
      </c>
      <c r="E324">
        <v>431</v>
      </c>
      <c r="F324">
        <v>84.91</v>
      </c>
      <c r="G324" s="18">
        <v>45371</v>
      </c>
      <c r="H324" s="18">
        <v>45369</v>
      </c>
      <c r="I324">
        <v>431</v>
      </c>
      <c r="J324">
        <v>36596.21</v>
      </c>
      <c r="K324">
        <f>IF(tblPO[[#This Row],[Actual_Delivery_Date]]&lt;=tblPO[[#This Row],[Expected_Delivery_Date]],1,0)</f>
        <v>1</v>
      </c>
      <c r="L324">
        <f>IF(tblPO[[#This Row],[Actual_Delivery_Date]]&gt;tblPO[[#This Row],[Expected_Delivery_Date]],1,0)</f>
        <v>0</v>
      </c>
      <c r="M324">
        <f>tblPO[[#This Row],[Actual_Delivery_Date]]-tblPO[[#This Row],[PO_Date]]</f>
        <v>3</v>
      </c>
    </row>
    <row r="325" spans="1:13" x14ac:dyDescent="0.3">
      <c r="A325" t="s">
        <v>1933</v>
      </c>
      <c r="B325" s="18">
        <v>45353</v>
      </c>
      <c r="C325" t="s">
        <v>39</v>
      </c>
      <c r="D325" t="s">
        <v>164</v>
      </c>
      <c r="E325">
        <v>155</v>
      </c>
      <c r="F325">
        <v>142.47999999999999</v>
      </c>
      <c r="G325" s="18">
        <v>45378</v>
      </c>
      <c r="H325" s="18">
        <v>45376</v>
      </c>
      <c r="I325">
        <v>155</v>
      </c>
      <c r="J325">
        <v>22084.400000000001</v>
      </c>
      <c r="K325">
        <f>IF(tblPO[[#This Row],[Actual_Delivery_Date]]&lt;=tblPO[[#This Row],[Expected_Delivery_Date]],1,0)</f>
        <v>1</v>
      </c>
      <c r="L325">
        <f>IF(tblPO[[#This Row],[Actual_Delivery_Date]]&gt;tblPO[[#This Row],[Expected_Delivery_Date]],1,0)</f>
        <v>0</v>
      </c>
      <c r="M325">
        <f>tblPO[[#This Row],[Actual_Delivery_Date]]-tblPO[[#This Row],[PO_Date]]</f>
        <v>23</v>
      </c>
    </row>
    <row r="326" spans="1:13" x14ac:dyDescent="0.3">
      <c r="A326" t="s">
        <v>1932</v>
      </c>
      <c r="B326" s="18">
        <v>45374</v>
      </c>
      <c r="C326" t="s">
        <v>42</v>
      </c>
      <c r="D326" t="s">
        <v>102</v>
      </c>
      <c r="E326">
        <v>110</v>
      </c>
      <c r="F326">
        <v>652.21</v>
      </c>
      <c r="G326" s="18">
        <v>45396</v>
      </c>
      <c r="H326" s="18">
        <v>45395</v>
      </c>
      <c r="I326">
        <v>110</v>
      </c>
      <c r="J326">
        <v>71743.100000000006</v>
      </c>
      <c r="K326">
        <f>IF(tblPO[[#This Row],[Actual_Delivery_Date]]&lt;=tblPO[[#This Row],[Expected_Delivery_Date]],1,0)</f>
        <v>1</v>
      </c>
      <c r="L326">
        <f>IF(tblPO[[#This Row],[Actual_Delivery_Date]]&gt;tblPO[[#This Row],[Expected_Delivery_Date]],1,0)</f>
        <v>0</v>
      </c>
      <c r="M326">
        <f>tblPO[[#This Row],[Actual_Delivery_Date]]-tblPO[[#This Row],[PO_Date]]</f>
        <v>21</v>
      </c>
    </row>
    <row r="327" spans="1:13" x14ac:dyDescent="0.3">
      <c r="A327" t="s">
        <v>1931</v>
      </c>
      <c r="B327" s="18">
        <v>45355</v>
      </c>
      <c r="C327" t="s">
        <v>45</v>
      </c>
      <c r="D327" t="s">
        <v>239</v>
      </c>
      <c r="E327">
        <v>648</v>
      </c>
      <c r="F327">
        <v>87.62</v>
      </c>
      <c r="G327" s="18">
        <v>45362</v>
      </c>
      <c r="H327" s="18">
        <v>45362</v>
      </c>
      <c r="I327">
        <v>648</v>
      </c>
      <c r="J327">
        <v>56777.760000000002</v>
      </c>
      <c r="K327">
        <f>IF(tblPO[[#This Row],[Actual_Delivery_Date]]&lt;=tblPO[[#This Row],[Expected_Delivery_Date]],1,0)</f>
        <v>1</v>
      </c>
      <c r="L327">
        <f>IF(tblPO[[#This Row],[Actual_Delivery_Date]]&gt;tblPO[[#This Row],[Expected_Delivery_Date]],1,0)</f>
        <v>0</v>
      </c>
      <c r="M327">
        <f>tblPO[[#This Row],[Actual_Delivery_Date]]-tblPO[[#This Row],[PO_Date]]</f>
        <v>7</v>
      </c>
    </row>
    <row r="328" spans="1:13" x14ac:dyDescent="0.3">
      <c r="A328" t="s">
        <v>1930</v>
      </c>
      <c r="B328" s="18">
        <v>45382</v>
      </c>
      <c r="C328" t="s">
        <v>38</v>
      </c>
      <c r="D328" t="s">
        <v>225</v>
      </c>
      <c r="E328">
        <v>101</v>
      </c>
      <c r="F328">
        <v>213.32</v>
      </c>
      <c r="G328" s="18">
        <v>45391</v>
      </c>
      <c r="H328" s="18">
        <v>45391</v>
      </c>
      <c r="I328">
        <v>101</v>
      </c>
      <c r="J328">
        <v>21545.32</v>
      </c>
      <c r="K328">
        <f>IF(tblPO[[#This Row],[Actual_Delivery_Date]]&lt;=tblPO[[#This Row],[Expected_Delivery_Date]],1,0)</f>
        <v>1</v>
      </c>
      <c r="L328">
        <f>IF(tblPO[[#This Row],[Actual_Delivery_Date]]&gt;tblPO[[#This Row],[Expected_Delivery_Date]],1,0)</f>
        <v>0</v>
      </c>
      <c r="M328">
        <f>tblPO[[#This Row],[Actual_Delivery_Date]]-tblPO[[#This Row],[PO_Date]]</f>
        <v>9</v>
      </c>
    </row>
    <row r="329" spans="1:13" x14ac:dyDescent="0.3">
      <c r="A329" t="s">
        <v>1929</v>
      </c>
      <c r="B329" s="18">
        <v>45361</v>
      </c>
      <c r="C329" t="s">
        <v>44</v>
      </c>
      <c r="D329" t="s">
        <v>207</v>
      </c>
      <c r="E329">
        <v>752</v>
      </c>
      <c r="F329">
        <v>9.52</v>
      </c>
      <c r="G329" s="18">
        <v>45374</v>
      </c>
      <c r="H329" s="18">
        <v>45373</v>
      </c>
      <c r="I329">
        <v>752</v>
      </c>
      <c r="J329">
        <v>7159.04</v>
      </c>
      <c r="K329">
        <f>IF(tblPO[[#This Row],[Actual_Delivery_Date]]&lt;=tblPO[[#This Row],[Expected_Delivery_Date]],1,0)</f>
        <v>1</v>
      </c>
      <c r="L329">
        <f>IF(tblPO[[#This Row],[Actual_Delivery_Date]]&gt;tblPO[[#This Row],[Expected_Delivery_Date]],1,0)</f>
        <v>0</v>
      </c>
      <c r="M329">
        <f>tblPO[[#This Row],[Actual_Delivery_Date]]-tblPO[[#This Row],[PO_Date]]</f>
        <v>12</v>
      </c>
    </row>
    <row r="330" spans="1:13" x14ac:dyDescent="0.3">
      <c r="A330" t="s">
        <v>1928</v>
      </c>
      <c r="B330" s="18">
        <v>45364</v>
      </c>
      <c r="C330" t="s">
        <v>44</v>
      </c>
      <c r="D330" t="s">
        <v>185</v>
      </c>
      <c r="E330">
        <v>828</v>
      </c>
      <c r="F330">
        <v>6.83</v>
      </c>
      <c r="G330" s="18">
        <v>45392</v>
      </c>
      <c r="H330" s="18">
        <v>45391</v>
      </c>
      <c r="I330">
        <v>828</v>
      </c>
      <c r="J330">
        <v>5655.24</v>
      </c>
      <c r="K330">
        <f>IF(tblPO[[#This Row],[Actual_Delivery_Date]]&lt;=tblPO[[#This Row],[Expected_Delivery_Date]],1,0)</f>
        <v>1</v>
      </c>
      <c r="L330">
        <f>IF(tblPO[[#This Row],[Actual_Delivery_Date]]&gt;tblPO[[#This Row],[Expected_Delivery_Date]],1,0)</f>
        <v>0</v>
      </c>
      <c r="M330">
        <f>tblPO[[#This Row],[Actual_Delivery_Date]]-tblPO[[#This Row],[PO_Date]]</f>
        <v>27</v>
      </c>
    </row>
    <row r="331" spans="1:13" x14ac:dyDescent="0.3">
      <c r="A331" t="s">
        <v>1927</v>
      </c>
      <c r="B331" s="18">
        <v>45379</v>
      </c>
      <c r="C331" t="s">
        <v>45</v>
      </c>
      <c r="D331" t="s">
        <v>241</v>
      </c>
      <c r="E331">
        <v>14</v>
      </c>
      <c r="F331">
        <v>2925.96</v>
      </c>
      <c r="G331" s="18">
        <v>45396</v>
      </c>
      <c r="H331" s="18">
        <v>45394</v>
      </c>
      <c r="I331">
        <v>14</v>
      </c>
      <c r="J331">
        <v>40963.440000000002</v>
      </c>
      <c r="K331">
        <f>IF(tblPO[[#This Row],[Actual_Delivery_Date]]&lt;=tblPO[[#This Row],[Expected_Delivery_Date]],1,0)</f>
        <v>1</v>
      </c>
      <c r="L331">
        <f>IF(tblPO[[#This Row],[Actual_Delivery_Date]]&gt;tblPO[[#This Row],[Expected_Delivery_Date]],1,0)</f>
        <v>0</v>
      </c>
      <c r="M331">
        <f>tblPO[[#This Row],[Actual_Delivery_Date]]-tblPO[[#This Row],[PO_Date]]</f>
        <v>15</v>
      </c>
    </row>
    <row r="332" spans="1:13" x14ac:dyDescent="0.3">
      <c r="A332" t="s">
        <v>1926</v>
      </c>
      <c r="B332" s="18">
        <v>45355</v>
      </c>
      <c r="C332" t="s">
        <v>38</v>
      </c>
      <c r="D332" t="s">
        <v>245</v>
      </c>
      <c r="E332">
        <v>6</v>
      </c>
      <c r="F332">
        <v>4302.1099999999997</v>
      </c>
      <c r="G332" s="18">
        <v>45358</v>
      </c>
      <c r="H332" s="18">
        <v>45356</v>
      </c>
      <c r="I332">
        <v>6</v>
      </c>
      <c r="J332">
        <v>25812.66</v>
      </c>
      <c r="K332">
        <f>IF(tblPO[[#This Row],[Actual_Delivery_Date]]&lt;=tblPO[[#This Row],[Expected_Delivery_Date]],1,0)</f>
        <v>1</v>
      </c>
      <c r="L332">
        <f>IF(tblPO[[#This Row],[Actual_Delivery_Date]]&gt;tblPO[[#This Row],[Expected_Delivery_Date]],1,0)</f>
        <v>0</v>
      </c>
      <c r="M332">
        <f>tblPO[[#This Row],[Actual_Delivery_Date]]-tblPO[[#This Row],[PO_Date]]</f>
        <v>1</v>
      </c>
    </row>
    <row r="333" spans="1:13" x14ac:dyDescent="0.3">
      <c r="A333" t="s">
        <v>1925</v>
      </c>
      <c r="B333" s="18">
        <v>45372</v>
      </c>
      <c r="C333" t="s">
        <v>41</v>
      </c>
      <c r="D333" t="s">
        <v>181</v>
      </c>
      <c r="E333">
        <v>1505</v>
      </c>
      <c r="F333">
        <v>4.1100000000000003</v>
      </c>
      <c r="G333" s="18">
        <v>45377</v>
      </c>
      <c r="H333" s="18">
        <v>45376</v>
      </c>
      <c r="I333">
        <v>1505</v>
      </c>
      <c r="J333">
        <v>6185.55</v>
      </c>
      <c r="K333">
        <f>IF(tblPO[[#This Row],[Actual_Delivery_Date]]&lt;=tblPO[[#This Row],[Expected_Delivery_Date]],1,0)</f>
        <v>1</v>
      </c>
      <c r="L333">
        <f>IF(tblPO[[#This Row],[Actual_Delivery_Date]]&gt;tblPO[[#This Row],[Expected_Delivery_Date]],1,0)</f>
        <v>0</v>
      </c>
      <c r="M333">
        <f>tblPO[[#This Row],[Actual_Delivery_Date]]-tblPO[[#This Row],[PO_Date]]</f>
        <v>4</v>
      </c>
    </row>
    <row r="334" spans="1:13" x14ac:dyDescent="0.3">
      <c r="A334" t="s">
        <v>1924</v>
      </c>
      <c r="B334" s="18">
        <v>45358</v>
      </c>
      <c r="C334" t="s">
        <v>41</v>
      </c>
      <c r="D334" t="s">
        <v>207</v>
      </c>
      <c r="E334">
        <v>116</v>
      </c>
      <c r="F334">
        <v>10.62</v>
      </c>
      <c r="G334" s="18">
        <v>45375</v>
      </c>
      <c r="H334" s="18">
        <v>45372</v>
      </c>
      <c r="I334">
        <v>116</v>
      </c>
      <c r="J334">
        <v>1231.92</v>
      </c>
      <c r="K334">
        <f>IF(tblPO[[#This Row],[Actual_Delivery_Date]]&lt;=tblPO[[#This Row],[Expected_Delivery_Date]],1,0)</f>
        <v>1</v>
      </c>
      <c r="L334">
        <f>IF(tblPO[[#This Row],[Actual_Delivery_Date]]&gt;tblPO[[#This Row],[Expected_Delivery_Date]],1,0)</f>
        <v>0</v>
      </c>
      <c r="M334">
        <f>tblPO[[#This Row],[Actual_Delivery_Date]]-tblPO[[#This Row],[PO_Date]]</f>
        <v>14</v>
      </c>
    </row>
    <row r="335" spans="1:13" x14ac:dyDescent="0.3">
      <c r="A335" t="s">
        <v>1923</v>
      </c>
      <c r="B335" s="18">
        <v>45353</v>
      </c>
      <c r="C335" t="s">
        <v>49</v>
      </c>
      <c r="D335" t="s">
        <v>181</v>
      </c>
      <c r="E335">
        <v>350</v>
      </c>
      <c r="F335">
        <v>4.0599999999999996</v>
      </c>
      <c r="G335" s="18">
        <v>45370</v>
      </c>
      <c r="H335" s="18">
        <v>45370</v>
      </c>
      <c r="I335">
        <v>350</v>
      </c>
      <c r="J335">
        <v>1421</v>
      </c>
      <c r="K335">
        <f>IF(tblPO[[#This Row],[Actual_Delivery_Date]]&lt;=tblPO[[#This Row],[Expected_Delivery_Date]],1,0)</f>
        <v>1</v>
      </c>
      <c r="L335">
        <f>IF(tblPO[[#This Row],[Actual_Delivery_Date]]&gt;tblPO[[#This Row],[Expected_Delivery_Date]],1,0)</f>
        <v>0</v>
      </c>
      <c r="M335">
        <f>tblPO[[#This Row],[Actual_Delivery_Date]]-tblPO[[#This Row],[PO_Date]]</f>
        <v>17</v>
      </c>
    </row>
    <row r="336" spans="1:13" x14ac:dyDescent="0.3">
      <c r="A336" t="s">
        <v>1922</v>
      </c>
      <c r="B336" s="18">
        <v>45373</v>
      </c>
      <c r="C336" t="s">
        <v>48</v>
      </c>
      <c r="D336" t="s">
        <v>164</v>
      </c>
      <c r="E336">
        <v>107</v>
      </c>
      <c r="F336">
        <v>162.44999999999999</v>
      </c>
      <c r="G336" s="18">
        <v>45398</v>
      </c>
      <c r="H336" s="18">
        <v>45396</v>
      </c>
      <c r="I336">
        <v>107</v>
      </c>
      <c r="J336">
        <v>17382.150000000001</v>
      </c>
      <c r="K336">
        <f>IF(tblPO[[#This Row],[Actual_Delivery_Date]]&lt;=tblPO[[#This Row],[Expected_Delivery_Date]],1,0)</f>
        <v>1</v>
      </c>
      <c r="L336">
        <f>IF(tblPO[[#This Row],[Actual_Delivery_Date]]&gt;tblPO[[#This Row],[Expected_Delivery_Date]],1,0)</f>
        <v>0</v>
      </c>
      <c r="M336">
        <f>tblPO[[#This Row],[Actual_Delivery_Date]]-tblPO[[#This Row],[PO_Date]]</f>
        <v>23</v>
      </c>
    </row>
    <row r="337" spans="1:13" x14ac:dyDescent="0.3">
      <c r="A337" t="s">
        <v>1921</v>
      </c>
      <c r="B337" s="18">
        <v>45353</v>
      </c>
      <c r="C337" t="s">
        <v>40</v>
      </c>
      <c r="D337" t="s">
        <v>134</v>
      </c>
      <c r="E337">
        <v>6</v>
      </c>
      <c r="F337">
        <v>4332.33</v>
      </c>
      <c r="G337" s="18">
        <v>45363</v>
      </c>
      <c r="H337" s="18">
        <v>45363</v>
      </c>
      <c r="I337">
        <v>6</v>
      </c>
      <c r="J337">
        <v>25993.98</v>
      </c>
      <c r="K337">
        <f>IF(tblPO[[#This Row],[Actual_Delivery_Date]]&lt;=tblPO[[#This Row],[Expected_Delivery_Date]],1,0)</f>
        <v>1</v>
      </c>
      <c r="L337">
        <f>IF(tblPO[[#This Row],[Actual_Delivery_Date]]&gt;tblPO[[#This Row],[Expected_Delivery_Date]],1,0)</f>
        <v>0</v>
      </c>
      <c r="M337">
        <f>tblPO[[#This Row],[Actual_Delivery_Date]]-tblPO[[#This Row],[PO_Date]]</f>
        <v>10</v>
      </c>
    </row>
    <row r="338" spans="1:13" x14ac:dyDescent="0.3">
      <c r="A338" t="s">
        <v>1920</v>
      </c>
      <c r="B338" s="18">
        <v>45360</v>
      </c>
      <c r="C338" t="s">
        <v>39</v>
      </c>
      <c r="D338" t="s">
        <v>160</v>
      </c>
      <c r="E338">
        <v>139</v>
      </c>
      <c r="F338">
        <v>111.91</v>
      </c>
      <c r="G338" s="18">
        <v>45384</v>
      </c>
      <c r="H338" s="18">
        <v>45382</v>
      </c>
      <c r="I338">
        <v>139</v>
      </c>
      <c r="J338">
        <v>15555.49</v>
      </c>
      <c r="K338">
        <f>IF(tblPO[[#This Row],[Actual_Delivery_Date]]&lt;=tblPO[[#This Row],[Expected_Delivery_Date]],1,0)</f>
        <v>1</v>
      </c>
      <c r="L338">
        <f>IF(tblPO[[#This Row],[Actual_Delivery_Date]]&gt;tblPO[[#This Row],[Expected_Delivery_Date]],1,0)</f>
        <v>0</v>
      </c>
      <c r="M338">
        <f>tblPO[[#This Row],[Actual_Delivery_Date]]-tblPO[[#This Row],[PO_Date]]</f>
        <v>22</v>
      </c>
    </row>
    <row r="339" spans="1:13" x14ac:dyDescent="0.3">
      <c r="A339" t="s">
        <v>1919</v>
      </c>
      <c r="B339" s="18">
        <v>45377</v>
      </c>
      <c r="C339" t="s">
        <v>42</v>
      </c>
      <c r="D339" t="s">
        <v>86</v>
      </c>
      <c r="E339">
        <v>171</v>
      </c>
      <c r="F339">
        <v>342.31</v>
      </c>
      <c r="G339" s="18">
        <v>45406</v>
      </c>
      <c r="H339" s="18">
        <v>45406</v>
      </c>
      <c r="I339">
        <v>171</v>
      </c>
      <c r="J339">
        <v>58535.01</v>
      </c>
      <c r="K339">
        <f>IF(tblPO[[#This Row],[Actual_Delivery_Date]]&lt;=tblPO[[#This Row],[Expected_Delivery_Date]],1,0)</f>
        <v>1</v>
      </c>
      <c r="L339">
        <f>IF(tblPO[[#This Row],[Actual_Delivery_Date]]&gt;tblPO[[#This Row],[Expected_Delivery_Date]],1,0)</f>
        <v>0</v>
      </c>
      <c r="M339">
        <f>tblPO[[#This Row],[Actual_Delivery_Date]]-tblPO[[#This Row],[PO_Date]]</f>
        <v>29</v>
      </c>
    </row>
    <row r="340" spans="1:13" x14ac:dyDescent="0.3">
      <c r="A340" t="s">
        <v>1918</v>
      </c>
      <c r="B340" s="18">
        <v>45363</v>
      </c>
      <c r="C340" t="s">
        <v>66</v>
      </c>
      <c r="D340" t="s">
        <v>229</v>
      </c>
      <c r="E340">
        <v>17</v>
      </c>
      <c r="F340">
        <v>1527.51</v>
      </c>
      <c r="G340" s="18">
        <v>45376</v>
      </c>
      <c r="H340" s="18">
        <v>45374</v>
      </c>
      <c r="I340">
        <v>16</v>
      </c>
      <c r="J340">
        <v>25967.67</v>
      </c>
      <c r="K340">
        <f>IF(tblPO[[#This Row],[Actual_Delivery_Date]]&lt;=tblPO[[#This Row],[Expected_Delivery_Date]],1,0)</f>
        <v>1</v>
      </c>
      <c r="L340">
        <f>IF(tblPO[[#This Row],[Actual_Delivery_Date]]&gt;tblPO[[#This Row],[Expected_Delivery_Date]],1,0)</f>
        <v>0</v>
      </c>
      <c r="M340">
        <f>tblPO[[#This Row],[Actual_Delivery_Date]]-tblPO[[#This Row],[PO_Date]]</f>
        <v>11</v>
      </c>
    </row>
    <row r="341" spans="1:13" x14ac:dyDescent="0.3">
      <c r="A341" t="s">
        <v>1917</v>
      </c>
      <c r="B341" s="18">
        <v>45353</v>
      </c>
      <c r="C341" t="s">
        <v>42</v>
      </c>
      <c r="D341" t="s">
        <v>110</v>
      </c>
      <c r="E341">
        <v>10</v>
      </c>
      <c r="F341">
        <v>5663.82</v>
      </c>
      <c r="G341" s="18">
        <v>45380</v>
      </c>
      <c r="H341" s="18">
        <v>45378</v>
      </c>
      <c r="I341">
        <v>10</v>
      </c>
      <c r="J341">
        <v>56638.2</v>
      </c>
      <c r="K341">
        <f>IF(tblPO[[#This Row],[Actual_Delivery_Date]]&lt;=tblPO[[#This Row],[Expected_Delivery_Date]],1,0)</f>
        <v>1</v>
      </c>
      <c r="L341">
        <f>IF(tblPO[[#This Row],[Actual_Delivery_Date]]&gt;tblPO[[#This Row],[Expected_Delivery_Date]],1,0)</f>
        <v>0</v>
      </c>
      <c r="M341">
        <f>tblPO[[#This Row],[Actual_Delivery_Date]]-tblPO[[#This Row],[PO_Date]]</f>
        <v>25</v>
      </c>
    </row>
    <row r="342" spans="1:13" x14ac:dyDescent="0.3">
      <c r="A342" t="s">
        <v>1916</v>
      </c>
      <c r="B342" s="18">
        <v>45360</v>
      </c>
      <c r="C342" t="s">
        <v>49</v>
      </c>
      <c r="D342" t="s">
        <v>207</v>
      </c>
      <c r="E342">
        <v>296</v>
      </c>
      <c r="F342">
        <v>10.35</v>
      </c>
      <c r="G342" s="18">
        <v>45364</v>
      </c>
      <c r="H342" s="18">
        <v>45362</v>
      </c>
      <c r="I342">
        <v>296</v>
      </c>
      <c r="J342">
        <v>3063.6</v>
      </c>
      <c r="K342">
        <f>IF(tblPO[[#This Row],[Actual_Delivery_Date]]&lt;=tblPO[[#This Row],[Expected_Delivery_Date]],1,0)</f>
        <v>1</v>
      </c>
      <c r="L342">
        <f>IF(tblPO[[#This Row],[Actual_Delivery_Date]]&gt;tblPO[[#This Row],[Expected_Delivery_Date]],1,0)</f>
        <v>0</v>
      </c>
      <c r="M342">
        <f>tblPO[[#This Row],[Actual_Delivery_Date]]-tblPO[[#This Row],[PO_Date]]</f>
        <v>2</v>
      </c>
    </row>
    <row r="343" spans="1:13" x14ac:dyDescent="0.3">
      <c r="A343" t="s">
        <v>1915</v>
      </c>
      <c r="B343" s="18">
        <v>45357</v>
      </c>
      <c r="C343" t="s">
        <v>56</v>
      </c>
      <c r="D343" t="s">
        <v>117</v>
      </c>
      <c r="E343">
        <v>54</v>
      </c>
      <c r="F343">
        <v>285.43</v>
      </c>
      <c r="G343" s="18">
        <v>45367</v>
      </c>
      <c r="H343" s="18">
        <v>45366</v>
      </c>
      <c r="I343">
        <v>54</v>
      </c>
      <c r="J343">
        <v>15413.22</v>
      </c>
      <c r="K343">
        <f>IF(tblPO[[#This Row],[Actual_Delivery_Date]]&lt;=tblPO[[#This Row],[Expected_Delivery_Date]],1,0)</f>
        <v>1</v>
      </c>
      <c r="L343">
        <f>IF(tblPO[[#This Row],[Actual_Delivery_Date]]&gt;tblPO[[#This Row],[Expected_Delivery_Date]],1,0)</f>
        <v>0</v>
      </c>
      <c r="M343">
        <f>tblPO[[#This Row],[Actual_Delivery_Date]]-tblPO[[#This Row],[PO_Date]]</f>
        <v>9</v>
      </c>
    </row>
    <row r="344" spans="1:13" x14ac:dyDescent="0.3">
      <c r="A344" t="s">
        <v>1914</v>
      </c>
      <c r="B344" s="18">
        <v>45382</v>
      </c>
      <c r="C344" t="s">
        <v>42</v>
      </c>
      <c r="D344" t="s">
        <v>110</v>
      </c>
      <c r="E344">
        <v>13</v>
      </c>
      <c r="F344">
        <v>5579.36</v>
      </c>
      <c r="G344" s="18">
        <v>45412</v>
      </c>
      <c r="H344" s="18">
        <v>45410</v>
      </c>
      <c r="I344">
        <v>13</v>
      </c>
      <c r="J344">
        <v>72531.679999999993</v>
      </c>
      <c r="K344">
        <f>IF(tblPO[[#This Row],[Actual_Delivery_Date]]&lt;=tblPO[[#This Row],[Expected_Delivery_Date]],1,0)</f>
        <v>1</v>
      </c>
      <c r="L344">
        <f>IF(tblPO[[#This Row],[Actual_Delivery_Date]]&gt;tblPO[[#This Row],[Expected_Delivery_Date]],1,0)</f>
        <v>0</v>
      </c>
      <c r="M344">
        <f>tblPO[[#This Row],[Actual_Delivery_Date]]-tblPO[[#This Row],[PO_Date]]</f>
        <v>28</v>
      </c>
    </row>
    <row r="345" spans="1:13" x14ac:dyDescent="0.3">
      <c r="A345" t="s">
        <v>1913</v>
      </c>
      <c r="B345" s="18">
        <v>45369</v>
      </c>
      <c r="C345" t="s">
        <v>42</v>
      </c>
      <c r="D345" t="s">
        <v>86</v>
      </c>
      <c r="E345">
        <v>136</v>
      </c>
      <c r="F345">
        <v>352.03</v>
      </c>
      <c r="G345" s="18">
        <v>45390</v>
      </c>
      <c r="H345" s="18">
        <v>45387</v>
      </c>
      <c r="I345">
        <v>136</v>
      </c>
      <c r="J345">
        <v>47876.08</v>
      </c>
      <c r="K345">
        <f>IF(tblPO[[#This Row],[Actual_Delivery_Date]]&lt;=tblPO[[#This Row],[Expected_Delivery_Date]],1,0)</f>
        <v>1</v>
      </c>
      <c r="L345">
        <f>IF(tblPO[[#This Row],[Actual_Delivery_Date]]&gt;tblPO[[#This Row],[Expected_Delivery_Date]],1,0)</f>
        <v>0</v>
      </c>
      <c r="M345">
        <f>tblPO[[#This Row],[Actual_Delivery_Date]]-tblPO[[#This Row],[PO_Date]]</f>
        <v>18</v>
      </c>
    </row>
    <row r="346" spans="1:13" x14ac:dyDescent="0.3">
      <c r="A346" t="s">
        <v>1912</v>
      </c>
      <c r="B346" s="18">
        <v>45368</v>
      </c>
      <c r="C346" t="s">
        <v>56</v>
      </c>
      <c r="D346" t="s">
        <v>136</v>
      </c>
      <c r="E346">
        <v>15</v>
      </c>
      <c r="F346">
        <v>589.76</v>
      </c>
      <c r="G346" s="18">
        <v>45386</v>
      </c>
      <c r="H346" s="18">
        <v>45384</v>
      </c>
      <c r="I346">
        <v>15</v>
      </c>
      <c r="J346">
        <v>8846.4</v>
      </c>
      <c r="K346">
        <f>IF(tblPO[[#This Row],[Actual_Delivery_Date]]&lt;=tblPO[[#This Row],[Expected_Delivery_Date]],1,0)</f>
        <v>1</v>
      </c>
      <c r="L346">
        <f>IF(tblPO[[#This Row],[Actual_Delivery_Date]]&gt;tblPO[[#This Row],[Expected_Delivery_Date]],1,0)</f>
        <v>0</v>
      </c>
      <c r="M346">
        <f>tblPO[[#This Row],[Actual_Delivery_Date]]-tblPO[[#This Row],[PO_Date]]</f>
        <v>16</v>
      </c>
    </row>
    <row r="347" spans="1:13" x14ac:dyDescent="0.3">
      <c r="A347" t="s">
        <v>1911</v>
      </c>
      <c r="B347" s="18">
        <v>45353</v>
      </c>
      <c r="C347" t="s">
        <v>59</v>
      </c>
      <c r="D347" t="s">
        <v>100</v>
      </c>
      <c r="E347">
        <v>6</v>
      </c>
      <c r="F347">
        <v>34335.730000000003</v>
      </c>
      <c r="G347" s="18">
        <v>45356</v>
      </c>
      <c r="H347" s="18">
        <v>45354</v>
      </c>
      <c r="I347">
        <v>6</v>
      </c>
      <c r="J347">
        <v>206014.38</v>
      </c>
      <c r="K347">
        <f>IF(tblPO[[#This Row],[Actual_Delivery_Date]]&lt;=tblPO[[#This Row],[Expected_Delivery_Date]],1,0)</f>
        <v>1</v>
      </c>
      <c r="L347">
        <f>IF(tblPO[[#This Row],[Actual_Delivery_Date]]&gt;tblPO[[#This Row],[Expected_Delivery_Date]],1,0)</f>
        <v>0</v>
      </c>
      <c r="M347">
        <f>tblPO[[#This Row],[Actual_Delivery_Date]]-tblPO[[#This Row],[PO_Date]]</f>
        <v>1</v>
      </c>
    </row>
    <row r="348" spans="1:13" x14ac:dyDescent="0.3">
      <c r="A348" t="s">
        <v>1910</v>
      </c>
      <c r="B348" s="18">
        <v>45382</v>
      </c>
      <c r="C348" t="s">
        <v>68</v>
      </c>
      <c r="D348" t="s">
        <v>149</v>
      </c>
      <c r="E348">
        <v>423</v>
      </c>
      <c r="F348">
        <v>56.28</v>
      </c>
      <c r="G348" s="18">
        <v>45387</v>
      </c>
      <c r="H348" s="18">
        <v>45387</v>
      </c>
      <c r="I348">
        <v>423</v>
      </c>
      <c r="J348">
        <v>23806.44</v>
      </c>
      <c r="K348">
        <f>IF(tblPO[[#This Row],[Actual_Delivery_Date]]&lt;=tblPO[[#This Row],[Expected_Delivery_Date]],1,0)</f>
        <v>1</v>
      </c>
      <c r="L348">
        <f>IF(tblPO[[#This Row],[Actual_Delivery_Date]]&gt;tblPO[[#This Row],[Expected_Delivery_Date]],1,0)</f>
        <v>0</v>
      </c>
      <c r="M348">
        <f>tblPO[[#This Row],[Actual_Delivery_Date]]-tblPO[[#This Row],[PO_Date]]</f>
        <v>5</v>
      </c>
    </row>
    <row r="349" spans="1:13" x14ac:dyDescent="0.3">
      <c r="A349" t="s">
        <v>1909</v>
      </c>
      <c r="B349" s="18">
        <v>45357</v>
      </c>
      <c r="C349" t="s">
        <v>39</v>
      </c>
      <c r="D349" t="s">
        <v>166</v>
      </c>
      <c r="E349">
        <v>189</v>
      </c>
      <c r="F349">
        <v>95.23</v>
      </c>
      <c r="G349" s="18">
        <v>45382</v>
      </c>
      <c r="H349" s="18">
        <v>45382</v>
      </c>
      <c r="I349">
        <v>189</v>
      </c>
      <c r="J349">
        <v>17998.47</v>
      </c>
      <c r="K349">
        <f>IF(tblPO[[#This Row],[Actual_Delivery_Date]]&lt;=tblPO[[#This Row],[Expected_Delivery_Date]],1,0)</f>
        <v>1</v>
      </c>
      <c r="L349">
        <f>IF(tblPO[[#This Row],[Actual_Delivery_Date]]&gt;tblPO[[#This Row],[Expected_Delivery_Date]],1,0)</f>
        <v>0</v>
      </c>
      <c r="M349">
        <f>tblPO[[#This Row],[Actual_Delivery_Date]]-tblPO[[#This Row],[PO_Date]]</f>
        <v>25</v>
      </c>
    </row>
    <row r="350" spans="1:13" x14ac:dyDescent="0.3">
      <c r="A350" t="s">
        <v>1908</v>
      </c>
      <c r="B350" s="18">
        <v>45359</v>
      </c>
      <c r="C350" t="s">
        <v>42</v>
      </c>
      <c r="D350" t="s">
        <v>106</v>
      </c>
      <c r="E350">
        <v>6</v>
      </c>
      <c r="F350">
        <v>22944.09</v>
      </c>
      <c r="G350" s="18">
        <v>45389</v>
      </c>
      <c r="H350" s="18">
        <v>45389</v>
      </c>
      <c r="I350">
        <v>6</v>
      </c>
      <c r="J350">
        <v>137664.54</v>
      </c>
      <c r="K350">
        <f>IF(tblPO[[#This Row],[Actual_Delivery_Date]]&lt;=tblPO[[#This Row],[Expected_Delivery_Date]],1,0)</f>
        <v>1</v>
      </c>
      <c r="L350">
        <f>IF(tblPO[[#This Row],[Actual_Delivery_Date]]&gt;tblPO[[#This Row],[Expected_Delivery_Date]],1,0)</f>
        <v>0</v>
      </c>
      <c r="M350">
        <f>tblPO[[#This Row],[Actual_Delivery_Date]]-tblPO[[#This Row],[PO_Date]]</f>
        <v>30</v>
      </c>
    </row>
    <row r="351" spans="1:13" x14ac:dyDescent="0.3">
      <c r="A351" t="s">
        <v>1907</v>
      </c>
      <c r="B351" s="18">
        <v>45375</v>
      </c>
      <c r="C351" t="s">
        <v>65</v>
      </c>
      <c r="D351" t="s">
        <v>185</v>
      </c>
      <c r="E351">
        <v>463</v>
      </c>
      <c r="F351">
        <v>7.61</v>
      </c>
      <c r="G351" s="18">
        <v>45378</v>
      </c>
      <c r="H351" s="18">
        <v>45393</v>
      </c>
      <c r="I351">
        <v>463</v>
      </c>
      <c r="J351">
        <v>3523.43</v>
      </c>
      <c r="K351">
        <f>IF(tblPO[[#This Row],[Actual_Delivery_Date]]&lt;=tblPO[[#This Row],[Expected_Delivery_Date]],1,0)</f>
        <v>0</v>
      </c>
      <c r="L351">
        <f>IF(tblPO[[#This Row],[Actual_Delivery_Date]]&gt;tblPO[[#This Row],[Expected_Delivery_Date]],1,0)</f>
        <v>1</v>
      </c>
      <c r="M351">
        <f>tblPO[[#This Row],[Actual_Delivery_Date]]-tblPO[[#This Row],[PO_Date]]</f>
        <v>18</v>
      </c>
    </row>
    <row r="352" spans="1:13" x14ac:dyDescent="0.3">
      <c r="A352" t="s">
        <v>1906</v>
      </c>
      <c r="B352" s="18">
        <v>45357</v>
      </c>
      <c r="C352" t="s">
        <v>40</v>
      </c>
      <c r="D352" t="s">
        <v>117</v>
      </c>
      <c r="E352">
        <v>18</v>
      </c>
      <c r="F352">
        <v>348.5</v>
      </c>
      <c r="G352" s="18">
        <v>45370</v>
      </c>
      <c r="H352" s="18">
        <v>45368</v>
      </c>
      <c r="I352">
        <v>18</v>
      </c>
      <c r="J352">
        <v>6273</v>
      </c>
      <c r="K352">
        <f>IF(tblPO[[#This Row],[Actual_Delivery_Date]]&lt;=tblPO[[#This Row],[Expected_Delivery_Date]],1,0)</f>
        <v>1</v>
      </c>
      <c r="L352">
        <f>IF(tblPO[[#This Row],[Actual_Delivery_Date]]&gt;tblPO[[#This Row],[Expected_Delivery_Date]],1,0)</f>
        <v>0</v>
      </c>
      <c r="M352">
        <f>tblPO[[#This Row],[Actual_Delivery_Date]]-tblPO[[#This Row],[PO_Date]]</f>
        <v>11</v>
      </c>
    </row>
    <row r="353" spans="1:13" x14ac:dyDescent="0.3">
      <c r="A353" t="s">
        <v>1905</v>
      </c>
      <c r="B353" s="18">
        <v>45362</v>
      </c>
      <c r="C353" t="s">
        <v>42</v>
      </c>
      <c r="D353" t="s">
        <v>108</v>
      </c>
      <c r="E353">
        <v>3</v>
      </c>
      <c r="F353">
        <v>15151.45</v>
      </c>
      <c r="G353" s="18">
        <v>45376</v>
      </c>
      <c r="H353" s="18">
        <v>45375</v>
      </c>
      <c r="I353">
        <v>3</v>
      </c>
      <c r="J353">
        <v>45454.35</v>
      </c>
      <c r="K353">
        <f>IF(tblPO[[#This Row],[Actual_Delivery_Date]]&lt;=tblPO[[#This Row],[Expected_Delivery_Date]],1,0)</f>
        <v>1</v>
      </c>
      <c r="L353">
        <f>IF(tblPO[[#This Row],[Actual_Delivery_Date]]&gt;tblPO[[#This Row],[Expected_Delivery_Date]],1,0)</f>
        <v>0</v>
      </c>
      <c r="M353">
        <f>tblPO[[#This Row],[Actual_Delivery_Date]]-tblPO[[#This Row],[PO_Date]]</f>
        <v>13</v>
      </c>
    </row>
    <row r="354" spans="1:13" x14ac:dyDescent="0.3">
      <c r="A354" t="s">
        <v>1904</v>
      </c>
      <c r="B354" s="18">
        <v>45366</v>
      </c>
      <c r="C354" t="s">
        <v>67</v>
      </c>
      <c r="D354" t="s">
        <v>81</v>
      </c>
      <c r="E354">
        <v>6</v>
      </c>
      <c r="F354">
        <v>25096.52</v>
      </c>
      <c r="G354" s="18">
        <v>45378</v>
      </c>
      <c r="H354" s="18">
        <v>45376</v>
      </c>
      <c r="I354">
        <v>6</v>
      </c>
      <c r="J354">
        <v>150579.12</v>
      </c>
      <c r="K354">
        <f>IF(tblPO[[#This Row],[Actual_Delivery_Date]]&lt;=tblPO[[#This Row],[Expected_Delivery_Date]],1,0)</f>
        <v>1</v>
      </c>
      <c r="L354">
        <f>IF(tblPO[[#This Row],[Actual_Delivery_Date]]&gt;tblPO[[#This Row],[Expected_Delivery_Date]],1,0)</f>
        <v>0</v>
      </c>
      <c r="M354">
        <f>tblPO[[#This Row],[Actual_Delivery_Date]]-tblPO[[#This Row],[PO_Date]]</f>
        <v>10</v>
      </c>
    </row>
    <row r="355" spans="1:13" x14ac:dyDescent="0.3">
      <c r="A355" t="s">
        <v>1903</v>
      </c>
      <c r="B355" s="18">
        <v>45375</v>
      </c>
      <c r="C355" t="s">
        <v>68</v>
      </c>
      <c r="D355" t="s">
        <v>166</v>
      </c>
      <c r="E355">
        <v>160</v>
      </c>
      <c r="F355">
        <v>62.71</v>
      </c>
      <c r="G355" s="18">
        <v>45378</v>
      </c>
      <c r="H355" s="18">
        <v>45378</v>
      </c>
      <c r="I355">
        <v>160</v>
      </c>
      <c r="J355">
        <v>10033.6</v>
      </c>
      <c r="K355">
        <f>IF(tblPO[[#This Row],[Actual_Delivery_Date]]&lt;=tblPO[[#This Row],[Expected_Delivery_Date]],1,0)</f>
        <v>1</v>
      </c>
      <c r="L355">
        <f>IF(tblPO[[#This Row],[Actual_Delivery_Date]]&gt;tblPO[[#This Row],[Expected_Delivery_Date]],1,0)</f>
        <v>0</v>
      </c>
      <c r="M355">
        <f>tblPO[[#This Row],[Actual_Delivery_Date]]-tblPO[[#This Row],[PO_Date]]</f>
        <v>3</v>
      </c>
    </row>
    <row r="356" spans="1:13" x14ac:dyDescent="0.3">
      <c r="A356" t="s">
        <v>1902</v>
      </c>
      <c r="B356" s="18">
        <v>45380</v>
      </c>
      <c r="C356" t="s">
        <v>41</v>
      </c>
      <c r="D356" t="s">
        <v>205</v>
      </c>
      <c r="E356">
        <v>136</v>
      </c>
      <c r="F356">
        <v>426.74</v>
      </c>
      <c r="G356" s="18">
        <v>45395</v>
      </c>
      <c r="H356" s="18">
        <v>45395</v>
      </c>
      <c r="I356">
        <v>136</v>
      </c>
      <c r="J356">
        <v>58036.639999999999</v>
      </c>
      <c r="K356">
        <f>IF(tblPO[[#This Row],[Actual_Delivery_Date]]&lt;=tblPO[[#This Row],[Expected_Delivery_Date]],1,0)</f>
        <v>1</v>
      </c>
      <c r="L356">
        <f>IF(tblPO[[#This Row],[Actual_Delivery_Date]]&gt;tblPO[[#This Row],[Expected_Delivery_Date]],1,0)</f>
        <v>0</v>
      </c>
      <c r="M356">
        <f>tblPO[[#This Row],[Actual_Delivery_Date]]-tblPO[[#This Row],[PO_Date]]</f>
        <v>15</v>
      </c>
    </row>
    <row r="357" spans="1:13" x14ac:dyDescent="0.3">
      <c r="A357" t="s">
        <v>1901</v>
      </c>
      <c r="B357" s="18">
        <v>45372</v>
      </c>
      <c r="C357" t="s">
        <v>51</v>
      </c>
      <c r="D357" t="s">
        <v>162</v>
      </c>
      <c r="E357">
        <v>641</v>
      </c>
      <c r="F357">
        <v>33.049999999999997</v>
      </c>
      <c r="G357" s="18">
        <v>45382</v>
      </c>
      <c r="H357" s="18">
        <v>45379</v>
      </c>
      <c r="I357">
        <v>641</v>
      </c>
      <c r="J357">
        <v>21185.05</v>
      </c>
      <c r="K357">
        <f>IF(tblPO[[#This Row],[Actual_Delivery_Date]]&lt;=tblPO[[#This Row],[Expected_Delivery_Date]],1,0)</f>
        <v>1</v>
      </c>
      <c r="L357">
        <f>IF(tblPO[[#This Row],[Actual_Delivery_Date]]&gt;tblPO[[#This Row],[Expected_Delivery_Date]],1,0)</f>
        <v>0</v>
      </c>
      <c r="M357">
        <f>tblPO[[#This Row],[Actual_Delivery_Date]]-tblPO[[#This Row],[PO_Date]]</f>
        <v>7</v>
      </c>
    </row>
    <row r="358" spans="1:13" x14ac:dyDescent="0.3">
      <c r="A358" t="s">
        <v>1900</v>
      </c>
      <c r="B358" s="18">
        <v>45360</v>
      </c>
      <c r="C358" t="s">
        <v>45</v>
      </c>
      <c r="D358" t="s">
        <v>249</v>
      </c>
      <c r="E358">
        <v>376</v>
      </c>
      <c r="F358">
        <v>67.28</v>
      </c>
      <c r="G358" s="18">
        <v>45366</v>
      </c>
      <c r="H358" s="18">
        <v>45364</v>
      </c>
      <c r="I358">
        <v>376</v>
      </c>
      <c r="J358">
        <v>25297.279999999999</v>
      </c>
      <c r="K358">
        <f>IF(tblPO[[#This Row],[Actual_Delivery_Date]]&lt;=tblPO[[#This Row],[Expected_Delivery_Date]],1,0)</f>
        <v>1</v>
      </c>
      <c r="L358">
        <f>IF(tblPO[[#This Row],[Actual_Delivery_Date]]&gt;tblPO[[#This Row],[Expected_Delivery_Date]],1,0)</f>
        <v>0</v>
      </c>
      <c r="M358">
        <f>tblPO[[#This Row],[Actual_Delivery_Date]]-tblPO[[#This Row],[PO_Date]]</f>
        <v>4</v>
      </c>
    </row>
    <row r="359" spans="1:13" x14ac:dyDescent="0.3">
      <c r="A359" t="s">
        <v>1899</v>
      </c>
      <c r="B359" s="18">
        <v>45382</v>
      </c>
      <c r="C359" t="s">
        <v>48</v>
      </c>
      <c r="D359" t="s">
        <v>172</v>
      </c>
      <c r="E359">
        <v>610</v>
      </c>
      <c r="F359">
        <v>42.37</v>
      </c>
      <c r="G359" s="18">
        <v>45396</v>
      </c>
      <c r="H359" s="18">
        <v>45396</v>
      </c>
      <c r="I359">
        <v>610</v>
      </c>
      <c r="J359">
        <v>25845.7</v>
      </c>
      <c r="K359">
        <f>IF(tblPO[[#This Row],[Actual_Delivery_Date]]&lt;=tblPO[[#This Row],[Expected_Delivery_Date]],1,0)</f>
        <v>1</v>
      </c>
      <c r="L359">
        <f>IF(tblPO[[#This Row],[Actual_Delivery_Date]]&gt;tblPO[[#This Row],[Expected_Delivery_Date]],1,0)</f>
        <v>0</v>
      </c>
      <c r="M359">
        <f>tblPO[[#This Row],[Actual_Delivery_Date]]-tblPO[[#This Row],[PO_Date]]</f>
        <v>14</v>
      </c>
    </row>
    <row r="360" spans="1:13" x14ac:dyDescent="0.3">
      <c r="A360" t="s">
        <v>1898</v>
      </c>
      <c r="B360" s="18">
        <v>45371</v>
      </c>
      <c r="C360" t="s">
        <v>41</v>
      </c>
      <c r="D360" t="s">
        <v>197</v>
      </c>
      <c r="E360">
        <v>52</v>
      </c>
      <c r="F360">
        <v>266.72000000000003</v>
      </c>
      <c r="G360" s="18">
        <v>45387</v>
      </c>
      <c r="H360" s="18">
        <v>45384</v>
      </c>
      <c r="I360">
        <v>52</v>
      </c>
      <c r="J360">
        <v>13869.44</v>
      </c>
      <c r="K360">
        <f>IF(tblPO[[#This Row],[Actual_Delivery_Date]]&lt;=tblPO[[#This Row],[Expected_Delivery_Date]],1,0)</f>
        <v>1</v>
      </c>
      <c r="L360">
        <f>IF(tblPO[[#This Row],[Actual_Delivery_Date]]&gt;tblPO[[#This Row],[Expected_Delivery_Date]],1,0)</f>
        <v>0</v>
      </c>
      <c r="M360">
        <f>tblPO[[#This Row],[Actual_Delivery_Date]]-tblPO[[#This Row],[PO_Date]]</f>
        <v>13</v>
      </c>
    </row>
    <row r="361" spans="1:13" x14ac:dyDescent="0.3">
      <c r="A361" t="s">
        <v>1897</v>
      </c>
      <c r="B361" s="18">
        <v>45375</v>
      </c>
      <c r="C361" t="s">
        <v>43</v>
      </c>
      <c r="D361" t="s">
        <v>170</v>
      </c>
      <c r="E361">
        <v>617</v>
      </c>
      <c r="F361">
        <v>69.69</v>
      </c>
      <c r="G361" s="18">
        <v>45386</v>
      </c>
      <c r="H361" s="18">
        <v>45385</v>
      </c>
      <c r="I361">
        <v>617</v>
      </c>
      <c r="J361">
        <v>42998.73</v>
      </c>
      <c r="K361">
        <f>IF(tblPO[[#This Row],[Actual_Delivery_Date]]&lt;=tblPO[[#This Row],[Expected_Delivery_Date]],1,0)</f>
        <v>1</v>
      </c>
      <c r="L361">
        <f>IF(tblPO[[#This Row],[Actual_Delivery_Date]]&gt;tblPO[[#This Row],[Expected_Delivery_Date]],1,0)</f>
        <v>0</v>
      </c>
      <c r="M361">
        <f>tblPO[[#This Row],[Actual_Delivery_Date]]-tblPO[[#This Row],[PO_Date]]</f>
        <v>10</v>
      </c>
    </row>
    <row r="362" spans="1:13" x14ac:dyDescent="0.3">
      <c r="A362" t="s">
        <v>1896</v>
      </c>
      <c r="B362" s="18">
        <v>45378</v>
      </c>
      <c r="C362" t="s">
        <v>57</v>
      </c>
      <c r="D362" t="s">
        <v>209</v>
      </c>
      <c r="E362">
        <v>612</v>
      </c>
      <c r="F362">
        <v>17.61</v>
      </c>
      <c r="G362" s="18">
        <v>45405</v>
      </c>
      <c r="H362" s="18">
        <v>45404</v>
      </c>
      <c r="I362">
        <v>544</v>
      </c>
      <c r="J362">
        <v>10777.32</v>
      </c>
      <c r="K362">
        <f>IF(tblPO[[#This Row],[Actual_Delivery_Date]]&lt;=tblPO[[#This Row],[Expected_Delivery_Date]],1,0)</f>
        <v>1</v>
      </c>
      <c r="L362">
        <f>IF(tblPO[[#This Row],[Actual_Delivery_Date]]&gt;tblPO[[#This Row],[Expected_Delivery_Date]],1,0)</f>
        <v>0</v>
      </c>
      <c r="M362">
        <f>tblPO[[#This Row],[Actual_Delivery_Date]]-tblPO[[#This Row],[PO_Date]]</f>
        <v>26</v>
      </c>
    </row>
    <row r="363" spans="1:13" x14ac:dyDescent="0.3">
      <c r="A363" t="s">
        <v>1895</v>
      </c>
      <c r="B363" s="18">
        <v>45367</v>
      </c>
      <c r="C363" t="s">
        <v>43</v>
      </c>
      <c r="D363" t="s">
        <v>149</v>
      </c>
      <c r="E363">
        <v>664</v>
      </c>
      <c r="F363">
        <v>65.64</v>
      </c>
      <c r="G363" s="18">
        <v>45376</v>
      </c>
      <c r="H363" s="18">
        <v>45374</v>
      </c>
      <c r="I363">
        <v>664</v>
      </c>
      <c r="J363">
        <v>43584.959999999999</v>
      </c>
      <c r="K363">
        <f>IF(tblPO[[#This Row],[Actual_Delivery_Date]]&lt;=tblPO[[#This Row],[Expected_Delivery_Date]],1,0)</f>
        <v>1</v>
      </c>
      <c r="L363">
        <f>IF(tblPO[[#This Row],[Actual_Delivery_Date]]&gt;tblPO[[#This Row],[Expected_Delivery_Date]],1,0)</f>
        <v>0</v>
      </c>
      <c r="M363">
        <f>tblPO[[#This Row],[Actual_Delivery_Date]]-tblPO[[#This Row],[PO_Date]]</f>
        <v>7</v>
      </c>
    </row>
    <row r="364" spans="1:13" x14ac:dyDescent="0.3">
      <c r="A364" t="s">
        <v>1894</v>
      </c>
      <c r="B364" s="18">
        <v>45379</v>
      </c>
      <c r="C364" t="s">
        <v>39</v>
      </c>
      <c r="D364" t="s">
        <v>168</v>
      </c>
      <c r="E364">
        <v>534</v>
      </c>
      <c r="F364">
        <v>79.63</v>
      </c>
      <c r="G364" s="18">
        <v>45394</v>
      </c>
      <c r="H364" s="18">
        <v>45394</v>
      </c>
      <c r="I364">
        <v>534</v>
      </c>
      <c r="J364">
        <v>42522.42</v>
      </c>
      <c r="K364">
        <f>IF(tblPO[[#This Row],[Actual_Delivery_Date]]&lt;=tblPO[[#This Row],[Expected_Delivery_Date]],1,0)</f>
        <v>1</v>
      </c>
      <c r="L364">
        <f>IF(tblPO[[#This Row],[Actual_Delivery_Date]]&gt;tblPO[[#This Row],[Expected_Delivery_Date]],1,0)</f>
        <v>0</v>
      </c>
      <c r="M364">
        <f>tblPO[[#This Row],[Actual_Delivery_Date]]-tblPO[[#This Row],[PO_Date]]</f>
        <v>15</v>
      </c>
    </row>
    <row r="365" spans="1:13" x14ac:dyDescent="0.3">
      <c r="A365" t="s">
        <v>1893</v>
      </c>
      <c r="B365" s="18">
        <v>45364</v>
      </c>
      <c r="C365" t="s">
        <v>47</v>
      </c>
      <c r="D365" t="s">
        <v>235</v>
      </c>
      <c r="E365">
        <v>607</v>
      </c>
      <c r="F365">
        <v>58.81</v>
      </c>
      <c r="G365" s="18">
        <v>45372</v>
      </c>
      <c r="H365" s="18">
        <v>45372</v>
      </c>
      <c r="I365">
        <v>607</v>
      </c>
      <c r="J365">
        <v>35697.67</v>
      </c>
      <c r="K365">
        <f>IF(tblPO[[#This Row],[Actual_Delivery_Date]]&lt;=tblPO[[#This Row],[Expected_Delivery_Date]],1,0)</f>
        <v>1</v>
      </c>
      <c r="L365">
        <f>IF(tblPO[[#This Row],[Actual_Delivery_Date]]&gt;tblPO[[#This Row],[Expected_Delivery_Date]],1,0)</f>
        <v>0</v>
      </c>
      <c r="M365">
        <f>tblPO[[#This Row],[Actual_Delivery_Date]]-tblPO[[#This Row],[PO_Date]]</f>
        <v>8</v>
      </c>
    </row>
    <row r="366" spans="1:13" x14ac:dyDescent="0.3">
      <c r="A366" t="s">
        <v>1892</v>
      </c>
      <c r="B366" s="18">
        <v>45366</v>
      </c>
      <c r="C366" t="s">
        <v>48</v>
      </c>
      <c r="D366" t="s">
        <v>162</v>
      </c>
      <c r="E366">
        <v>500</v>
      </c>
      <c r="F366">
        <v>47.6</v>
      </c>
      <c r="G366" s="18">
        <v>45386</v>
      </c>
      <c r="H366" s="18">
        <v>45385</v>
      </c>
      <c r="I366">
        <v>500</v>
      </c>
      <c r="J366">
        <v>23800</v>
      </c>
      <c r="K366">
        <f>IF(tblPO[[#This Row],[Actual_Delivery_Date]]&lt;=tblPO[[#This Row],[Expected_Delivery_Date]],1,0)</f>
        <v>1</v>
      </c>
      <c r="L366">
        <f>IF(tblPO[[#This Row],[Actual_Delivery_Date]]&gt;tblPO[[#This Row],[Expected_Delivery_Date]],1,0)</f>
        <v>0</v>
      </c>
      <c r="M366">
        <f>tblPO[[#This Row],[Actual_Delivery_Date]]-tblPO[[#This Row],[PO_Date]]</f>
        <v>19</v>
      </c>
    </row>
    <row r="367" spans="1:13" x14ac:dyDescent="0.3">
      <c r="A367" t="s">
        <v>1891</v>
      </c>
      <c r="B367" s="18">
        <v>45355</v>
      </c>
      <c r="C367" t="s">
        <v>47</v>
      </c>
      <c r="D367" t="s">
        <v>243</v>
      </c>
      <c r="E367">
        <v>180</v>
      </c>
      <c r="F367">
        <v>146.91</v>
      </c>
      <c r="G367" s="18">
        <v>45360</v>
      </c>
      <c r="H367" s="18">
        <v>45360</v>
      </c>
      <c r="I367">
        <v>180</v>
      </c>
      <c r="J367">
        <v>26443.8</v>
      </c>
      <c r="K367">
        <f>IF(tblPO[[#This Row],[Actual_Delivery_Date]]&lt;=tblPO[[#This Row],[Expected_Delivery_Date]],1,0)</f>
        <v>1</v>
      </c>
      <c r="L367">
        <f>IF(tblPO[[#This Row],[Actual_Delivery_Date]]&gt;tblPO[[#This Row],[Expected_Delivery_Date]],1,0)</f>
        <v>0</v>
      </c>
      <c r="M367">
        <f>tblPO[[#This Row],[Actual_Delivery_Date]]-tblPO[[#This Row],[PO_Date]]</f>
        <v>5</v>
      </c>
    </row>
    <row r="368" spans="1:13" x14ac:dyDescent="0.3">
      <c r="A368" t="s">
        <v>1890</v>
      </c>
      <c r="B368" s="18">
        <v>45378</v>
      </c>
      <c r="C368" t="s">
        <v>51</v>
      </c>
      <c r="D368" t="s">
        <v>158</v>
      </c>
      <c r="E368">
        <v>25</v>
      </c>
      <c r="F368">
        <v>91.46</v>
      </c>
      <c r="G368" s="18">
        <v>45393</v>
      </c>
      <c r="H368" s="18">
        <v>45397</v>
      </c>
      <c r="I368">
        <v>25</v>
      </c>
      <c r="J368">
        <v>2286.5</v>
      </c>
      <c r="K368">
        <f>IF(tblPO[[#This Row],[Actual_Delivery_Date]]&lt;=tblPO[[#This Row],[Expected_Delivery_Date]],1,0)</f>
        <v>0</v>
      </c>
      <c r="L368">
        <f>IF(tblPO[[#This Row],[Actual_Delivery_Date]]&gt;tblPO[[#This Row],[Expected_Delivery_Date]],1,0)</f>
        <v>1</v>
      </c>
      <c r="M368">
        <f>tblPO[[#This Row],[Actual_Delivery_Date]]-tblPO[[#This Row],[PO_Date]]</f>
        <v>19</v>
      </c>
    </row>
    <row r="369" spans="1:13" x14ac:dyDescent="0.3">
      <c r="A369" t="s">
        <v>1889</v>
      </c>
      <c r="B369" s="18">
        <v>45367</v>
      </c>
      <c r="C369" t="s">
        <v>47</v>
      </c>
      <c r="D369" t="s">
        <v>221</v>
      </c>
      <c r="E369">
        <v>9</v>
      </c>
      <c r="F369">
        <v>1569.07</v>
      </c>
      <c r="G369" s="18">
        <v>45379</v>
      </c>
      <c r="H369" s="18">
        <v>45376</v>
      </c>
      <c r="I369">
        <v>9</v>
      </c>
      <c r="J369">
        <v>14121.63</v>
      </c>
      <c r="K369">
        <f>IF(tblPO[[#This Row],[Actual_Delivery_Date]]&lt;=tblPO[[#This Row],[Expected_Delivery_Date]],1,0)</f>
        <v>1</v>
      </c>
      <c r="L369">
        <f>IF(tblPO[[#This Row],[Actual_Delivery_Date]]&gt;tblPO[[#This Row],[Expected_Delivery_Date]],1,0)</f>
        <v>0</v>
      </c>
      <c r="M369">
        <f>tblPO[[#This Row],[Actual_Delivery_Date]]-tblPO[[#This Row],[PO_Date]]</f>
        <v>9</v>
      </c>
    </row>
    <row r="370" spans="1:13" x14ac:dyDescent="0.3">
      <c r="A370" t="s">
        <v>1888</v>
      </c>
      <c r="B370" s="18">
        <v>45371</v>
      </c>
      <c r="C370" t="s">
        <v>66</v>
      </c>
      <c r="D370" t="s">
        <v>219</v>
      </c>
      <c r="E370">
        <v>743</v>
      </c>
      <c r="F370">
        <v>82.69</v>
      </c>
      <c r="G370" s="18">
        <v>45378</v>
      </c>
      <c r="H370" s="18">
        <v>45378</v>
      </c>
      <c r="I370">
        <v>743</v>
      </c>
      <c r="J370">
        <v>61438.67</v>
      </c>
      <c r="K370">
        <f>IF(tblPO[[#This Row],[Actual_Delivery_Date]]&lt;=tblPO[[#This Row],[Expected_Delivery_Date]],1,0)</f>
        <v>1</v>
      </c>
      <c r="L370">
        <f>IF(tblPO[[#This Row],[Actual_Delivery_Date]]&gt;tblPO[[#This Row],[Expected_Delivery_Date]],1,0)</f>
        <v>0</v>
      </c>
      <c r="M370">
        <f>tblPO[[#This Row],[Actual_Delivery_Date]]-tblPO[[#This Row],[PO_Date]]</f>
        <v>7</v>
      </c>
    </row>
    <row r="371" spans="1:13" x14ac:dyDescent="0.3">
      <c r="A371" t="s">
        <v>1887</v>
      </c>
      <c r="B371" s="18">
        <v>45356</v>
      </c>
      <c r="C371" t="s">
        <v>45</v>
      </c>
      <c r="D371" t="s">
        <v>241</v>
      </c>
      <c r="E371">
        <v>8</v>
      </c>
      <c r="F371">
        <v>3154.83</v>
      </c>
      <c r="G371" s="18">
        <v>45360</v>
      </c>
      <c r="H371" s="18">
        <v>45360</v>
      </c>
      <c r="I371">
        <v>8</v>
      </c>
      <c r="J371">
        <v>25238.639999999999</v>
      </c>
      <c r="K371">
        <f>IF(tblPO[[#This Row],[Actual_Delivery_Date]]&lt;=tblPO[[#This Row],[Expected_Delivery_Date]],1,0)</f>
        <v>1</v>
      </c>
      <c r="L371">
        <f>IF(tblPO[[#This Row],[Actual_Delivery_Date]]&gt;tblPO[[#This Row],[Expected_Delivery_Date]],1,0)</f>
        <v>0</v>
      </c>
      <c r="M371">
        <f>tblPO[[#This Row],[Actual_Delivery_Date]]-tblPO[[#This Row],[PO_Date]]</f>
        <v>4</v>
      </c>
    </row>
    <row r="372" spans="1:13" x14ac:dyDescent="0.3">
      <c r="A372" t="s">
        <v>1886</v>
      </c>
      <c r="B372" s="18">
        <v>45362</v>
      </c>
      <c r="C372" t="s">
        <v>52</v>
      </c>
      <c r="D372" t="s">
        <v>243</v>
      </c>
      <c r="E372">
        <v>76</v>
      </c>
      <c r="F372">
        <v>179.27</v>
      </c>
      <c r="G372" s="18">
        <v>45367</v>
      </c>
      <c r="H372" s="18">
        <v>45367</v>
      </c>
      <c r="I372">
        <v>76</v>
      </c>
      <c r="J372">
        <v>13624.52</v>
      </c>
      <c r="K372">
        <f>IF(tblPO[[#This Row],[Actual_Delivery_Date]]&lt;=tblPO[[#This Row],[Expected_Delivery_Date]],1,0)</f>
        <v>1</v>
      </c>
      <c r="L372">
        <f>IF(tblPO[[#This Row],[Actual_Delivery_Date]]&gt;tblPO[[#This Row],[Expected_Delivery_Date]],1,0)</f>
        <v>0</v>
      </c>
      <c r="M372">
        <f>tblPO[[#This Row],[Actual_Delivery_Date]]-tblPO[[#This Row],[PO_Date]]</f>
        <v>5</v>
      </c>
    </row>
    <row r="373" spans="1:13" x14ac:dyDescent="0.3">
      <c r="A373" t="s">
        <v>1885</v>
      </c>
      <c r="B373" s="18">
        <v>45381</v>
      </c>
      <c r="C373" t="s">
        <v>44</v>
      </c>
      <c r="D373" t="s">
        <v>181</v>
      </c>
      <c r="E373">
        <v>1038</v>
      </c>
      <c r="F373">
        <v>3.62</v>
      </c>
      <c r="G373" s="18">
        <v>45393</v>
      </c>
      <c r="H373" s="18">
        <v>45398</v>
      </c>
      <c r="I373">
        <v>1038</v>
      </c>
      <c r="J373">
        <v>3757.56</v>
      </c>
      <c r="K373">
        <f>IF(tblPO[[#This Row],[Actual_Delivery_Date]]&lt;=tblPO[[#This Row],[Expected_Delivery_Date]],1,0)</f>
        <v>0</v>
      </c>
      <c r="L373">
        <f>IF(tblPO[[#This Row],[Actual_Delivery_Date]]&gt;tblPO[[#This Row],[Expected_Delivery_Date]],1,0)</f>
        <v>1</v>
      </c>
      <c r="M373">
        <f>tblPO[[#This Row],[Actual_Delivery_Date]]-tblPO[[#This Row],[PO_Date]]</f>
        <v>17</v>
      </c>
    </row>
    <row r="374" spans="1:13" x14ac:dyDescent="0.3">
      <c r="A374" t="s">
        <v>1884</v>
      </c>
      <c r="B374" s="18">
        <v>45356</v>
      </c>
      <c r="C374" t="s">
        <v>41</v>
      </c>
      <c r="D374" t="s">
        <v>183</v>
      </c>
      <c r="E374">
        <v>474</v>
      </c>
      <c r="F374">
        <v>10.97</v>
      </c>
      <c r="G374" s="18">
        <v>45363</v>
      </c>
      <c r="H374" s="18">
        <v>45360</v>
      </c>
      <c r="I374">
        <v>474</v>
      </c>
      <c r="J374">
        <v>5199.78</v>
      </c>
      <c r="K374">
        <f>IF(tblPO[[#This Row],[Actual_Delivery_Date]]&lt;=tblPO[[#This Row],[Expected_Delivery_Date]],1,0)</f>
        <v>1</v>
      </c>
      <c r="L374">
        <f>IF(tblPO[[#This Row],[Actual_Delivery_Date]]&gt;tblPO[[#This Row],[Expected_Delivery_Date]],1,0)</f>
        <v>0</v>
      </c>
      <c r="M374">
        <f>tblPO[[#This Row],[Actual_Delivery_Date]]-tblPO[[#This Row],[PO_Date]]</f>
        <v>4</v>
      </c>
    </row>
    <row r="375" spans="1:13" x14ac:dyDescent="0.3">
      <c r="A375" t="s">
        <v>1883</v>
      </c>
      <c r="B375" s="18">
        <v>45379</v>
      </c>
      <c r="C375" t="s">
        <v>51</v>
      </c>
      <c r="D375" t="s">
        <v>158</v>
      </c>
      <c r="E375">
        <v>83</v>
      </c>
      <c r="F375">
        <v>95.59</v>
      </c>
      <c r="G375" s="18">
        <v>45393</v>
      </c>
      <c r="H375" s="18">
        <v>45396</v>
      </c>
      <c r="I375">
        <v>83</v>
      </c>
      <c r="J375">
        <v>7933.97</v>
      </c>
      <c r="K375">
        <f>IF(tblPO[[#This Row],[Actual_Delivery_Date]]&lt;=tblPO[[#This Row],[Expected_Delivery_Date]],1,0)</f>
        <v>0</v>
      </c>
      <c r="L375">
        <f>IF(tblPO[[#This Row],[Actual_Delivery_Date]]&gt;tblPO[[#This Row],[Expected_Delivery_Date]],1,0)</f>
        <v>1</v>
      </c>
      <c r="M375">
        <f>tblPO[[#This Row],[Actual_Delivery_Date]]-tblPO[[#This Row],[PO_Date]]</f>
        <v>17</v>
      </c>
    </row>
    <row r="376" spans="1:13" x14ac:dyDescent="0.3">
      <c r="A376" t="s">
        <v>1882</v>
      </c>
      <c r="B376" s="18">
        <v>45353</v>
      </c>
      <c r="C376" t="s">
        <v>57</v>
      </c>
      <c r="D376" t="s">
        <v>195</v>
      </c>
      <c r="E376">
        <v>131</v>
      </c>
      <c r="F376">
        <v>627.6</v>
      </c>
      <c r="G376" s="18">
        <v>45370</v>
      </c>
      <c r="H376" s="18">
        <v>45368</v>
      </c>
      <c r="I376">
        <v>131</v>
      </c>
      <c r="J376">
        <v>82215.600000000006</v>
      </c>
      <c r="K376">
        <f>IF(tblPO[[#This Row],[Actual_Delivery_Date]]&lt;=tblPO[[#This Row],[Expected_Delivery_Date]],1,0)</f>
        <v>1</v>
      </c>
      <c r="L376">
        <f>IF(tblPO[[#This Row],[Actual_Delivery_Date]]&gt;tblPO[[#This Row],[Expected_Delivery_Date]],1,0)</f>
        <v>0</v>
      </c>
      <c r="M376">
        <f>tblPO[[#This Row],[Actual_Delivery_Date]]-tblPO[[#This Row],[PO_Date]]</f>
        <v>15</v>
      </c>
    </row>
    <row r="377" spans="1:13" x14ac:dyDescent="0.3">
      <c r="A377" t="s">
        <v>1881</v>
      </c>
      <c r="B377" s="18">
        <v>45374</v>
      </c>
      <c r="C377" t="s">
        <v>55</v>
      </c>
      <c r="D377" t="s">
        <v>227</v>
      </c>
      <c r="E377">
        <v>12</v>
      </c>
      <c r="F377">
        <v>1348.34</v>
      </c>
      <c r="G377" s="18">
        <v>45393</v>
      </c>
      <c r="H377" s="18">
        <v>45393</v>
      </c>
      <c r="I377">
        <v>12</v>
      </c>
      <c r="J377">
        <v>16180.08</v>
      </c>
      <c r="K377">
        <f>IF(tblPO[[#This Row],[Actual_Delivery_Date]]&lt;=tblPO[[#This Row],[Expected_Delivery_Date]],1,0)</f>
        <v>1</v>
      </c>
      <c r="L377">
        <f>IF(tblPO[[#This Row],[Actual_Delivery_Date]]&gt;tblPO[[#This Row],[Expected_Delivery_Date]],1,0)</f>
        <v>0</v>
      </c>
      <c r="M377">
        <f>tblPO[[#This Row],[Actual_Delivery_Date]]-tblPO[[#This Row],[PO_Date]]</f>
        <v>19</v>
      </c>
    </row>
    <row r="378" spans="1:13" x14ac:dyDescent="0.3">
      <c r="A378" t="s">
        <v>1880</v>
      </c>
      <c r="B378" s="18">
        <v>45378</v>
      </c>
      <c r="C378" t="s">
        <v>44</v>
      </c>
      <c r="D378" t="s">
        <v>179</v>
      </c>
      <c r="E378">
        <v>395</v>
      </c>
      <c r="F378">
        <v>17.86</v>
      </c>
      <c r="G378" s="18">
        <v>45399</v>
      </c>
      <c r="H378" s="18">
        <v>45399</v>
      </c>
      <c r="I378">
        <v>395</v>
      </c>
      <c r="J378">
        <v>7054.7</v>
      </c>
      <c r="K378">
        <f>IF(tblPO[[#This Row],[Actual_Delivery_Date]]&lt;=tblPO[[#This Row],[Expected_Delivery_Date]],1,0)</f>
        <v>1</v>
      </c>
      <c r="L378">
        <f>IF(tblPO[[#This Row],[Actual_Delivery_Date]]&gt;tblPO[[#This Row],[Expected_Delivery_Date]],1,0)</f>
        <v>0</v>
      </c>
      <c r="M378">
        <f>tblPO[[#This Row],[Actual_Delivery_Date]]-tblPO[[#This Row],[PO_Date]]</f>
        <v>21</v>
      </c>
    </row>
    <row r="379" spans="1:13" x14ac:dyDescent="0.3">
      <c r="A379" t="s">
        <v>1879</v>
      </c>
      <c r="B379" s="18">
        <v>45356</v>
      </c>
      <c r="C379" t="s">
        <v>46</v>
      </c>
      <c r="D379" t="s">
        <v>90</v>
      </c>
      <c r="E379">
        <v>4</v>
      </c>
      <c r="F379">
        <v>33875.01</v>
      </c>
      <c r="G379" s="18">
        <v>45377</v>
      </c>
      <c r="H379" s="18">
        <v>45381</v>
      </c>
      <c r="I379">
        <v>4</v>
      </c>
      <c r="J379">
        <v>135500.04</v>
      </c>
      <c r="K379">
        <f>IF(tblPO[[#This Row],[Actual_Delivery_Date]]&lt;=tblPO[[#This Row],[Expected_Delivery_Date]],1,0)</f>
        <v>0</v>
      </c>
      <c r="L379">
        <f>IF(tblPO[[#This Row],[Actual_Delivery_Date]]&gt;tblPO[[#This Row],[Expected_Delivery_Date]],1,0)</f>
        <v>1</v>
      </c>
      <c r="M379">
        <f>tblPO[[#This Row],[Actual_Delivery_Date]]-tblPO[[#This Row],[PO_Date]]</f>
        <v>25</v>
      </c>
    </row>
    <row r="380" spans="1:13" x14ac:dyDescent="0.3">
      <c r="A380" t="s">
        <v>1878</v>
      </c>
      <c r="B380" s="18">
        <v>45371</v>
      </c>
      <c r="C380" t="s">
        <v>49</v>
      </c>
      <c r="D380" t="s">
        <v>199</v>
      </c>
      <c r="E380">
        <v>116</v>
      </c>
      <c r="F380">
        <v>276.41000000000003</v>
      </c>
      <c r="G380" s="18">
        <v>45376</v>
      </c>
      <c r="H380" s="18">
        <v>45374</v>
      </c>
      <c r="I380">
        <v>116</v>
      </c>
      <c r="J380">
        <v>32063.56</v>
      </c>
      <c r="K380">
        <f>IF(tblPO[[#This Row],[Actual_Delivery_Date]]&lt;=tblPO[[#This Row],[Expected_Delivery_Date]],1,0)</f>
        <v>1</v>
      </c>
      <c r="L380">
        <f>IF(tblPO[[#This Row],[Actual_Delivery_Date]]&gt;tblPO[[#This Row],[Expected_Delivery_Date]],1,0)</f>
        <v>0</v>
      </c>
      <c r="M380">
        <f>tblPO[[#This Row],[Actual_Delivery_Date]]-tblPO[[#This Row],[PO_Date]]</f>
        <v>3</v>
      </c>
    </row>
    <row r="381" spans="1:13" x14ac:dyDescent="0.3">
      <c r="A381" t="s">
        <v>1877</v>
      </c>
      <c r="B381" s="18">
        <v>45379</v>
      </c>
      <c r="C381" t="s">
        <v>41</v>
      </c>
      <c r="D381" t="s">
        <v>197</v>
      </c>
      <c r="E381">
        <v>142</v>
      </c>
      <c r="F381">
        <v>262.57</v>
      </c>
      <c r="G381" s="18">
        <v>45393</v>
      </c>
      <c r="H381" s="18">
        <v>45391</v>
      </c>
      <c r="I381">
        <v>136</v>
      </c>
      <c r="J381">
        <v>37284.94</v>
      </c>
      <c r="K381">
        <f>IF(tblPO[[#This Row],[Actual_Delivery_Date]]&lt;=tblPO[[#This Row],[Expected_Delivery_Date]],1,0)</f>
        <v>1</v>
      </c>
      <c r="L381">
        <f>IF(tblPO[[#This Row],[Actual_Delivery_Date]]&gt;tblPO[[#This Row],[Expected_Delivery_Date]],1,0)</f>
        <v>0</v>
      </c>
      <c r="M381">
        <f>tblPO[[#This Row],[Actual_Delivery_Date]]-tblPO[[#This Row],[PO_Date]]</f>
        <v>12</v>
      </c>
    </row>
    <row r="382" spans="1:13" x14ac:dyDescent="0.3">
      <c r="A382" t="s">
        <v>1876</v>
      </c>
      <c r="B382" s="18">
        <v>45380</v>
      </c>
      <c r="C382" t="s">
        <v>50</v>
      </c>
      <c r="D382" t="s">
        <v>130</v>
      </c>
      <c r="E382">
        <v>144</v>
      </c>
      <c r="F382">
        <v>376.3</v>
      </c>
      <c r="G382" s="18">
        <v>45383</v>
      </c>
      <c r="H382" s="18">
        <v>45381</v>
      </c>
      <c r="I382">
        <v>144</v>
      </c>
      <c r="J382">
        <v>54187.199999999997</v>
      </c>
      <c r="K382">
        <f>IF(tblPO[[#This Row],[Actual_Delivery_Date]]&lt;=tblPO[[#This Row],[Expected_Delivery_Date]],1,0)</f>
        <v>1</v>
      </c>
      <c r="L382">
        <f>IF(tblPO[[#This Row],[Actual_Delivery_Date]]&gt;tblPO[[#This Row],[Expected_Delivery_Date]],1,0)</f>
        <v>0</v>
      </c>
      <c r="M382">
        <f>tblPO[[#This Row],[Actual_Delivery_Date]]-tblPO[[#This Row],[PO_Date]]</f>
        <v>1</v>
      </c>
    </row>
    <row r="383" spans="1:13" x14ac:dyDescent="0.3">
      <c r="A383" t="s">
        <v>1875</v>
      </c>
      <c r="B383" s="18">
        <v>45381</v>
      </c>
      <c r="C383" t="s">
        <v>52</v>
      </c>
      <c r="D383" t="s">
        <v>237</v>
      </c>
      <c r="E383">
        <v>101</v>
      </c>
      <c r="F383">
        <v>82.17</v>
      </c>
      <c r="G383" s="18">
        <v>45395</v>
      </c>
      <c r="H383" s="18">
        <v>45394</v>
      </c>
      <c r="I383">
        <v>101</v>
      </c>
      <c r="J383">
        <v>8299.17</v>
      </c>
      <c r="K383">
        <f>IF(tblPO[[#This Row],[Actual_Delivery_Date]]&lt;=tblPO[[#This Row],[Expected_Delivery_Date]],1,0)</f>
        <v>1</v>
      </c>
      <c r="L383">
        <f>IF(tblPO[[#This Row],[Actual_Delivery_Date]]&gt;tblPO[[#This Row],[Expected_Delivery_Date]],1,0)</f>
        <v>0</v>
      </c>
      <c r="M383">
        <f>tblPO[[#This Row],[Actual_Delivery_Date]]-tblPO[[#This Row],[PO_Date]]</f>
        <v>13</v>
      </c>
    </row>
    <row r="384" spans="1:13" x14ac:dyDescent="0.3">
      <c r="A384" t="s">
        <v>1874</v>
      </c>
      <c r="B384" s="18">
        <v>45381</v>
      </c>
      <c r="C384" t="s">
        <v>55</v>
      </c>
      <c r="D384" t="s">
        <v>223</v>
      </c>
      <c r="E384">
        <v>172</v>
      </c>
      <c r="F384">
        <v>184.88</v>
      </c>
      <c r="G384" s="18">
        <v>45396</v>
      </c>
      <c r="H384" s="18">
        <v>45394</v>
      </c>
      <c r="I384">
        <v>172</v>
      </c>
      <c r="J384">
        <v>31799.360000000001</v>
      </c>
      <c r="K384">
        <f>IF(tblPO[[#This Row],[Actual_Delivery_Date]]&lt;=tblPO[[#This Row],[Expected_Delivery_Date]],1,0)</f>
        <v>1</v>
      </c>
      <c r="L384">
        <f>IF(tblPO[[#This Row],[Actual_Delivery_Date]]&gt;tblPO[[#This Row],[Expected_Delivery_Date]],1,0)</f>
        <v>0</v>
      </c>
      <c r="M384">
        <f>tblPO[[#This Row],[Actual_Delivery_Date]]-tblPO[[#This Row],[PO_Date]]</f>
        <v>13</v>
      </c>
    </row>
    <row r="385" spans="1:13" x14ac:dyDescent="0.3">
      <c r="A385" t="s">
        <v>1873</v>
      </c>
      <c r="B385" s="18">
        <v>45370</v>
      </c>
      <c r="C385" t="s">
        <v>38</v>
      </c>
      <c r="D385" t="s">
        <v>212</v>
      </c>
      <c r="E385">
        <v>131</v>
      </c>
      <c r="F385">
        <v>318.62</v>
      </c>
      <c r="G385" s="18">
        <v>45384</v>
      </c>
      <c r="H385" s="18">
        <v>45383</v>
      </c>
      <c r="I385">
        <v>131</v>
      </c>
      <c r="J385">
        <v>41739.22</v>
      </c>
      <c r="K385">
        <f>IF(tblPO[[#This Row],[Actual_Delivery_Date]]&lt;=tblPO[[#This Row],[Expected_Delivery_Date]],1,0)</f>
        <v>1</v>
      </c>
      <c r="L385">
        <f>IF(tblPO[[#This Row],[Actual_Delivery_Date]]&gt;tblPO[[#This Row],[Expected_Delivery_Date]],1,0)</f>
        <v>0</v>
      </c>
      <c r="M385">
        <f>tblPO[[#This Row],[Actual_Delivery_Date]]-tblPO[[#This Row],[PO_Date]]</f>
        <v>13</v>
      </c>
    </row>
    <row r="386" spans="1:13" x14ac:dyDescent="0.3">
      <c r="A386" t="s">
        <v>1872</v>
      </c>
      <c r="B386" s="18">
        <v>45364</v>
      </c>
      <c r="C386" t="s">
        <v>71</v>
      </c>
      <c r="D386" t="s">
        <v>154</v>
      </c>
      <c r="E386">
        <v>78</v>
      </c>
      <c r="F386">
        <v>60.51</v>
      </c>
      <c r="G386" s="18">
        <v>45368</v>
      </c>
      <c r="H386" s="18">
        <v>45366</v>
      </c>
      <c r="I386">
        <v>78</v>
      </c>
      <c r="J386">
        <v>4719.78</v>
      </c>
      <c r="K386">
        <f>IF(tblPO[[#This Row],[Actual_Delivery_Date]]&lt;=tblPO[[#This Row],[Expected_Delivery_Date]],1,0)</f>
        <v>1</v>
      </c>
      <c r="L386">
        <f>IF(tblPO[[#This Row],[Actual_Delivery_Date]]&gt;tblPO[[#This Row],[Expected_Delivery_Date]],1,0)</f>
        <v>0</v>
      </c>
      <c r="M386">
        <f>tblPO[[#This Row],[Actual_Delivery_Date]]-tblPO[[#This Row],[PO_Date]]</f>
        <v>2</v>
      </c>
    </row>
    <row r="387" spans="1:13" x14ac:dyDescent="0.3">
      <c r="A387" t="s">
        <v>1871</v>
      </c>
      <c r="B387" s="18">
        <v>45372</v>
      </c>
      <c r="C387" t="s">
        <v>45</v>
      </c>
      <c r="D387" t="s">
        <v>237</v>
      </c>
      <c r="E387">
        <v>325</v>
      </c>
      <c r="F387">
        <v>84.79</v>
      </c>
      <c r="G387" s="18">
        <v>45388</v>
      </c>
      <c r="H387" s="18">
        <v>45385</v>
      </c>
      <c r="I387">
        <v>325</v>
      </c>
      <c r="J387">
        <v>27556.75</v>
      </c>
      <c r="K387">
        <f>IF(tblPO[[#This Row],[Actual_Delivery_Date]]&lt;=tblPO[[#This Row],[Expected_Delivery_Date]],1,0)</f>
        <v>1</v>
      </c>
      <c r="L387">
        <f>IF(tblPO[[#This Row],[Actual_Delivery_Date]]&gt;tblPO[[#This Row],[Expected_Delivery_Date]],1,0)</f>
        <v>0</v>
      </c>
      <c r="M387">
        <f>tblPO[[#This Row],[Actual_Delivery_Date]]-tblPO[[#This Row],[PO_Date]]</f>
        <v>13</v>
      </c>
    </row>
    <row r="388" spans="1:13" x14ac:dyDescent="0.3">
      <c r="A388" t="s">
        <v>1870</v>
      </c>
      <c r="B388" s="18">
        <v>45377</v>
      </c>
      <c r="C388" t="s">
        <v>43</v>
      </c>
      <c r="D388" t="s">
        <v>172</v>
      </c>
      <c r="E388">
        <v>665</v>
      </c>
      <c r="F388">
        <v>29.14</v>
      </c>
      <c r="G388" s="18">
        <v>45380</v>
      </c>
      <c r="H388" s="18">
        <v>45379</v>
      </c>
      <c r="I388">
        <v>665</v>
      </c>
      <c r="J388">
        <v>19378.099999999999</v>
      </c>
      <c r="K388">
        <f>IF(tblPO[[#This Row],[Actual_Delivery_Date]]&lt;=tblPO[[#This Row],[Expected_Delivery_Date]],1,0)</f>
        <v>1</v>
      </c>
      <c r="L388">
        <f>IF(tblPO[[#This Row],[Actual_Delivery_Date]]&gt;tblPO[[#This Row],[Expected_Delivery_Date]],1,0)</f>
        <v>0</v>
      </c>
      <c r="M388">
        <f>tblPO[[#This Row],[Actual_Delivery_Date]]-tblPO[[#This Row],[PO_Date]]</f>
        <v>2</v>
      </c>
    </row>
    <row r="389" spans="1:13" x14ac:dyDescent="0.3">
      <c r="A389" t="s">
        <v>1869</v>
      </c>
      <c r="B389" s="18">
        <v>45380</v>
      </c>
      <c r="C389" t="s">
        <v>46</v>
      </c>
      <c r="D389" t="s">
        <v>88</v>
      </c>
      <c r="E389">
        <v>7</v>
      </c>
      <c r="F389">
        <v>19596.25</v>
      </c>
      <c r="G389" s="18">
        <v>45404</v>
      </c>
      <c r="H389" s="18">
        <v>45404</v>
      </c>
      <c r="I389">
        <v>7</v>
      </c>
      <c r="J389">
        <v>137173.75</v>
      </c>
      <c r="K389">
        <f>IF(tblPO[[#This Row],[Actual_Delivery_Date]]&lt;=tblPO[[#This Row],[Expected_Delivery_Date]],1,0)</f>
        <v>1</v>
      </c>
      <c r="L389">
        <f>IF(tblPO[[#This Row],[Actual_Delivery_Date]]&gt;tblPO[[#This Row],[Expected_Delivery_Date]],1,0)</f>
        <v>0</v>
      </c>
      <c r="M389">
        <f>tblPO[[#This Row],[Actual_Delivery_Date]]-tblPO[[#This Row],[PO_Date]]</f>
        <v>24</v>
      </c>
    </row>
    <row r="390" spans="1:13" x14ac:dyDescent="0.3">
      <c r="A390" t="s">
        <v>1868</v>
      </c>
      <c r="B390" s="18">
        <v>45378</v>
      </c>
      <c r="C390" t="s">
        <v>63</v>
      </c>
      <c r="D390" t="s">
        <v>162</v>
      </c>
      <c r="E390">
        <v>583</v>
      </c>
      <c r="F390">
        <v>47.87</v>
      </c>
      <c r="G390" s="18">
        <v>45402</v>
      </c>
      <c r="H390" s="18">
        <v>45399</v>
      </c>
      <c r="I390">
        <v>583</v>
      </c>
      <c r="J390">
        <v>27908.21</v>
      </c>
      <c r="K390">
        <f>IF(tblPO[[#This Row],[Actual_Delivery_Date]]&lt;=tblPO[[#This Row],[Expected_Delivery_Date]],1,0)</f>
        <v>1</v>
      </c>
      <c r="L390">
        <f>IF(tblPO[[#This Row],[Actual_Delivery_Date]]&gt;tblPO[[#This Row],[Expected_Delivery_Date]],1,0)</f>
        <v>0</v>
      </c>
      <c r="M390">
        <f>tblPO[[#This Row],[Actual_Delivery_Date]]-tblPO[[#This Row],[PO_Date]]</f>
        <v>21</v>
      </c>
    </row>
    <row r="391" spans="1:13" x14ac:dyDescent="0.3">
      <c r="A391" t="s">
        <v>1867</v>
      </c>
      <c r="B391" s="18">
        <v>45369</v>
      </c>
      <c r="C391" t="s">
        <v>51</v>
      </c>
      <c r="D391" t="s">
        <v>156</v>
      </c>
      <c r="E391">
        <v>433</v>
      </c>
      <c r="F391">
        <v>48.49</v>
      </c>
      <c r="G391" s="18">
        <v>45381</v>
      </c>
      <c r="H391" s="18">
        <v>45378</v>
      </c>
      <c r="I391">
        <v>433</v>
      </c>
      <c r="J391">
        <v>20996.17</v>
      </c>
      <c r="K391">
        <f>IF(tblPO[[#This Row],[Actual_Delivery_Date]]&lt;=tblPO[[#This Row],[Expected_Delivery_Date]],1,0)</f>
        <v>1</v>
      </c>
      <c r="L391">
        <f>IF(tblPO[[#This Row],[Actual_Delivery_Date]]&gt;tblPO[[#This Row],[Expected_Delivery_Date]],1,0)</f>
        <v>0</v>
      </c>
      <c r="M391">
        <f>tblPO[[#This Row],[Actual_Delivery_Date]]-tblPO[[#This Row],[PO_Date]]</f>
        <v>9</v>
      </c>
    </row>
    <row r="392" spans="1:13" x14ac:dyDescent="0.3">
      <c r="A392" t="s">
        <v>1866</v>
      </c>
      <c r="B392" s="18">
        <v>45362</v>
      </c>
      <c r="C392" t="s">
        <v>47</v>
      </c>
      <c r="D392" t="s">
        <v>231</v>
      </c>
      <c r="E392">
        <v>173</v>
      </c>
      <c r="F392">
        <v>120.53</v>
      </c>
      <c r="G392" s="18">
        <v>45373</v>
      </c>
      <c r="H392" s="18">
        <v>45372</v>
      </c>
      <c r="I392">
        <v>173</v>
      </c>
      <c r="J392">
        <v>20851.689999999999</v>
      </c>
      <c r="K392">
        <f>IF(tblPO[[#This Row],[Actual_Delivery_Date]]&lt;=tblPO[[#This Row],[Expected_Delivery_Date]],1,0)</f>
        <v>1</v>
      </c>
      <c r="L392">
        <f>IF(tblPO[[#This Row],[Actual_Delivery_Date]]&gt;tblPO[[#This Row],[Expected_Delivery_Date]],1,0)</f>
        <v>0</v>
      </c>
      <c r="M392">
        <f>tblPO[[#This Row],[Actual_Delivery_Date]]-tblPO[[#This Row],[PO_Date]]</f>
        <v>10</v>
      </c>
    </row>
    <row r="393" spans="1:13" x14ac:dyDescent="0.3">
      <c r="A393" t="s">
        <v>1865</v>
      </c>
      <c r="B393" s="18">
        <v>45377</v>
      </c>
      <c r="C393" t="s">
        <v>55</v>
      </c>
      <c r="D393" t="s">
        <v>219</v>
      </c>
      <c r="E393">
        <v>108</v>
      </c>
      <c r="F393">
        <v>108.66</v>
      </c>
      <c r="G393" s="18">
        <v>45401</v>
      </c>
      <c r="H393" s="18">
        <v>45399</v>
      </c>
      <c r="I393">
        <v>108</v>
      </c>
      <c r="J393">
        <v>11735.28</v>
      </c>
      <c r="K393">
        <f>IF(tblPO[[#This Row],[Actual_Delivery_Date]]&lt;=tblPO[[#This Row],[Expected_Delivery_Date]],1,0)</f>
        <v>1</v>
      </c>
      <c r="L393">
        <f>IF(tblPO[[#This Row],[Actual_Delivery_Date]]&gt;tblPO[[#This Row],[Expected_Delivery_Date]],1,0)</f>
        <v>0</v>
      </c>
      <c r="M393">
        <f>tblPO[[#This Row],[Actual_Delivery_Date]]-tblPO[[#This Row],[PO_Date]]</f>
        <v>22</v>
      </c>
    </row>
    <row r="394" spans="1:13" x14ac:dyDescent="0.3">
      <c r="A394" t="s">
        <v>1864</v>
      </c>
      <c r="B394" s="18">
        <v>45360</v>
      </c>
      <c r="C394" t="s">
        <v>43</v>
      </c>
      <c r="D394" t="s">
        <v>156</v>
      </c>
      <c r="E394">
        <v>352</v>
      </c>
      <c r="F394">
        <v>49.49</v>
      </c>
      <c r="G394" s="18">
        <v>45376</v>
      </c>
      <c r="H394" s="18">
        <v>45373</v>
      </c>
      <c r="I394">
        <v>352</v>
      </c>
      <c r="J394">
        <v>17420.48</v>
      </c>
      <c r="K394">
        <f>IF(tblPO[[#This Row],[Actual_Delivery_Date]]&lt;=tblPO[[#This Row],[Expected_Delivery_Date]],1,0)</f>
        <v>1</v>
      </c>
      <c r="L394">
        <f>IF(tblPO[[#This Row],[Actual_Delivery_Date]]&gt;tblPO[[#This Row],[Expected_Delivery_Date]],1,0)</f>
        <v>0</v>
      </c>
      <c r="M394">
        <f>tblPO[[#This Row],[Actual_Delivery_Date]]-tblPO[[#This Row],[PO_Date]]</f>
        <v>13</v>
      </c>
    </row>
    <row r="395" spans="1:13" x14ac:dyDescent="0.3">
      <c r="A395" t="s">
        <v>1863</v>
      </c>
      <c r="B395" s="18">
        <v>45375</v>
      </c>
      <c r="C395" t="s">
        <v>61</v>
      </c>
      <c r="D395" t="s">
        <v>215</v>
      </c>
      <c r="E395">
        <v>12</v>
      </c>
      <c r="F395">
        <v>3428.54</v>
      </c>
      <c r="G395" s="18">
        <v>45385</v>
      </c>
      <c r="H395" s="18">
        <v>45385</v>
      </c>
      <c r="I395">
        <v>12</v>
      </c>
      <c r="J395">
        <v>41142.480000000003</v>
      </c>
      <c r="K395">
        <f>IF(tblPO[[#This Row],[Actual_Delivery_Date]]&lt;=tblPO[[#This Row],[Expected_Delivery_Date]],1,0)</f>
        <v>1</v>
      </c>
      <c r="L395">
        <f>IF(tblPO[[#This Row],[Actual_Delivery_Date]]&gt;tblPO[[#This Row],[Expected_Delivery_Date]],1,0)</f>
        <v>0</v>
      </c>
      <c r="M395">
        <f>tblPO[[#This Row],[Actual_Delivery_Date]]-tblPO[[#This Row],[PO_Date]]</f>
        <v>10</v>
      </c>
    </row>
    <row r="396" spans="1:13" x14ac:dyDescent="0.3">
      <c r="A396" t="s">
        <v>1862</v>
      </c>
      <c r="B396" s="18">
        <v>45378</v>
      </c>
      <c r="C396" t="s">
        <v>47</v>
      </c>
      <c r="D396" t="s">
        <v>229</v>
      </c>
      <c r="E396">
        <v>7</v>
      </c>
      <c r="F396">
        <v>1440.84</v>
      </c>
      <c r="G396" s="18">
        <v>45386</v>
      </c>
      <c r="H396" s="18">
        <v>45386</v>
      </c>
      <c r="I396">
        <v>7</v>
      </c>
      <c r="J396">
        <v>10085.879999999999</v>
      </c>
      <c r="K396">
        <f>IF(tblPO[[#This Row],[Actual_Delivery_Date]]&lt;=tblPO[[#This Row],[Expected_Delivery_Date]],1,0)</f>
        <v>1</v>
      </c>
      <c r="L396">
        <f>IF(tblPO[[#This Row],[Actual_Delivery_Date]]&gt;tblPO[[#This Row],[Expected_Delivery_Date]],1,0)</f>
        <v>0</v>
      </c>
      <c r="M396">
        <f>tblPO[[#This Row],[Actual_Delivery_Date]]-tblPO[[#This Row],[PO_Date]]</f>
        <v>8</v>
      </c>
    </row>
    <row r="397" spans="1:13" x14ac:dyDescent="0.3">
      <c r="A397" t="s">
        <v>1861</v>
      </c>
      <c r="B397" s="18">
        <v>45376</v>
      </c>
      <c r="C397" t="s">
        <v>49</v>
      </c>
      <c r="D397" t="s">
        <v>201</v>
      </c>
      <c r="E397">
        <v>622</v>
      </c>
      <c r="F397">
        <v>40.31</v>
      </c>
      <c r="G397" s="18">
        <v>45384</v>
      </c>
      <c r="H397" s="18">
        <v>45404</v>
      </c>
      <c r="I397">
        <v>622</v>
      </c>
      <c r="J397">
        <v>25072.82</v>
      </c>
      <c r="K397">
        <f>IF(tblPO[[#This Row],[Actual_Delivery_Date]]&lt;=tblPO[[#This Row],[Expected_Delivery_Date]],1,0)</f>
        <v>0</v>
      </c>
      <c r="L397">
        <f>IF(tblPO[[#This Row],[Actual_Delivery_Date]]&gt;tblPO[[#This Row],[Expected_Delivery_Date]],1,0)</f>
        <v>1</v>
      </c>
      <c r="M397">
        <f>tblPO[[#This Row],[Actual_Delivery_Date]]-tblPO[[#This Row],[PO_Date]]</f>
        <v>28</v>
      </c>
    </row>
    <row r="398" spans="1:13" x14ac:dyDescent="0.3">
      <c r="A398" t="s">
        <v>1860</v>
      </c>
      <c r="B398" s="18">
        <v>45375</v>
      </c>
      <c r="C398" t="s">
        <v>38</v>
      </c>
      <c r="D398" t="s">
        <v>247</v>
      </c>
      <c r="E398">
        <v>67</v>
      </c>
      <c r="F398">
        <v>606.22</v>
      </c>
      <c r="G398" s="18">
        <v>45387</v>
      </c>
      <c r="H398" s="18">
        <v>45386</v>
      </c>
      <c r="I398">
        <v>67</v>
      </c>
      <c r="J398">
        <v>40616.74</v>
      </c>
      <c r="K398">
        <f>IF(tblPO[[#This Row],[Actual_Delivery_Date]]&lt;=tblPO[[#This Row],[Expected_Delivery_Date]],1,0)</f>
        <v>1</v>
      </c>
      <c r="L398">
        <f>IF(tblPO[[#This Row],[Actual_Delivery_Date]]&gt;tblPO[[#This Row],[Expected_Delivery_Date]],1,0)</f>
        <v>0</v>
      </c>
      <c r="M398">
        <f>tblPO[[#This Row],[Actual_Delivery_Date]]-tblPO[[#This Row],[PO_Date]]</f>
        <v>11</v>
      </c>
    </row>
    <row r="399" spans="1:13" x14ac:dyDescent="0.3">
      <c r="A399" t="s">
        <v>1859</v>
      </c>
      <c r="B399" s="18">
        <v>45367</v>
      </c>
      <c r="C399" t="s">
        <v>54</v>
      </c>
      <c r="D399" t="s">
        <v>190</v>
      </c>
      <c r="E399">
        <v>40</v>
      </c>
      <c r="F399">
        <v>92.06</v>
      </c>
      <c r="G399" s="18">
        <v>45371</v>
      </c>
      <c r="H399" s="18">
        <v>45386</v>
      </c>
      <c r="I399">
        <v>40</v>
      </c>
      <c r="J399">
        <v>3682.4</v>
      </c>
      <c r="K399">
        <f>IF(tblPO[[#This Row],[Actual_Delivery_Date]]&lt;=tblPO[[#This Row],[Expected_Delivery_Date]],1,0)</f>
        <v>0</v>
      </c>
      <c r="L399">
        <f>IF(tblPO[[#This Row],[Actual_Delivery_Date]]&gt;tblPO[[#This Row],[Expected_Delivery_Date]],1,0)</f>
        <v>1</v>
      </c>
      <c r="M399">
        <f>tblPO[[#This Row],[Actual_Delivery_Date]]-tblPO[[#This Row],[PO_Date]]</f>
        <v>19</v>
      </c>
    </row>
    <row r="400" spans="1:13" x14ac:dyDescent="0.3">
      <c r="A400" t="s">
        <v>1858</v>
      </c>
      <c r="B400" s="18">
        <v>45368</v>
      </c>
      <c r="C400" t="s">
        <v>50</v>
      </c>
      <c r="D400" t="s">
        <v>123</v>
      </c>
      <c r="E400">
        <v>8</v>
      </c>
      <c r="F400">
        <v>1182.01</v>
      </c>
      <c r="G400" s="18">
        <v>45374</v>
      </c>
      <c r="H400" s="18">
        <v>45374</v>
      </c>
      <c r="I400">
        <v>8</v>
      </c>
      <c r="J400">
        <v>9456.08</v>
      </c>
      <c r="K400">
        <f>IF(tblPO[[#This Row],[Actual_Delivery_Date]]&lt;=tblPO[[#This Row],[Expected_Delivery_Date]],1,0)</f>
        <v>1</v>
      </c>
      <c r="L400">
        <f>IF(tblPO[[#This Row],[Actual_Delivery_Date]]&gt;tblPO[[#This Row],[Expected_Delivery_Date]],1,0)</f>
        <v>0</v>
      </c>
      <c r="M400">
        <f>tblPO[[#This Row],[Actual_Delivery_Date]]-tblPO[[#This Row],[PO_Date]]</f>
        <v>6</v>
      </c>
    </row>
    <row r="401" spans="1:13" x14ac:dyDescent="0.3">
      <c r="A401" t="s">
        <v>1857</v>
      </c>
      <c r="B401" s="18">
        <v>45356</v>
      </c>
      <c r="C401" t="s">
        <v>43</v>
      </c>
      <c r="D401" t="s">
        <v>164</v>
      </c>
      <c r="E401">
        <v>48</v>
      </c>
      <c r="F401">
        <v>108.49</v>
      </c>
      <c r="G401" s="18">
        <v>45365</v>
      </c>
      <c r="H401" s="18">
        <v>45365</v>
      </c>
      <c r="I401">
        <v>48</v>
      </c>
      <c r="J401">
        <v>5207.5200000000004</v>
      </c>
      <c r="K401">
        <f>IF(tblPO[[#This Row],[Actual_Delivery_Date]]&lt;=tblPO[[#This Row],[Expected_Delivery_Date]],1,0)</f>
        <v>1</v>
      </c>
      <c r="L401">
        <f>IF(tblPO[[#This Row],[Actual_Delivery_Date]]&gt;tblPO[[#This Row],[Expected_Delivery_Date]],1,0)</f>
        <v>0</v>
      </c>
      <c r="M401">
        <f>tblPO[[#This Row],[Actual_Delivery_Date]]-tblPO[[#This Row],[PO_Date]]</f>
        <v>9</v>
      </c>
    </row>
    <row r="402" spans="1:13" x14ac:dyDescent="0.3">
      <c r="A402" t="s">
        <v>1856</v>
      </c>
      <c r="B402" s="18">
        <v>45367</v>
      </c>
      <c r="C402" t="s">
        <v>50</v>
      </c>
      <c r="D402" t="s">
        <v>115</v>
      </c>
      <c r="E402">
        <v>4</v>
      </c>
      <c r="F402">
        <v>3320.32</v>
      </c>
      <c r="G402" s="18">
        <v>45380</v>
      </c>
      <c r="H402" s="18">
        <v>45378</v>
      </c>
      <c r="I402">
        <v>4</v>
      </c>
      <c r="J402">
        <v>13281.28</v>
      </c>
      <c r="K402">
        <f>IF(tblPO[[#This Row],[Actual_Delivery_Date]]&lt;=tblPO[[#This Row],[Expected_Delivery_Date]],1,0)</f>
        <v>1</v>
      </c>
      <c r="L402">
        <f>IF(tblPO[[#This Row],[Actual_Delivery_Date]]&gt;tblPO[[#This Row],[Expected_Delivery_Date]],1,0)</f>
        <v>0</v>
      </c>
      <c r="M402">
        <f>tblPO[[#This Row],[Actual_Delivery_Date]]-tblPO[[#This Row],[PO_Date]]</f>
        <v>11</v>
      </c>
    </row>
    <row r="403" spans="1:13" x14ac:dyDescent="0.3">
      <c r="A403" t="s">
        <v>1855</v>
      </c>
      <c r="B403" s="18">
        <v>45358</v>
      </c>
      <c r="C403" t="s">
        <v>38</v>
      </c>
      <c r="D403" t="s">
        <v>249</v>
      </c>
      <c r="E403">
        <v>330</v>
      </c>
      <c r="F403">
        <v>69.150000000000006</v>
      </c>
      <c r="G403" s="18">
        <v>45366</v>
      </c>
      <c r="H403" s="18">
        <v>45364</v>
      </c>
      <c r="I403">
        <v>330</v>
      </c>
      <c r="J403">
        <v>22819.5</v>
      </c>
      <c r="K403">
        <f>IF(tblPO[[#This Row],[Actual_Delivery_Date]]&lt;=tblPO[[#This Row],[Expected_Delivery_Date]],1,0)</f>
        <v>1</v>
      </c>
      <c r="L403">
        <f>IF(tblPO[[#This Row],[Actual_Delivery_Date]]&gt;tblPO[[#This Row],[Expected_Delivery_Date]],1,0)</f>
        <v>0</v>
      </c>
      <c r="M403">
        <f>tblPO[[#This Row],[Actual_Delivery_Date]]-tblPO[[#This Row],[PO_Date]]</f>
        <v>6</v>
      </c>
    </row>
    <row r="404" spans="1:13" x14ac:dyDescent="0.3">
      <c r="A404" t="s">
        <v>1854</v>
      </c>
      <c r="B404" s="18">
        <v>45371</v>
      </c>
      <c r="C404" t="s">
        <v>70</v>
      </c>
      <c r="D404" t="s">
        <v>183</v>
      </c>
      <c r="E404">
        <v>182</v>
      </c>
      <c r="F404">
        <v>10.92</v>
      </c>
      <c r="G404" s="18">
        <v>45387</v>
      </c>
      <c r="H404" s="18">
        <v>45387</v>
      </c>
      <c r="I404">
        <v>182</v>
      </c>
      <c r="J404">
        <v>1987.44</v>
      </c>
      <c r="K404">
        <f>IF(tblPO[[#This Row],[Actual_Delivery_Date]]&lt;=tblPO[[#This Row],[Expected_Delivery_Date]],1,0)</f>
        <v>1</v>
      </c>
      <c r="L404">
        <f>IF(tblPO[[#This Row],[Actual_Delivery_Date]]&gt;tblPO[[#This Row],[Expected_Delivery_Date]],1,0)</f>
        <v>0</v>
      </c>
      <c r="M404">
        <f>tblPO[[#This Row],[Actual_Delivery_Date]]-tblPO[[#This Row],[PO_Date]]</f>
        <v>16</v>
      </c>
    </row>
    <row r="405" spans="1:13" x14ac:dyDescent="0.3">
      <c r="A405" t="s">
        <v>1853</v>
      </c>
      <c r="B405" s="18">
        <v>45369</v>
      </c>
      <c r="C405" t="s">
        <v>51</v>
      </c>
      <c r="D405" t="s">
        <v>162</v>
      </c>
      <c r="E405">
        <v>88</v>
      </c>
      <c r="F405">
        <v>32</v>
      </c>
      <c r="G405" s="18">
        <v>45378</v>
      </c>
      <c r="H405" s="18">
        <v>45375</v>
      </c>
      <c r="I405">
        <v>88</v>
      </c>
      <c r="J405">
        <v>2816</v>
      </c>
      <c r="K405">
        <f>IF(tblPO[[#This Row],[Actual_Delivery_Date]]&lt;=tblPO[[#This Row],[Expected_Delivery_Date]],1,0)</f>
        <v>1</v>
      </c>
      <c r="L405">
        <f>IF(tblPO[[#This Row],[Actual_Delivery_Date]]&gt;tblPO[[#This Row],[Expected_Delivery_Date]],1,0)</f>
        <v>0</v>
      </c>
      <c r="M405">
        <f>tblPO[[#This Row],[Actual_Delivery_Date]]-tblPO[[#This Row],[PO_Date]]</f>
        <v>6</v>
      </c>
    </row>
    <row r="406" spans="1:13" x14ac:dyDescent="0.3">
      <c r="A406" t="s">
        <v>1852</v>
      </c>
      <c r="B406" s="18">
        <v>45352</v>
      </c>
      <c r="C406" t="s">
        <v>43</v>
      </c>
      <c r="D406" t="s">
        <v>152</v>
      </c>
      <c r="E406">
        <v>245</v>
      </c>
      <c r="F406">
        <v>81.31</v>
      </c>
      <c r="G406" s="18">
        <v>45355</v>
      </c>
      <c r="H406" s="18">
        <v>45353</v>
      </c>
      <c r="I406">
        <v>245</v>
      </c>
      <c r="J406">
        <v>19920.95</v>
      </c>
      <c r="K406">
        <f>IF(tblPO[[#This Row],[Actual_Delivery_Date]]&lt;=tblPO[[#This Row],[Expected_Delivery_Date]],1,0)</f>
        <v>1</v>
      </c>
      <c r="L406">
        <f>IF(tblPO[[#This Row],[Actual_Delivery_Date]]&gt;tblPO[[#This Row],[Expected_Delivery_Date]],1,0)</f>
        <v>0</v>
      </c>
      <c r="M406">
        <f>tblPO[[#This Row],[Actual_Delivery_Date]]-tblPO[[#This Row],[PO_Date]]</f>
        <v>1</v>
      </c>
    </row>
    <row r="407" spans="1:13" x14ac:dyDescent="0.3">
      <c r="A407" t="s">
        <v>1851</v>
      </c>
      <c r="B407" s="18">
        <v>45355</v>
      </c>
      <c r="C407" t="s">
        <v>54</v>
      </c>
      <c r="D407" t="s">
        <v>179</v>
      </c>
      <c r="E407">
        <v>182</v>
      </c>
      <c r="F407">
        <v>16.95</v>
      </c>
      <c r="G407" s="18">
        <v>45370</v>
      </c>
      <c r="H407" s="18">
        <v>45369</v>
      </c>
      <c r="I407">
        <v>182</v>
      </c>
      <c r="J407">
        <v>3084.9</v>
      </c>
      <c r="K407">
        <f>IF(tblPO[[#This Row],[Actual_Delivery_Date]]&lt;=tblPO[[#This Row],[Expected_Delivery_Date]],1,0)</f>
        <v>1</v>
      </c>
      <c r="L407">
        <f>IF(tblPO[[#This Row],[Actual_Delivery_Date]]&gt;tblPO[[#This Row],[Expected_Delivery_Date]],1,0)</f>
        <v>0</v>
      </c>
      <c r="M407">
        <f>tblPO[[#This Row],[Actual_Delivery_Date]]-tblPO[[#This Row],[PO_Date]]</f>
        <v>14</v>
      </c>
    </row>
    <row r="408" spans="1:13" x14ac:dyDescent="0.3">
      <c r="A408" t="s">
        <v>1850</v>
      </c>
      <c r="B408" s="18">
        <v>45366</v>
      </c>
      <c r="C408" t="s">
        <v>67</v>
      </c>
      <c r="D408" t="s">
        <v>84</v>
      </c>
      <c r="E408">
        <v>84</v>
      </c>
      <c r="F408">
        <v>196.1</v>
      </c>
      <c r="G408" s="18">
        <v>45394</v>
      </c>
      <c r="H408" s="18">
        <v>45393</v>
      </c>
      <c r="I408">
        <v>84</v>
      </c>
      <c r="J408">
        <v>16472.400000000001</v>
      </c>
      <c r="K408">
        <f>IF(tblPO[[#This Row],[Actual_Delivery_Date]]&lt;=tblPO[[#This Row],[Expected_Delivery_Date]],1,0)</f>
        <v>1</v>
      </c>
      <c r="L408">
        <f>IF(tblPO[[#This Row],[Actual_Delivery_Date]]&gt;tblPO[[#This Row],[Expected_Delivery_Date]],1,0)</f>
        <v>0</v>
      </c>
      <c r="M408">
        <f>tblPO[[#This Row],[Actual_Delivery_Date]]-tblPO[[#This Row],[PO_Date]]</f>
        <v>27</v>
      </c>
    </row>
    <row r="409" spans="1:13" x14ac:dyDescent="0.3">
      <c r="A409" t="s">
        <v>1849</v>
      </c>
      <c r="B409" s="18">
        <v>45380</v>
      </c>
      <c r="C409" t="s">
        <v>44</v>
      </c>
      <c r="D409" t="s">
        <v>188</v>
      </c>
      <c r="E409">
        <v>400</v>
      </c>
      <c r="F409">
        <v>32.4</v>
      </c>
      <c r="G409" s="18">
        <v>45407</v>
      </c>
      <c r="H409" s="18">
        <v>45405</v>
      </c>
      <c r="I409">
        <v>400</v>
      </c>
      <c r="J409">
        <v>12960</v>
      </c>
      <c r="K409">
        <f>IF(tblPO[[#This Row],[Actual_Delivery_Date]]&lt;=tblPO[[#This Row],[Expected_Delivery_Date]],1,0)</f>
        <v>1</v>
      </c>
      <c r="L409">
        <f>IF(tblPO[[#This Row],[Actual_Delivery_Date]]&gt;tblPO[[#This Row],[Expected_Delivery_Date]],1,0)</f>
        <v>0</v>
      </c>
      <c r="M409">
        <f>tblPO[[#This Row],[Actual_Delivery_Date]]-tblPO[[#This Row],[PO_Date]]</f>
        <v>25</v>
      </c>
    </row>
    <row r="410" spans="1:13" x14ac:dyDescent="0.3">
      <c r="A410" t="s">
        <v>1848</v>
      </c>
      <c r="B410" s="18">
        <v>45375</v>
      </c>
      <c r="C410" t="s">
        <v>38</v>
      </c>
      <c r="D410" t="s">
        <v>227</v>
      </c>
      <c r="E410">
        <v>9</v>
      </c>
      <c r="F410">
        <v>1201.9100000000001</v>
      </c>
      <c r="G410" s="18">
        <v>45382</v>
      </c>
      <c r="H410" s="18">
        <v>45379</v>
      </c>
      <c r="I410">
        <v>9</v>
      </c>
      <c r="J410">
        <v>10817.19</v>
      </c>
      <c r="K410">
        <f>IF(tblPO[[#This Row],[Actual_Delivery_Date]]&lt;=tblPO[[#This Row],[Expected_Delivery_Date]],1,0)</f>
        <v>1</v>
      </c>
      <c r="L410">
        <f>IF(tblPO[[#This Row],[Actual_Delivery_Date]]&gt;tblPO[[#This Row],[Expected_Delivery_Date]],1,0)</f>
        <v>0</v>
      </c>
      <c r="M410">
        <f>tblPO[[#This Row],[Actual_Delivery_Date]]-tblPO[[#This Row],[PO_Date]]</f>
        <v>4</v>
      </c>
    </row>
    <row r="411" spans="1:13" x14ac:dyDescent="0.3">
      <c r="A411" t="s">
        <v>1847</v>
      </c>
      <c r="B411" s="18">
        <v>45372</v>
      </c>
      <c r="C411" t="s">
        <v>41</v>
      </c>
      <c r="D411" t="s">
        <v>205</v>
      </c>
      <c r="E411">
        <v>192</v>
      </c>
      <c r="F411">
        <v>401.52</v>
      </c>
      <c r="G411" s="18">
        <v>45376</v>
      </c>
      <c r="H411" s="18">
        <v>45375</v>
      </c>
      <c r="I411">
        <v>192</v>
      </c>
      <c r="J411">
        <v>77091.839999999997</v>
      </c>
      <c r="K411">
        <f>IF(tblPO[[#This Row],[Actual_Delivery_Date]]&lt;=tblPO[[#This Row],[Expected_Delivery_Date]],1,0)</f>
        <v>1</v>
      </c>
      <c r="L411">
        <f>IF(tblPO[[#This Row],[Actual_Delivery_Date]]&gt;tblPO[[#This Row],[Expected_Delivery_Date]],1,0)</f>
        <v>0</v>
      </c>
      <c r="M411">
        <f>tblPO[[#This Row],[Actual_Delivery_Date]]-tblPO[[#This Row],[PO_Date]]</f>
        <v>3</v>
      </c>
    </row>
    <row r="412" spans="1:13" x14ac:dyDescent="0.3">
      <c r="A412" t="s">
        <v>1846</v>
      </c>
      <c r="B412" s="18">
        <v>45373</v>
      </c>
      <c r="C412" t="s">
        <v>46</v>
      </c>
      <c r="D412" t="s">
        <v>92</v>
      </c>
      <c r="E412">
        <v>3</v>
      </c>
      <c r="F412">
        <v>4578.46</v>
      </c>
      <c r="G412" s="18">
        <v>45388</v>
      </c>
      <c r="H412" s="18">
        <v>45385</v>
      </c>
      <c r="I412">
        <v>2</v>
      </c>
      <c r="J412">
        <v>13735.38</v>
      </c>
      <c r="K412">
        <f>IF(tblPO[[#This Row],[Actual_Delivery_Date]]&lt;=tblPO[[#This Row],[Expected_Delivery_Date]],1,0)</f>
        <v>1</v>
      </c>
      <c r="L412">
        <f>IF(tblPO[[#This Row],[Actual_Delivery_Date]]&gt;tblPO[[#This Row],[Expected_Delivery_Date]],1,0)</f>
        <v>0</v>
      </c>
      <c r="M412">
        <f>tblPO[[#This Row],[Actual_Delivery_Date]]-tblPO[[#This Row],[PO_Date]]</f>
        <v>12</v>
      </c>
    </row>
    <row r="413" spans="1:13" x14ac:dyDescent="0.3">
      <c r="A413" t="s">
        <v>1845</v>
      </c>
      <c r="B413" s="18">
        <v>45360</v>
      </c>
      <c r="C413" t="s">
        <v>46</v>
      </c>
      <c r="D413" t="s">
        <v>96</v>
      </c>
      <c r="E413">
        <v>150</v>
      </c>
      <c r="F413">
        <v>804.72</v>
      </c>
      <c r="G413" s="18">
        <v>45387</v>
      </c>
      <c r="H413" s="18">
        <v>45385</v>
      </c>
      <c r="I413">
        <v>150</v>
      </c>
      <c r="J413">
        <v>120708</v>
      </c>
      <c r="K413">
        <f>IF(tblPO[[#This Row],[Actual_Delivery_Date]]&lt;=tblPO[[#This Row],[Expected_Delivery_Date]],1,0)</f>
        <v>1</v>
      </c>
      <c r="L413">
        <f>IF(tblPO[[#This Row],[Actual_Delivery_Date]]&gt;tblPO[[#This Row],[Expected_Delivery_Date]],1,0)</f>
        <v>0</v>
      </c>
      <c r="M413">
        <f>tblPO[[#This Row],[Actual_Delivery_Date]]-tblPO[[#This Row],[PO_Date]]</f>
        <v>25</v>
      </c>
    </row>
    <row r="414" spans="1:13" x14ac:dyDescent="0.3">
      <c r="A414" t="s">
        <v>1844</v>
      </c>
      <c r="B414" s="18">
        <v>45373</v>
      </c>
      <c r="C414" t="s">
        <v>48</v>
      </c>
      <c r="D414" t="s">
        <v>156</v>
      </c>
      <c r="E414">
        <v>480</v>
      </c>
      <c r="F414">
        <v>68.69</v>
      </c>
      <c r="G414" s="18">
        <v>45388</v>
      </c>
      <c r="H414" s="18">
        <v>45387</v>
      </c>
      <c r="I414">
        <v>480</v>
      </c>
      <c r="J414">
        <v>32971.199999999997</v>
      </c>
      <c r="K414">
        <f>IF(tblPO[[#This Row],[Actual_Delivery_Date]]&lt;=tblPO[[#This Row],[Expected_Delivery_Date]],1,0)</f>
        <v>1</v>
      </c>
      <c r="L414">
        <f>IF(tblPO[[#This Row],[Actual_Delivery_Date]]&gt;tblPO[[#This Row],[Expected_Delivery_Date]],1,0)</f>
        <v>0</v>
      </c>
      <c r="M414">
        <f>tblPO[[#This Row],[Actual_Delivery_Date]]-tblPO[[#This Row],[PO_Date]]</f>
        <v>14</v>
      </c>
    </row>
    <row r="415" spans="1:13" x14ac:dyDescent="0.3">
      <c r="A415" t="s">
        <v>1843</v>
      </c>
      <c r="B415" s="18">
        <v>45368</v>
      </c>
      <c r="C415" t="s">
        <v>47</v>
      </c>
      <c r="D415" t="s">
        <v>243</v>
      </c>
      <c r="E415">
        <v>36</v>
      </c>
      <c r="F415">
        <v>143.06</v>
      </c>
      <c r="G415" s="18">
        <v>45374</v>
      </c>
      <c r="H415" s="18">
        <v>45371</v>
      </c>
      <c r="I415">
        <v>36</v>
      </c>
      <c r="J415">
        <v>5150.16</v>
      </c>
      <c r="K415">
        <f>IF(tblPO[[#This Row],[Actual_Delivery_Date]]&lt;=tblPO[[#This Row],[Expected_Delivery_Date]],1,0)</f>
        <v>1</v>
      </c>
      <c r="L415">
        <f>IF(tblPO[[#This Row],[Actual_Delivery_Date]]&gt;tblPO[[#This Row],[Expected_Delivery_Date]],1,0)</f>
        <v>0</v>
      </c>
      <c r="M415">
        <f>tblPO[[#This Row],[Actual_Delivery_Date]]-tblPO[[#This Row],[PO_Date]]</f>
        <v>3</v>
      </c>
    </row>
    <row r="416" spans="1:13" x14ac:dyDescent="0.3">
      <c r="A416" t="s">
        <v>1842</v>
      </c>
      <c r="B416" s="18">
        <v>45378</v>
      </c>
      <c r="C416" t="s">
        <v>44</v>
      </c>
      <c r="D416" t="s">
        <v>190</v>
      </c>
      <c r="E416">
        <v>77</v>
      </c>
      <c r="F416">
        <v>96.04</v>
      </c>
      <c r="G416" s="18">
        <v>45406</v>
      </c>
      <c r="H416" s="18">
        <v>45417</v>
      </c>
      <c r="I416">
        <v>77</v>
      </c>
      <c r="J416">
        <v>7395.08</v>
      </c>
      <c r="K416">
        <f>IF(tblPO[[#This Row],[Actual_Delivery_Date]]&lt;=tblPO[[#This Row],[Expected_Delivery_Date]],1,0)</f>
        <v>0</v>
      </c>
      <c r="L416">
        <f>IF(tblPO[[#This Row],[Actual_Delivery_Date]]&gt;tblPO[[#This Row],[Expected_Delivery_Date]],1,0)</f>
        <v>1</v>
      </c>
      <c r="M416">
        <f>tblPO[[#This Row],[Actual_Delivery_Date]]-tblPO[[#This Row],[PO_Date]]</f>
        <v>39</v>
      </c>
    </row>
    <row r="417" spans="1:13" x14ac:dyDescent="0.3">
      <c r="A417" t="s">
        <v>1841</v>
      </c>
      <c r="B417" s="18">
        <v>45367</v>
      </c>
      <c r="C417" t="s">
        <v>43</v>
      </c>
      <c r="D417" t="s">
        <v>168</v>
      </c>
      <c r="E417">
        <v>611</v>
      </c>
      <c r="F417">
        <v>56.91</v>
      </c>
      <c r="G417" s="18">
        <v>45376</v>
      </c>
      <c r="H417" s="18">
        <v>45376</v>
      </c>
      <c r="I417">
        <v>611</v>
      </c>
      <c r="J417">
        <v>34772.01</v>
      </c>
      <c r="K417">
        <f>IF(tblPO[[#This Row],[Actual_Delivery_Date]]&lt;=tblPO[[#This Row],[Expected_Delivery_Date]],1,0)</f>
        <v>1</v>
      </c>
      <c r="L417">
        <f>IF(tblPO[[#This Row],[Actual_Delivery_Date]]&gt;tblPO[[#This Row],[Expected_Delivery_Date]],1,0)</f>
        <v>0</v>
      </c>
      <c r="M417">
        <f>tblPO[[#This Row],[Actual_Delivery_Date]]-tblPO[[#This Row],[PO_Date]]</f>
        <v>9</v>
      </c>
    </row>
    <row r="418" spans="1:13" x14ac:dyDescent="0.3">
      <c r="A418" t="s">
        <v>1840</v>
      </c>
      <c r="B418" s="18">
        <v>45381</v>
      </c>
      <c r="C418" t="s">
        <v>54</v>
      </c>
      <c r="D418" t="s">
        <v>209</v>
      </c>
      <c r="E418">
        <v>141</v>
      </c>
      <c r="F418">
        <v>13.87</v>
      </c>
      <c r="G418" s="18">
        <v>45387</v>
      </c>
      <c r="H418" s="18">
        <v>45391</v>
      </c>
      <c r="I418">
        <v>141</v>
      </c>
      <c r="J418">
        <v>1955.67</v>
      </c>
      <c r="K418">
        <f>IF(tblPO[[#This Row],[Actual_Delivery_Date]]&lt;=tblPO[[#This Row],[Expected_Delivery_Date]],1,0)</f>
        <v>0</v>
      </c>
      <c r="L418">
        <f>IF(tblPO[[#This Row],[Actual_Delivery_Date]]&gt;tblPO[[#This Row],[Expected_Delivery_Date]],1,0)</f>
        <v>1</v>
      </c>
      <c r="M418">
        <f>tblPO[[#This Row],[Actual_Delivery_Date]]-tblPO[[#This Row],[PO_Date]]</f>
        <v>10</v>
      </c>
    </row>
    <row r="419" spans="1:13" x14ac:dyDescent="0.3">
      <c r="A419" t="s">
        <v>1839</v>
      </c>
      <c r="B419" s="18">
        <v>45375</v>
      </c>
      <c r="C419" t="s">
        <v>48</v>
      </c>
      <c r="D419" t="s">
        <v>174</v>
      </c>
      <c r="E419">
        <v>126</v>
      </c>
      <c r="F419">
        <v>50.5</v>
      </c>
      <c r="G419" s="18">
        <v>45390</v>
      </c>
      <c r="H419" s="18">
        <v>45388</v>
      </c>
      <c r="I419">
        <v>126</v>
      </c>
      <c r="J419">
        <v>6363</v>
      </c>
      <c r="K419">
        <f>IF(tblPO[[#This Row],[Actual_Delivery_Date]]&lt;=tblPO[[#This Row],[Expected_Delivery_Date]],1,0)</f>
        <v>1</v>
      </c>
      <c r="L419">
        <f>IF(tblPO[[#This Row],[Actual_Delivery_Date]]&gt;tblPO[[#This Row],[Expected_Delivery_Date]],1,0)</f>
        <v>0</v>
      </c>
      <c r="M419">
        <f>tblPO[[#This Row],[Actual_Delivery_Date]]-tblPO[[#This Row],[PO_Date]]</f>
        <v>13</v>
      </c>
    </row>
    <row r="420" spans="1:13" x14ac:dyDescent="0.3">
      <c r="A420" t="s">
        <v>1838</v>
      </c>
      <c r="B420" s="18">
        <v>45355</v>
      </c>
      <c r="C420" t="s">
        <v>46</v>
      </c>
      <c r="D420" t="s">
        <v>102</v>
      </c>
      <c r="E420">
        <v>22</v>
      </c>
      <c r="F420">
        <v>637.73</v>
      </c>
      <c r="G420" s="18">
        <v>45372</v>
      </c>
      <c r="H420" s="18">
        <v>45371</v>
      </c>
      <c r="I420">
        <v>22</v>
      </c>
      <c r="J420">
        <v>14030.06</v>
      </c>
      <c r="K420">
        <f>IF(tblPO[[#This Row],[Actual_Delivery_Date]]&lt;=tblPO[[#This Row],[Expected_Delivery_Date]],1,0)</f>
        <v>1</v>
      </c>
      <c r="L420">
        <f>IF(tblPO[[#This Row],[Actual_Delivery_Date]]&gt;tblPO[[#This Row],[Expected_Delivery_Date]],1,0)</f>
        <v>0</v>
      </c>
      <c r="M420">
        <f>tblPO[[#This Row],[Actual_Delivery_Date]]-tblPO[[#This Row],[PO_Date]]</f>
        <v>16</v>
      </c>
    </row>
    <row r="421" spans="1:13" x14ac:dyDescent="0.3">
      <c r="A421" t="s">
        <v>1837</v>
      </c>
      <c r="B421" s="18">
        <v>45355</v>
      </c>
      <c r="C421" t="s">
        <v>42</v>
      </c>
      <c r="D421" t="s">
        <v>90</v>
      </c>
      <c r="E421">
        <v>2</v>
      </c>
      <c r="F421">
        <v>33648.17</v>
      </c>
      <c r="G421" s="18">
        <v>45368</v>
      </c>
      <c r="H421" s="18">
        <v>45366</v>
      </c>
      <c r="I421">
        <v>2</v>
      </c>
      <c r="J421">
        <v>67296.34</v>
      </c>
      <c r="K421">
        <f>IF(tblPO[[#This Row],[Actual_Delivery_Date]]&lt;=tblPO[[#This Row],[Expected_Delivery_Date]],1,0)</f>
        <v>1</v>
      </c>
      <c r="L421">
        <f>IF(tblPO[[#This Row],[Actual_Delivery_Date]]&gt;tblPO[[#This Row],[Expected_Delivery_Date]],1,0)</f>
        <v>0</v>
      </c>
      <c r="M421">
        <f>tblPO[[#This Row],[Actual_Delivery_Date]]-tblPO[[#This Row],[PO_Date]]</f>
        <v>11</v>
      </c>
    </row>
    <row r="422" spans="1:13" x14ac:dyDescent="0.3">
      <c r="A422" t="s">
        <v>1836</v>
      </c>
      <c r="B422" s="18">
        <v>45401</v>
      </c>
      <c r="C422" t="s">
        <v>40</v>
      </c>
      <c r="D422" t="s">
        <v>132</v>
      </c>
      <c r="E422">
        <v>20</v>
      </c>
      <c r="F422">
        <v>2954.65</v>
      </c>
      <c r="G422" s="18">
        <v>45417</v>
      </c>
      <c r="H422" s="18">
        <v>45416</v>
      </c>
      <c r="I422">
        <v>20</v>
      </c>
      <c r="J422">
        <v>59093</v>
      </c>
      <c r="K422">
        <f>IF(tblPO[[#This Row],[Actual_Delivery_Date]]&lt;=tblPO[[#This Row],[Expected_Delivery_Date]],1,0)</f>
        <v>1</v>
      </c>
      <c r="L422">
        <f>IF(tblPO[[#This Row],[Actual_Delivery_Date]]&gt;tblPO[[#This Row],[Expected_Delivery_Date]],1,0)</f>
        <v>0</v>
      </c>
      <c r="M422">
        <f>tblPO[[#This Row],[Actual_Delivery_Date]]-tblPO[[#This Row],[PO_Date]]</f>
        <v>15</v>
      </c>
    </row>
    <row r="423" spans="1:13" x14ac:dyDescent="0.3">
      <c r="A423" t="s">
        <v>1835</v>
      </c>
      <c r="B423" s="18">
        <v>45386</v>
      </c>
      <c r="C423" t="s">
        <v>43</v>
      </c>
      <c r="D423" t="s">
        <v>164</v>
      </c>
      <c r="E423">
        <v>143</v>
      </c>
      <c r="F423">
        <v>115.27</v>
      </c>
      <c r="G423" s="18">
        <v>45389</v>
      </c>
      <c r="H423" s="18">
        <v>45386</v>
      </c>
      <c r="I423">
        <v>143</v>
      </c>
      <c r="J423">
        <v>16483.61</v>
      </c>
      <c r="K423">
        <f>IF(tblPO[[#This Row],[Actual_Delivery_Date]]&lt;=tblPO[[#This Row],[Expected_Delivery_Date]],1,0)</f>
        <v>1</v>
      </c>
      <c r="L423">
        <f>IF(tblPO[[#This Row],[Actual_Delivery_Date]]&gt;tblPO[[#This Row],[Expected_Delivery_Date]],1,0)</f>
        <v>0</v>
      </c>
      <c r="M423">
        <f>tblPO[[#This Row],[Actual_Delivery_Date]]-tblPO[[#This Row],[PO_Date]]</f>
        <v>0</v>
      </c>
    </row>
    <row r="424" spans="1:13" x14ac:dyDescent="0.3">
      <c r="A424" t="s">
        <v>1834</v>
      </c>
      <c r="B424" s="18">
        <v>45392</v>
      </c>
      <c r="C424" t="s">
        <v>44</v>
      </c>
      <c r="D424" t="s">
        <v>203</v>
      </c>
      <c r="E424">
        <v>51</v>
      </c>
      <c r="F424">
        <v>305.79000000000002</v>
      </c>
      <c r="G424" s="18">
        <v>45412</v>
      </c>
      <c r="H424" s="18">
        <v>45409</v>
      </c>
      <c r="I424">
        <v>51</v>
      </c>
      <c r="J424">
        <v>15595.29</v>
      </c>
      <c r="K424">
        <f>IF(tblPO[[#This Row],[Actual_Delivery_Date]]&lt;=tblPO[[#This Row],[Expected_Delivery_Date]],1,0)</f>
        <v>1</v>
      </c>
      <c r="L424">
        <f>IF(tblPO[[#This Row],[Actual_Delivery_Date]]&gt;tblPO[[#This Row],[Expected_Delivery_Date]],1,0)</f>
        <v>0</v>
      </c>
      <c r="M424">
        <f>tblPO[[#This Row],[Actual_Delivery_Date]]-tblPO[[#This Row],[PO_Date]]</f>
        <v>17</v>
      </c>
    </row>
    <row r="425" spans="1:13" x14ac:dyDescent="0.3">
      <c r="A425" t="s">
        <v>1833</v>
      </c>
      <c r="B425" s="18">
        <v>45384</v>
      </c>
      <c r="C425" t="s">
        <v>49</v>
      </c>
      <c r="D425" t="s">
        <v>201</v>
      </c>
      <c r="E425">
        <v>604</v>
      </c>
      <c r="F425">
        <v>38.659999999999997</v>
      </c>
      <c r="G425" s="18">
        <v>45398</v>
      </c>
      <c r="H425" s="18">
        <v>45395</v>
      </c>
      <c r="I425">
        <v>604</v>
      </c>
      <c r="J425">
        <v>23350.639999999999</v>
      </c>
      <c r="K425">
        <f>IF(tblPO[[#This Row],[Actual_Delivery_Date]]&lt;=tblPO[[#This Row],[Expected_Delivery_Date]],1,0)</f>
        <v>1</v>
      </c>
      <c r="L425">
        <f>IF(tblPO[[#This Row],[Actual_Delivery_Date]]&gt;tblPO[[#This Row],[Expected_Delivery_Date]],1,0)</f>
        <v>0</v>
      </c>
      <c r="M425">
        <f>tblPO[[#This Row],[Actual_Delivery_Date]]-tblPO[[#This Row],[PO_Date]]</f>
        <v>11</v>
      </c>
    </row>
    <row r="426" spans="1:13" x14ac:dyDescent="0.3">
      <c r="A426" t="s">
        <v>1832</v>
      </c>
      <c r="B426" s="18">
        <v>45406</v>
      </c>
      <c r="C426" t="s">
        <v>60</v>
      </c>
      <c r="D426" t="s">
        <v>121</v>
      </c>
      <c r="E426">
        <v>67</v>
      </c>
      <c r="F426">
        <v>498.98</v>
      </c>
      <c r="G426" s="18">
        <v>45421</v>
      </c>
      <c r="H426" s="18">
        <v>45420</v>
      </c>
      <c r="I426">
        <v>67</v>
      </c>
      <c r="J426">
        <v>33431.660000000003</v>
      </c>
      <c r="K426">
        <f>IF(tblPO[[#This Row],[Actual_Delivery_Date]]&lt;=tblPO[[#This Row],[Expected_Delivery_Date]],1,0)</f>
        <v>1</v>
      </c>
      <c r="L426">
        <f>IF(tblPO[[#This Row],[Actual_Delivery_Date]]&gt;tblPO[[#This Row],[Expected_Delivery_Date]],1,0)</f>
        <v>0</v>
      </c>
      <c r="M426">
        <f>tblPO[[#This Row],[Actual_Delivery_Date]]-tblPO[[#This Row],[PO_Date]]</f>
        <v>14</v>
      </c>
    </row>
    <row r="427" spans="1:13" x14ac:dyDescent="0.3">
      <c r="A427" t="s">
        <v>1831</v>
      </c>
      <c r="B427" s="18">
        <v>45396</v>
      </c>
      <c r="C427" t="s">
        <v>39</v>
      </c>
      <c r="D427" t="s">
        <v>176</v>
      </c>
      <c r="E427">
        <v>446</v>
      </c>
      <c r="F427">
        <v>51.25</v>
      </c>
      <c r="G427" s="18">
        <v>45418</v>
      </c>
      <c r="H427" s="18">
        <v>45419</v>
      </c>
      <c r="I427">
        <v>404</v>
      </c>
      <c r="J427">
        <v>22857.5</v>
      </c>
      <c r="K427">
        <f>IF(tblPO[[#This Row],[Actual_Delivery_Date]]&lt;=tblPO[[#This Row],[Expected_Delivery_Date]],1,0)</f>
        <v>0</v>
      </c>
      <c r="L427">
        <f>IF(tblPO[[#This Row],[Actual_Delivery_Date]]&gt;tblPO[[#This Row],[Expected_Delivery_Date]],1,0)</f>
        <v>1</v>
      </c>
      <c r="M427">
        <f>tblPO[[#This Row],[Actual_Delivery_Date]]-tblPO[[#This Row],[PO_Date]]</f>
        <v>23</v>
      </c>
    </row>
    <row r="428" spans="1:13" x14ac:dyDescent="0.3">
      <c r="A428" t="s">
        <v>1830</v>
      </c>
      <c r="B428" s="18">
        <v>45409</v>
      </c>
      <c r="C428" t="s">
        <v>56</v>
      </c>
      <c r="D428" t="s">
        <v>123</v>
      </c>
      <c r="E428">
        <v>16</v>
      </c>
      <c r="F428">
        <v>1111.8699999999999</v>
      </c>
      <c r="G428" s="18">
        <v>45419</v>
      </c>
      <c r="H428" s="18">
        <v>45436</v>
      </c>
      <c r="I428">
        <v>16</v>
      </c>
      <c r="J428">
        <v>17789.919999999998</v>
      </c>
      <c r="K428">
        <f>IF(tblPO[[#This Row],[Actual_Delivery_Date]]&lt;=tblPO[[#This Row],[Expected_Delivery_Date]],1,0)</f>
        <v>0</v>
      </c>
      <c r="L428">
        <f>IF(tblPO[[#This Row],[Actual_Delivery_Date]]&gt;tblPO[[#This Row],[Expected_Delivery_Date]],1,0)</f>
        <v>1</v>
      </c>
      <c r="M428">
        <f>tblPO[[#This Row],[Actual_Delivery_Date]]-tblPO[[#This Row],[PO_Date]]</f>
        <v>27</v>
      </c>
    </row>
    <row r="429" spans="1:13" x14ac:dyDescent="0.3">
      <c r="A429" t="s">
        <v>1829</v>
      </c>
      <c r="B429" s="18">
        <v>45406</v>
      </c>
      <c r="C429" t="s">
        <v>40</v>
      </c>
      <c r="D429" t="s">
        <v>132</v>
      </c>
      <c r="E429">
        <v>19</v>
      </c>
      <c r="F429">
        <v>3000</v>
      </c>
      <c r="G429" s="18">
        <v>45415</v>
      </c>
      <c r="H429" s="18">
        <v>45413</v>
      </c>
      <c r="I429">
        <v>19</v>
      </c>
      <c r="J429">
        <v>57000</v>
      </c>
      <c r="K429">
        <f>IF(tblPO[[#This Row],[Actual_Delivery_Date]]&lt;=tblPO[[#This Row],[Expected_Delivery_Date]],1,0)</f>
        <v>1</v>
      </c>
      <c r="L429">
        <f>IF(tblPO[[#This Row],[Actual_Delivery_Date]]&gt;tblPO[[#This Row],[Expected_Delivery_Date]],1,0)</f>
        <v>0</v>
      </c>
      <c r="M429">
        <f>tblPO[[#This Row],[Actual_Delivery_Date]]-tblPO[[#This Row],[PO_Date]]</f>
        <v>7</v>
      </c>
    </row>
    <row r="430" spans="1:13" x14ac:dyDescent="0.3">
      <c r="A430" t="s">
        <v>1828</v>
      </c>
      <c r="B430" s="18">
        <v>45388</v>
      </c>
      <c r="C430" t="s">
        <v>43</v>
      </c>
      <c r="D430" t="s">
        <v>172</v>
      </c>
      <c r="E430">
        <v>126</v>
      </c>
      <c r="F430">
        <v>29.91</v>
      </c>
      <c r="G430" s="18">
        <v>45396</v>
      </c>
      <c r="H430" s="18">
        <v>45393</v>
      </c>
      <c r="I430">
        <v>126</v>
      </c>
      <c r="J430">
        <v>3768.66</v>
      </c>
      <c r="K430">
        <f>IF(tblPO[[#This Row],[Actual_Delivery_Date]]&lt;=tblPO[[#This Row],[Expected_Delivery_Date]],1,0)</f>
        <v>1</v>
      </c>
      <c r="L430">
        <f>IF(tblPO[[#This Row],[Actual_Delivery_Date]]&gt;tblPO[[#This Row],[Expected_Delivery_Date]],1,0)</f>
        <v>0</v>
      </c>
      <c r="M430">
        <f>tblPO[[#This Row],[Actual_Delivery_Date]]-tblPO[[#This Row],[PO_Date]]</f>
        <v>5</v>
      </c>
    </row>
    <row r="431" spans="1:13" x14ac:dyDescent="0.3">
      <c r="A431" t="s">
        <v>1827</v>
      </c>
      <c r="B431" s="18">
        <v>45387</v>
      </c>
      <c r="C431" t="s">
        <v>67</v>
      </c>
      <c r="D431" t="s">
        <v>98</v>
      </c>
      <c r="E431">
        <v>10</v>
      </c>
      <c r="F431">
        <v>8860.61</v>
      </c>
      <c r="G431" s="18">
        <v>45404</v>
      </c>
      <c r="H431" s="18">
        <v>45403</v>
      </c>
      <c r="I431">
        <v>9</v>
      </c>
      <c r="J431">
        <v>88606.1</v>
      </c>
      <c r="K431">
        <f>IF(tblPO[[#This Row],[Actual_Delivery_Date]]&lt;=tblPO[[#This Row],[Expected_Delivery_Date]],1,0)</f>
        <v>1</v>
      </c>
      <c r="L431">
        <f>IF(tblPO[[#This Row],[Actual_Delivery_Date]]&gt;tblPO[[#This Row],[Expected_Delivery_Date]],1,0)</f>
        <v>0</v>
      </c>
      <c r="M431">
        <f>tblPO[[#This Row],[Actual_Delivery_Date]]-tblPO[[#This Row],[PO_Date]]</f>
        <v>16</v>
      </c>
    </row>
    <row r="432" spans="1:13" x14ac:dyDescent="0.3">
      <c r="A432" t="s">
        <v>1826</v>
      </c>
      <c r="B432" s="18">
        <v>45412</v>
      </c>
      <c r="C432" t="s">
        <v>41</v>
      </c>
      <c r="D432" t="s">
        <v>179</v>
      </c>
      <c r="E432">
        <v>207</v>
      </c>
      <c r="F432">
        <v>19.68</v>
      </c>
      <c r="G432" s="18">
        <v>45425</v>
      </c>
      <c r="H432" s="18">
        <v>45424</v>
      </c>
      <c r="I432">
        <v>207</v>
      </c>
      <c r="J432">
        <v>4073.76</v>
      </c>
      <c r="K432">
        <f>IF(tblPO[[#This Row],[Actual_Delivery_Date]]&lt;=tblPO[[#This Row],[Expected_Delivery_Date]],1,0)</f>
        <v>1</v>
      </c>
      <c r="L432">
        <f>IF(tblPO[[#This Row],[Actual_Delivery_Date]]&gt;tblPO[[#This Row],[Expected_Delivery_Date]],1,0)</f>
        <v>0</v>
      </c>
      <c r="M432">
        <f>tblPO[[#This Row],[Actual_Delivery_Date]]-tblPO[[#This Row],[PO_Date]]</f>
        <v>12</v>
      </c>
    </row>
    <row r="433" spans="1:13" x14ac:dyDescent="0.3">
      <c r="A433" t="s">
        <v>1825</v>
      </c>
      <c r="B433" s="18">
        <v>45408</v>
      </c>
      <c r="C433" t="s">
        <v>43</v>
      </c>
      <c r="D433" t="s">
        <v>158</v>
      </c>
      <c r="E433">
        <v>28</v>
      </c>
      <c r="F433">
        <v>99.4</v>
      </c>
      <c r="G433" s="18">
        <v>45421</v>
      </c>
      <c r="H433" s="18">
        <v>45419</v>
      </c>
      <c r="I433">
        <v>28</v>
      </c>
      <c r="J433">
        <v>2783.2</v>
      </c>
      <c r="K433">
        <f>IF(tblPO[[#This Row],[Actual_Delivery_Date]]&lt;=tblPO[[#This Row],[Expected_Delivery_Date]],1,0)</f>
        <v>1</v>
      </c>
      <c r="L433">
        <f>IF(tblPO[[#This Row],[Actual_Delivery_Date]]&gt;tblPO[[#This Row],[Expected_Delivery_Date]],1,0)</f>
        <v>0</v>
      </c>
      <c r="M433">
        <f>tblPO[[#This Row],[Actual_Delivery_Date]]-tblPO[[#This Row],[PO_Date]]</f>
        <v>11</v>
      </c>
    </row>
    <row r="434" spans="1:13" x14ac:dyDescent="0.3">
      <c r="A434" t="s">
        <v>1824</v>
      </c>
      <c r="B434" s="18">
        <v>45400</v>
      </c>
      <c r="C434" t="s">
        <v>58</v>
      </c>
      <c r="D434" t="s">
        <v>152</v>
      </c>
      <c r="E434">
        <v>475</v>
      </c>
      <c r="F434">
        <v>105.64</v>
      </c>
      <c r="G434" s="18">
        <v>45429</v>
      </c>
      <c r="H434" s="18">
        <v>45428</v>
      </c>
      <c r="I434">
        <v>475</v>
      </c>
      <c r="J434">
        <v>50179</v>
      </c>
      <c r="K434">
        <f>IF(tblPO[[#This Row],[Actual_Delivery_Date]]&lt;=tblPO[[#This Row],[Expected_Delivery_Date]],1,0)</f>
        <v>1</v>
      </c>
      <c r="L434">
        <f>IF(tblPO[[#This Row],[Actual_Delivery_Date]]&gt;tblPO[[#This Row],[Expected_Delivery_Date]],1,0)</f>
        <v>0</v>
      </c>
      <c r="M434">
        <f>tblPO[[#This Row],[Actual_Delivery_Date]]-tblPO[[#This Row],[PO_Date]]</f>
        <v>28</v>
      </c>
    </row>
    <row r="435" spans="1:13" x14ac:dyDescent="0.3">
      <c r="A435" t="s">
        <v>1823</v>
      </c>
      <c r="B435" s="18">
        <v>45394</v>
      </c>
      <c r="C435" t="s">
        <v>56</v>
      </c>
      <c r="D435" t="s">
        <v>136</v>
      </c>
      <c r="E435">
        <v>94</v>
      </c>
      <c r="F435">
        <v>592.64</v>
      </c>
      <c r="G435" s="18">
        <v>45406</v>
      </c>
      <c r="H435" s="18">
        <v>45406</v>
      </c>
      <c r="I435">
        <v>94</v>
      </c>
      <c r="J435">
        <v>55708.160000000003</v>
      </c>
      <c r="K435">
        <f>IF(tblPO[[#This Row],[Actual_Delivery_Date]]&lt;=tblPO[[#This Row],[Expected_Delivery_Date]],1,0)</f>
        <v>1</v>
      </c>
      <c r="L435">
        <f>IF(tblPO[[#This Row],[Actual_Delivery_Date]]&gt;tblPO[[#This Row],[Expected_Delivery_Date]],1,0)</f>
        <v>0</v>
      </c>
      <c r="M435">
        <f>tblPO[[#This Row],[Actual_Delivery_Date]]-tblPO[[#This Row],[PO_Date]]</f>
        <v>12</v>
      </c>
    </row>
    <row r="436" spans="1:13" x14ac:dyDescent="0.3">
      <c r="A436" t="s">
        <v>1822</v>
      </c>
      <c r="B436" s="18">
        <v>45383</v>
      </c>
      <c r="C436" t="s">
        <v>50</v>
      </c>
      <c r="D436" t="s">
        <v>115</v>
      </c>
      <c r="E436">
        <v>22</v>
      </c>
      <c r="F436">
        <v>3329.84</v>
      </c>
      <c r="G436" s="18">
        <v>45389</v>
      </c>
      <c r="H436" s="18">
        <v>45389</v>
      </c>
      <c r="I436">
        <v>22</v>
      </c>
      <c r="J436">
        <v>73256.479999999996</v>
      </c>
      <c r="K436">
        <f>IF(tblPO[[#This Row],[Actual_Delivery_Date]]&lt;=tblPO[[#This Row],[Expected_Delivery_Date]],1,0)</f>
        <v>1</v>
      </c>
      <c r="L436">
        <f>IF(tblPO[[#This Row],[Actual_Delivery_Date]]&gt;tblPO[[#This Row],[Expected_Delivery_Date]],1,0)</f>
        <v>0</v>
      </c>
      <c r="M436">
        <f>tblPO[[#This Row],[Actual_Delivery_Date]]-tblPO[[#This Row],[PO_Date]]</f>
        <v>6</v>
      </c>
    </row>
    <row r="437" spans="1:13" x14ac:dyDescent="0.3">
      <c r="A437" t="s">
        <v>1821</v>
      </c>
      <c r="B437" s="18">
        <v>45390</v>
      </c>
      <c r="C437" t="s">
        <v>56</v>
      </c>
      <c r="D437" t="s">
        <v>121</v>
      </c>
      <c r="E437">
        <v>169</v>
      </c>
      <c r="F437">
        <v>617.57000000000005</v>
      </c>
      <c r="G437" s="18">
        <v>45394</v>
      </c>
      <c r="H437" s="18">
        <v>45393</v>
      </c>
      <c r="I437">
        <v>169</v>
      </c>
      <c r="J437">
        <v>104369.33</v>
      </c>
      <c r="K437">
        <f>IF(tblPO[[#This Row],[Actual_Delivery_Date]]&lt;=tblPO[[#This Row],[Expected_Delivery_Date]],1,0)</f>
        <v>1</v>
      </c>
      <c r="L437">
        <f>IF(tblPO[[#This Row],[Actual_Delivery_Date]]&gt;tblPO[[#This Row],[Expected_Delivery_Date]],1,0)</f>
        <v>0</v>
      </c>
      <c r="M437">
        <f>tblPO[[#This Row],[Actual_Delivery_Date]]-tblPO[[#This Row],[PO_Date]]</f>
        <v>3</v>
      </c>
    </row>
    <row r="438" spans="1:13" x14ac:dyDescent="0.3">
      <c r="A438" t="s">
        <v>1820</v>
      </c>
      <c r="B438" s="18">
        <v>45391</v>
      </c>
      <c r="C438" t="s">
        <v>39</v>
      </c>
      <c r="D438" t="s">
        <v>152</v>
      </c>
      <c r="E438">
        <v>445</v>
      </c>
      <c r="F438">
        <v>107.54</v>
      </c>
      <c r="G438" s="18">
        <v>45420</v>
      </c>
      <c r="H438" s="18">
        <v>45417</v>
      </c>
      <c r="I438">
        <v>445</v>
      </c>
      <c r="J438">
        <v>47855.3</v>
      </c>
      <c r="K438">
        <f>IF(tblPO[[#This Row],[Actual_Delivery_Date]]&lt;=tblPO[[#This Row],[Expected_Delivery_Date]],1,0)</f>
        <v>1</v>
      </c>
      <c r="L438">
        <f>IF(tblPO[[#This Row],[Actual_Delivery_Date]]&gt;tblPO[[#This Row],[Expected_Delivery_Date]],1,0)</f>
        <v>0</v>
      </c>
      <c r="M438">
        <f>tblPO[[#This Row],[Actual_Delivery_Date]]-tblPO[[#This Row],[PO_Date]]</f>
        <v>26</v>
      </c>
    </row>
    <row r="439" spans="1:13" x14ac:dyDescent="0.3">
      <c r="A439" t="s">
        <v>1819</v>
      </c>
      <c r="B439" s="18">
        <v>45408</v>
      </c>
      <c r="C439" t="s">
        <v>51</v>
      </c>
      <c r="D439" t="s">
        <v>149</v>
      </c>
      <c r="E439">
        <v>576</v>
      </c>
      <c r="F439">
        <v>62.52</v>
      </c>
      <c r="G439" s="18">
        <v>45425</v>
      </c>
      <c r="H439" s="18">
        <v>45424</v>
      </c>
      <c r="I439">
        <v>576</v>
      </c>
      <c r="J439">
        <v>36011.519999999997</v>
      </c>
      <c r="K439">
        <f>IF(tblPO[[#This Row],[Actual_Delivery_Date]]&lt;=tblPO[[#This Row],[Expected_Delivery_Date]],1,0)</f>
        <v>1</v>
      </c>
      <c r="L439">
        <f>IF(tblPO[[#This Row],[Actual_Delivery_Date]]&gt;tblPO[[#This Row],[Expected_Delivery_Date]],1,0)</f>
        <v>0</v>
      </c>
      <c r="M439">
        <f>tblPO[[#This Row],[Actual_Delivery_Date]]-tblPO[[#This Row],[PO_Date]]</f>
        <v>16</v>
      </c>
    </row>
    <row r="440" spans="1:13" x14ac:dyDescent="0.3">
      <c r="A440" t="s">
        <v>1818</v>
      </c>
      <c r="B440" s="18">
        <v>45386</v>
      </c>
      <c r="C440" t="s">
        <v>38</v>
      </c>
      <c r="D440" t="s">
        <v>239</v>
      </c>
      <c r="E440">
        <v>134</v>
      </c>
      <c r="F440">
        <v>93.63</v>
      </c>
      <c r="G440" s="18">
        <v>45394</v>
      </c>
      <c r="H440" s="18">
        <v>45399</v>
      </c>
      <c r="I440">
        <v>134</v>
      </c>
      <c r="J440">
        <v>12546.42</v>
      </c>
      <c r="K440">
        <f>IF(tblPO[[#This Row],[Actual_Delivery_Date]]&lt;=tblPO[[#This Row],[Expected_Delivery_Date]],1,0)</f>
        <v>0</v>
      </c>
      <c r="L440">
        <f>IF(tblPO[[#This Row],[Actual_Delivery_Date]]&gt;tblPO[[#This Row],[Expected_Delivery_Date]],1,0)</f>
        <v>1</v>
      </c>
      <c r="M440">
        <f>tblPO[[#This Row],[Actual_Delivery_Date]]-tblPO[[#This Row],[PO_Date]]</f>
        <v>13</v>
      </c>
    </row>
    <row r="441" spans="1:13" x14ac:dyDescent="0.3">
      <c r="A441" t="s">
        <v>1817</v>
      </c>
      <c r="B441" s="18">
        <v>45403</v>
      </c>
      <c r="C441" t="s">
        <v>65</v>
      </c>
      <c r="D441" t="s">
        <v>188</v>
      </c>
      <c r="E441">
        <v>736</v>
      </c>
      <c r="F441">
        <v>33.380000000000003</v>
      </c>
      <c r="G441" s="18">
        <v>45412</v>
      </c>
      <c r="H441" s="18">
        <v>45412</v>
      </c>
      <c r="I441">
        <v>736</v>
      </c>
      <c r="J441">
        <v>24567.68</v>
      </c>
      <c r="K441">
        <f>IF(tblPO[[#This Row],[Actual_Delivery_Date]]&lt;=tblPO[[#This Row],[Expected_Delivery_Date]],1,0)</f>
        <v>1</v>
      </c>
      <c r="L441">
        <f>IF(tblPO[[#This Row],[Actual_Delivery_Date]]&gt;tblPO[[#This Row],[Expected_Delivery_Date]],1,0)</f>
        <v>0</v>
      </c>
      <c r="M441">
        <f>tblPO[[#This Row],[Actual_Delivery_Date]]-tblPO[[#This Row],[PO_Date]]</f>
        <v>9</v>
      </c>
    </row>
    <row r="442" spans="1:13" x14ac:dyDescent="0.3">
      <c r="A442" t="s">
        <v>1816</v>
      </c>
      <c r="B442" s="18">
        <v>45411</v>
      </c>
      <c r="C442" t="s">
        <v>39</v>
      </c>
      <c r="D442" t="s">
        <v>170</v>
      </c>
      <c r="E442">
        <v>769</v>
      </c>
      <c r="F442">
        <v>92.32</v>
      </c>
      <c r="G442" s="18">
        <v>45436</v>
      </c>
      <c r="H442" s="18">
        <v>45433</v>
      </c>
      <c r="I442">
        <v>769</v>
      </c>
      <c r="J442">
        <v>70994.080000000002</v>
      </c>
      <c r="K442">
        <f>IF(tblPO[[#This Row],[Actual_Delivery_Date]]&lt;=tblPO[[#This Row],[Expected_Delivery_Date]],1,0)</f>
        <v>1</v>
      </c>
      <c r="L442">
        <f>IF(tblPO[[#This Row],[Actual_Delivery_Date]]&gt;tblPO[[#This Row],[Expected_Delivery_Date]],1,0)</f>
        <v>0</v>
      </c>
      <c r="M442">
        <f>tblPO[[#This Row],[Actual_Delivery_Date]]-tblPO[[#This Row],[PO_Date]]</f>
        <v>22</v>
      </c>
    </row>
    <row r="443" spans="1:13" x14ac:dyDescent="0.3">
      <c r="A443" t="s">
        <v>1815</v>
      </c>
      <c r="B443" s="18">
        <v>45393</v>
      </c>
      <c r="C443" t="s">
        <v>44</v>
      </c>
      <c r="D443" t="s">
        <v>205</v>
      </c>
      <c r="E443">
        <v>193</v>
      </c>
      <c r="F443">
        <v>354.94</v>
      </c>
      <c r="G443" s="18">
        <v>45406</v>
      </c>
      <c r="H443" s="18">
        <v>45403</v>
      </c>
      <c r="I443">
        <v>193</v>
      </c>
      <c r="J443">
        <v>68503.42</v>
      </c>
      <c r="K443">
        <f>IF(tblPO[[#This Row],[Actual_Delivery_Date]]&lt;=tblPO[[#This Row],[Expected_Delivery_Date]],1,0)</f>
        <v>1</v>
      </c>
      <c r="L443">
        <f>IF(tblPO[[#This Row],[Actual_Delivery_Date]]&gt;tblPO[[#This Row],[Expected_Delivery_Date]],1,0)</f>
        <v>0</v>
      </c>
      <c r="M443">
        <f>tblPO[[#This Row],[Actual_Delivery_Date]]-tblPO[[#This Row],[PO_Date]]</f>
        <v>10</v>
      </c>
    </row>
    <row r="444" spans="1:13" x14ac:dyDescent="0.3">
      <c r="A444" t="s">
        <v>1814</v>
      </c>
      <c r="B444" s="18">
        <v>45409</v>
      </c>
      <c r="C444" t="s">
        <v>48</v>
      </c>
      <c r="D444" t="s">
        <v>168</v>
      </c>
      <c r="E444">
        <v>638</v>
      </c>
      <c r="F444">
        <v>84.89</v>
      </c>
      <c r="G444" s="18">
        <v>45428</v>
      </c>
      <c r="H444" s="18">
        <v>45428</v>
      </c>
      <c r="I444">
        <v>638</v>
      </c>
      <c r="J444">
        <v>54159.82</v>
      </c>
      <c r="K444">
        <f>IF(tblPO[[#This Row],[Actual_Delivery_Date]]&lt;=tblPO[[#This Row],[Expected_Delivery_Date]],1,0)</f>
        <v>1</v>
      </c>
      <c r="L444">
        <f>IF(tblPO[[#This Row],[Actual_Delivery_Date]]&gt;tblPO[[#This Row],[Expected_Delivery_Date]],1,0)</f>
        <v>0</v>
      </c>
      <c r="M444">
        <f>tblPO[[#This Row],[Actual_Delivery_Date]]-tblPO[[#This Row],[PO_Date]]</f>
        <v>19</v>
      </c>
    </row>
    <row r="445" spans="1:13" x14ac:dyDescent="0.3">
      <c r="A445" t="s">
        <v>1813</v>
      </c>
      <c r="B445" s="18">
        <v>45383</v>
      </c>
      <c r="C445" t="s">
        <v>56</v>
      </c>
      <c r="D445" t="s">
        <v>121</v>
      </c>
      <c r="E445">
        <v>90</v>
      </c>
      <c r="F445">
        <v>607.32000000000005</v>
      </c>
      <c r="G445" s="18">
        <v>45398</v>
      </c>
      <c r="H445" s="18">
        <v>45395</v>
      </c>
      <c r="I445">
        <v>90</v>
      </c>
      <c r="J445">
        <v>54658.8</v>
      </c>
      <c r="K445">
        <f>IF(tblPO[[#This Row],[Actual_Delivery_Date]]&lt;=tblPO[[#This Row],[Expected_Delivery_Date]],1,0)</f>
        <v>1</v>
      </c>
      <c r="L445">
        <f>IF(tblPO[[#This Row],[Actual_Delivery_Date]]&gt;tblPO[[#This Row],[Expected_Delivery_Date]],1,0)</f>
        <v>0</v>
      </c>
      <c r="M445">
        <f>tblPO[[#This Row],[Actual_Delivery_Date]]-tblPO[[#This Row],[PO_Date]]</f>
        <v>12</v>
      </c>
    </row>
    <row r="446" spans="1:13" x14ac:dyDescent="0.3">
      <c r="A446" t="s">
        <v>1812</v>
      </c>
      <c r="B446" s="18">
        <v>45401</v>
      </c>
      <c r="C446" t="s">
        <v>51</v>
      </c>
      <c r="D446" t="s">
        <v>158</v>
      </c>
      <c r="E446">
        <v>200</v>
      </c>
      <c r="F446">
        <v>90.23</v>
      </c>
      <c r="G446" s="18">
        <v>45405</v>
      </c>
      <c r="H446" s="18">
        <v>45402</v>
      </c>
      <c r="I446">
        <v>200</v>
      </c>
      <c r="J446">
        <v>18046</v>
      </c>
      <c r="K446">
        <f>IF(tblPO[[#This Row],[Actual_Delivery_Date]]&lt;=tblPO[[#This Row],[Expected_Delivery_Date]],1,0)</f>
        <v>1</v>
      </c>
      <c r="L446">
        <f>IF(tblPO[[#This Row],[Actual_Delivery_Date]]&gt;tblPO[[#This Row],[Expected_Delivery_Date]],1,0)</f>
        <v>0</v>
      </c>
      <c r="M446">
        <f>tblPO[[#This Row],[Actual_Delivery_Date]]-tblPO[[#This Row],[PO_Date]]</f>
        <v>1</v>
      </c>
    </row>
    <row r="447" spans="1:13" x14ac:dyDescent="0.3">
      <c r="A447" t="s">
        <v>1811</v>
      </c>
      <c r="B447" s="18">
        <v>45392</v>
      </c>
      <c r="C447" t="s">
        <v>40</v>
      </c>
      <c r="D447" t="s">
        <v>125</v>
      </c>
      <c r="E447">
        <v>185</v>
      </c>
      <c r="F447">
        <v>966.07</v>
      </c>
      <c r="G447" s="18">
        <v>45397</v>
      </c>
      <c r="H447" s="18">
        <v>45397</v>
      </c>
      <c r="I447">
        <v>185</v>
      </c>
      <c r="J447">
        <v>178722.95</v>
      </c>
      <c r="K447">
        <f>IF(tblPO[[#This Row],[Actual_Delivery_Date]]&lt;=tblPO[[#This Row],[Expected_Delivery_Date]],1,0)</f>
        <v>1</v>
      </c>
      <c r="L447">
        <f>IF(tblPO[[#This Row],[Actual_Delivery_Date]]&gt;tblPO[[#This Row],[Expected_Delivery_Date]],1,0)</f>
        <v>0</v>
      </c>
      <c r="M447">
        <f>tblPO[[#This Row],[Actual_Delivery_Date]]-tblPO[[#This Row],[PO_Date]]</f>
        <v>5</v>
      </c>
    </row>
    <row r="448" spans="1:13" x14ac:dyDescent="0.3">
      <c r="A448" t="s">
        <v>1810</v>
      </c>
      <c r="B448" s="18">
        <v>45388</v>
      </c>
      <c r="C448" t="s">
        <v>43</v>
      </c>
      <c r="D448" t="s">
        <v>149</v>
      </c>
      <c r="E448">
        <v>535</v>
      </c>
      <c r="F448">
        <v>65.63</v>
      </c>
      <c r="G448" s="18">
        <v>45398</v>
      </c>
      <c r="H448" s="18">
        <v>45398</v>
      </c>
      <c r="I448">
        <v>535</v>
      </c>
      <c r="J448">
        <v>35112.050000000003</v>
      </c>
      <c r="K448">
        <f>IF(tblPO[[#This Row],[Actual_Delivery_Date]]&lt;=tblPO[[#This Row],[Expected_Delivery_Date]],1,0)</f>
        <v>1</v>
      </c>
      <c r="L448">
        <f>IF(tblPO[[#This Row],[Actual_Delivery_Date]]&gt;tblPO[[#This Row],[Expected_Delivery_Date]],1,0)</f>
        <v>0</v>
      </c>
      <c r="M448">
        <f>tblPO[[#This Row],[Actual_Delivery_Date]]-tblPO[[#This Row],[PO_Date]]</f>
        <v>10</v>
      </c>
    </row>
    <row r="449" spans="1:13" x14ac:dyDescent="0.3">
      <c r="A449" t="s">
        <v>1809</v>
      </c>
      <c r="B449" s="18">
        <v>45387</v>
      </c>
      <c r="C449" t="s">
        <v>43</v>
      </c>
      <c r="D449" t="s">
        <v>149</v>
      </c>
      <c r="E449">
        <v>699</v>
      </c>
      <c r="F449">
        <v>65.040000000000006</v>
      </c>
      <c r="G449" s="18">
        <v>45399</v>
      </c>
      <c r="H449" s="18">
        <v>45398</v>
      </c>
      <c r="I449">
        <v>699</v>
      </c>
      <c r="J449">
        <v>45462.96</v>
      </c>
      <c r="K449">
        <f>IF(tblPO[[#This Row],[Actual_Delivery_Date]]&lt;=tblPO[[#This Row],[Expected_Delivery_Date]],1,0)</f>
        <v>1</v>
      </c>
      <c r="L449">
        <f>IF(tblPO[[#This Row],[Actual_Delivery_Date]]&gt;tblPO[[#This Row],[Expected_Delivery_Date]],1,0)</f>
        <v>0</v>
      </c>
      <c r="M449">
        <f>tblPO[[#This Row],[Actual_Delivery_Date]]-tblPO[[#This Row],[PO_Date]]</f>
        <v>11</v>
      </c>
    </row>
    <row r="450" spans="1:13" x14ac:dyDescent="0.3">
      <c r="A450" t="s">
        <v>1808</v>
      </c>
      <c r="B450" s="18">
        <v>45387</v>
      </c>
      <c r="C450" t="s">
        <v>38</v>
      </c>
      <c r="D450" t="s">
        <v>251</v>
      </c>
      <c r="E450">
        <v>618</v>
      </c>
      <c r="F450">
        <v>85.36</v>
      </c>
      <c r="G450" s="18">
        <v>45393</v>
      </c>
      <c r="H450" s="18">
        <v>45393</v>
      </c>
      <c r="I450">
        <v>618</v>
      </c>
      <c r="J450">
        <v>52752.480000000003</v>
      </c>
      <c r="K450">
        <f>IF(tblPO[[#This Row],[Actual_Delivery_Date]]&lt;=tblPO[[#This Row],[Expected_Delivery_Date]],1,0)</f>
        <v>1</v>
      </c>
      <c r="L450">
        <f>IF(tblPO[[#This Row],[Actual_Delivery_Date]]&gt;tblPO[[#This Row],[Expected_Delivery_Date]],1,0)</f>
        <v>0</v>
      </c>
      <c r="M450">
        <f>tblPO[[#This Row],[Actual_Delivery_Date]]-tblPO[[#This Row],[PO_Date]]</f>
        <v>6</v>
      </c>
    </row>
    <row r="451" spans="1:13" x14ac:dyDescent="0.3">
      <c r="A451" t="s">
        <v>1807</v>
      </c>
      <c r="B451" s="18">
        <v>45394</v>
      </c>
      <c r="C451" t="s">
        <v>51</v>
      </c>
      <c r="D451" t="s">
        <v>174</v>
      </c>
      <c r="E451">
        <v>793</v>
      </c>
      <c r="F451">
        <v>31.8</v>
      </c>
      <c r="G451" s="18">
        <v>45403</v>
      </c>
      <c r="H451" s="18">
        <v>45401</v>
      </c>
      <c r="I451">
        <v>793</v>
      </c>
      <c r="J451">
        <v>25217.4</v>
      </c>
      <c r="K451">
        <f>IF(tblPO[[#This Row],[Actual_Delivery_Date]]&lt;=tblPO[[#This Row],[Expected_Delivery_Date]],1,0)</f>
        <v>1</v>
      </c>
      <c r="L451">
        <f>IF(tblPO[[#This Row],[Actual_Delivery_Date]]&gt;tblPO[[#This Row],[Expected_Delivery_Date]],1,0)</f>
        <v>0</v>
      </c>
      <c r="M451">
        <f>tblPO[[#This Row],[Actual_Delivery_Date]]-tblPO[[#This Row],[PO_Date]]</f>
        <v>7</v>
      </c>
    </row>
    <row r="452" spans="1:13" x14ac:dyDescent="0.3">
      <c r="A452" t="s">
        <v>1806</v>
      </c>
      <c r="B452" s="18">
        <v>45389</v>
      </c>
      <c r="C452" t="s">
        <v>58</v>
      </c>
      <c r="D452" t="s">
        <v>170</v>
      </c>
      <c r="E452">
        <v>308</v>
      </c>
      <c r="F452">
        <v>94.48</v>
      </c>
      <c r="G452" s="18">
        <v>45404</v>
      </c>
      <c r="H452" s="18">
        <v>45401</v>
      </c>
      <c r="I452">
        <v>308</v>
      </c>
      <c r="J452">
        <v>29099.84</v>
      </c>
      <c r="K452">
        <f>IF(tblPO[[#This Row],[Actual_Delivery_Date]]&lt;=tblPO[[#This Row],[Expected_Delivery_Date]],1,0)</f>
        <v>1</v>
      </c>
      <c r="L452">
        <f>IF(tblPO[[#This Row],[Actual_Delivery_Date]]&gt;tblPO[[#This Row],[Expected_Delivery_Date]],1,0)</f>
        <v>0</v>
      </c>
      <c r="M452">
        <f>tblPO[[#This Row],[Actual_Delivery_Date]]-tblPO[[#This Row],[PO_Date]]</f>
        <v>12</v>
      </c>
    </row>
    <row r="453" spans="1:13" x14ac:dyDescent="0.3">
      <c r="A453" t="s">
        <v>1805</v>
      </c>
      <c r="B453" s="18">
        <v>45397</v>
      </c>
      <c r="C453" t="s">
        <v>68</v>
      </c>
      <c r="D453" t="s">
        <v>146</v>
      </c>
      <c r="E453">
        <v>19</v>
      </c>
      <c r="F453">
        <v>2269.63</v>
      </c>
      <c r="G453" s="18">
        <v>45402</v>
      </c>
      <c r="H453" s="18">
        <v>45399</v>
      </c>
      <c r="I453">
        <v>19</v>
      </c>
      <c r="J453">
        <v>43122.97</v>
      </c>
      <c r="K453">
        <f>IF(tblPO[[#This Row],[Actual_Delivery_Date]]&lt;=tblPO[[#This Row],[Expected_Delivery_Date]],1,0)</f>
        <v>1</v>
      </c>
      <c r="L453">
        <f>IF(tblPO[[#This Row],[Actual_Delivery_Date]]&gt;tblPO[[#This Row],[Expected_Delivery_Date]],1,0)</f>
        <v>0</v>
      </c>
      <c r="M453">
        <f>tblPO[[#This Row],[Actual_Delivery_Date]]-tblPO[[#This Row],[PO_Date]]</f>
        <v>2</v>
      </c>
    </row>
    <row r="454" spans="1:13" x14ac:dyDescent="0.3">
      <c r="A454" t="s">
        <v>1804</v>
      </c>
      <c r="B454" s="18">
        <v>45393</v>
      </c>
      <c r="C454" t="s">
        <v>39</v>
      </c>
      <c r="D454" t="s">
        <v>170</v>
      </c>
      <c r="E454">
        <v>548</v>
      </c>
      <c r="F454">
        <v>93.7</v>
      </c>
      <c r="G454" s="18">
        <v>45416</v>
      </c>
      <c r="H454" s="18">
        <v>45414</v>
      </c>
      <c r="I454">
        <v>548</v>
      </c>
      <c r="J454">
        <v>51347.6</v>
      </c>
      <c r="K454">
        <f>IF(tblPO[[#This Row],[Actual_Delivery_Date]]&lt;=tblPO[[#This Row],[Expected_Delivery_Date]],1,0)</f>
        <v>1</v>
      </c>
      <c r="L454">
        <f>IF(tblPO[[#This Row],[Actual_Delivery_Date]]&gt;tblPO[[#This Row],[Expected_Delivery_Date]],1,0)</f>
        <v>0</v>
      </c>
      <c r="M454">
        <f>tblPO[[#This Row],[Actual_Delivery_Date]]-tblPO[[#This Row],[PO_Date]]</f>
        <v>21</v>
      </c>
    </row>
    <row r="455" spans="1:13" x14ac:dyDescent="0.3">
      <c r="A455" t="s">
        <v>1803</v>
      </c>
      <c r="B455" s="18">
        <v>45393</v>
      </c>
      <c r="C455" t="s">
        <v>63</v>
      </c>
      <c r="D455" t="s">
        <v>158</v>
      </c>
      <c r="E455">
        <v>59</v>
      </c>
      <c r="F455">
        <v>135.94999999999999</v>
      </c>
      <c r="G455" s="18">
        <v>45420</v>
      </c>
      <c r="H455" s="18">
        <v>45419</v>
      </c>
      <c r="I455">
        <v>59</v>
      </c>
      <c r="J455">
        <v>8021.05</v>
      </c>
      <c r="K455">
        <f>IF(tblPO[[#This Row],[Actual_Delivery_Date]]&lt;=tblPO[[#This Row],[Expected_Delivery_Date]],1,0)</f>
        <v>1</v>
      </c>
      <c r="L455">
        <f>IF(tblPO[[#This Row],[Actual_Delivery_Date]]&gt;tblPO[[#This Row],[Expected_Delivery_Date]],1,0)</f>
        <v>0</v>
      </c>
      <c r="M455">
        <f>tblPO[[#This Row],[Actual_Delivery_Date]]-tblPO[[#This Row],[PO_Date]]</f>
        <v>26</v>
      </c>
    </row>
    <row r="456" spans="1:13" x14ac:dyDescent="0.3">
      <c r="A456" t="s">
        <v>1802</v>
      </c>
      <c r="B456" s="18">
        <v>45408</v>
      </c>
      <c r="C456" t="s">
        <v>39</v>
      </c>
      <c r="D456" t="s">
        <v>172</v>
      </c>
      <c r="E456">
        <v>423</v>
      </c>
      <c r="F456">
        <v>37.96</v>
      </c>
      <c r="G456" s="18">
        <v>45430</v>
      </c>
      <c r="H456" s="18">
        <v>45432</v>
      </c>
      <c r="I456">
        <v>383</v>
      </c>
      <c r="J456">
        <v>16057.08</v>
      </c>
      <c r="K456">
        <f>IF(tblPO[[#This Row],[Actual_Delivery_Date]]&lt;=tblPO[[#This Row],[Expected_Delivery_Date]],1,0)</f>
        <v>0</v>
      </c>
      <c r="L456">
        <f>IF(tblPO[[#This Row],[Actual_Delivery_Date]]&gt;tblPO[[#This Row],[Expected_Delivery_Date]],1,0)</f>
        <v>1</v>
      </c>
      <c r="M456">
        <f>tblPO[[#This Row],[Actual_Delivery_Date]]-tblPO[[#This Row],[PO_Date]]</f>
        <v>24</v>
      </c>
    </row>
    <row r="457" spans="1:13" x14ac:dyDescent="0.3">
      <c r="A457" t="s">
        <v>1801</v>
      </c>
      <c r="B457" s="18">
        <v>45396</v>
      </c>
      <c r="C457" t="s">
        <v>44</v>
      </c>
      <c r="D457" t="s">
        <v>203</v>
      </c>
      <c r="E457">
        <v>174</v>
      </c>
      <c r="F457">
        <v>316.89</v>
      </c>
      <c r="G457" s="18">
        <v>45416</v>
      </c>
      <c r="H457" s="18">
        <v>45418</v>
      </c>
      <c r="I457">
        <v>174</v>
      </c>
      <c r="J457">
        <v>55138.86</v>
      </c>
      <c r="K457">
        <f>IF(tblPO[[#This Row],[Actual_Delivery_Date]]&lt;=tblPO[[#This Row],[Expected_Delivery_Date]],1,0)</f>
        <v>0</v>
      </c>
      <c r="L457">
        <f>IF(tblPO[[#This Row],[Actual_Delivery_Date]]&gt;tblPO[[#This Row],[Expected_Delivery_Date]],1,0)</f>
        <v>1</v>
      </c>
      <c r="M457">
        <f>tblPO[[#This Row],[Actual_Delivery_Date]]-tblPO[[#This Row],[PO_Date]]</f>
        <v>22</v>
      </c>
    </row>
    <row r="458" spans="1:13" x14ac:dyDescent="0.3">
      <c r="A458" t="s">
        <v>1800</v>
      </c>
      <c r="B458" s="18">
        <v>45397</v>
      </c>
      <c r="C458" t="s">
        <v>38</v>
      </c>
      <c r="D458" t="s">
        <v>231</v>
      </c>
      <c r="E458">
        <v>128</v>
      </c>
      <c r="F458">
        <v>149.38</v>
      </c>
      <c r="G458" s="18">
        <v>45411</v>
      </c>
      <c r="H458" s="18">
        <v>45411</v>
      </c>
      <c r="I458">
        <v>128</v>
      </c>
      <c r="J458">
        <v>19120.64</v>
      </c>
      <c r="K458">
        <f>IF(tblPO[[#This Row],[Actual_Delivery_Date]]&lt;=tblPO[[#This Row],[Expected_Delivery_Date]],1,0)</f>
        <v>1</v>
      </c>
      <c r="L458">
        <f>IF(tblPO[[#This Row],[Actual_Delivery_Date]]&gt;tblPO[[#This Row],[Expected_Delivery_Date]],1,0)</f>
        <v>0</v>
      </c>
      <c r="M458">
        <f>tblPO[[#This Row],[Actual_Delivery_Date]]-tblPO[[#This Row],[PO_Date]]</f>
        <v>14</v>
      </c>
    </row>
    <row r="459" spans="1:13" x14ac:dyDescent="0.3">
      <c r="A459" t="s">
        <v>1799</v>
      </c>
      <c r="B459" s="18">
        <v>45409</v>
      </c>
      <c r="C459" t="s">
        <v>41</v>
      </c>
      <c r="D459" t="s">
        <v>205</v>
      </c>
      <c r="E459">
        <v>30</v>
      </c>
      <c r="F459">
        <v>418.82</v>
      </c>
      <c r="G459" s="18">
        <v>45420</v>
      </c>
      <c r="H459" s="18">
        <v>45418</v>
      </c>
      <c r="I459">
        <v>30</v>
      </c>
      <c r="J459">
        <v>12564.6</v>
      </c>
      <c r="K459">
        <f>IF(tblPO[[#This Row],[Actual_Delivery_Date]]&lt;=tblPO[[#This Row],[Expected_Delivery_Date]],1,0)</f>
        <v>1</v>
      </c>
      <c r="L459">
        <f>IF(tblPO[[#This Row],[Actual_Delivery_Date]]&gt;tblPO[[#This Row],[Expected_Delivery_Date]],1,0)</f>
        <v>0</v>
      </c>
      <c r="M459">
        <f>tblPO[[#This Row],[Actual_Delivery_Date]]-tblPO[[#This Row],[PO_Date]]</f>
        <v>9</v>
      </c>
    </row>
    <row r="460" spans="1:13" x14ac:dyDescent="0.3">
      <c r="A460" t="s">
        <v>1798</v>
      </c>
      <c r="B460" s="18">
        <v>45385</v>
      </c>
      <c r="C460" t="s">
        <v>42</v>
      </c>
      <c r="D460" t="s">
        <v>104</v>
      </c>
      <c r="E460">
        <v>170</v>
      </c>
      <c r="F460">
        <v>454.82</v>
      </c>
      <c r="G460" s="18">
        <v>45399</v>
      </c>
      <c r="H460" s="18">
        <v>45396</v>
      </c>
      <c r="I460">
        <v>170</v>
      </c>
      <c r="J460">
        <v>77319.399999999994</v>
      </c>
      <c r="K460">
        <f>IF(tblPO[[#This Row],[Actual_Delivery_Date]]&lt;=tblPO[[#This Row],[Expected_Delivery_Date]],1,0)</f>
        <v>1</v>
      </c>
      <c r="L460">
        <f>IF(tblPO[[#This Row],[Actual_Delivery_Date]]&gt;tblPO[[#This Row],[Expected_Delivery_Date]],1,0)</f>
        <v>0</v>
      </c>
      <c r="M460">
        <f>tblPO[[#This Row],[Actual_Delivery_Date]]-tblPO[[#This Row],[PO_Date]]</f>
        <v>11</v>
      </c>
    </row>
    <row r="461" spans="1:13" x14ac:dyDescent="0.3">
      <c r="A461" t="s">
        <v>1797</v>
      </c>
      <c r="B461" s="18">
        <v>45389</v>
      </c>
      <c r="C461" t="s">
        <v>52</v>
      </c>
      <c r="D461" t="s">
        <v>215</v>
      </c>
      <c r="E461">
        <v>20</v>
      </c>
      <c r="F461">
        <v>3658.03</v>
      </c>
      <c r="G461" s="18">
        <v>45393</v>
      </c>
      <c r="H461" s="18">
        <v>45393</v>
      </c>
      <c r="I461">
        <v>20</v>
      </c>
      <c r="J461">
        <v>73160.600000000006</v>
      </c>
      <c r="K461">
        <f>IF(tblPO[[#This Row],[Actual_Delivery_Date]]&lt;=tblPO[[#This Row],[Expected_Delivery_Date]],1,0)</f>
        <v>1</v>
      </c>
      <c r="L461">
        <f>IF(tblPO[[#This Row],[Actual_Delivery_Date]]&gt;tblPO[[#This Row],[Expected_Delivery_Date]],1,0)</f>
        <v>0</v>
      </c>
      <c r="M461">
        <f>tblPO[[#This Row],[Actual_Delivery_Date]]-tblPO[[#This Row],[PO_Date]]</f>
        <v>4</v>
      </c>
    </row>
    <row r="462" spans="1:13" x14ac:dyDescent="0.3">
      <c r="A462" t="s">
        <v>1796</v>
      </c>
      <c r="B462" s="18">
        <v>45411</v>
      </c>
      <c r="C462" t="s">
        <v>51</v>
      </c>
      <c r="D462" t="s">
        <v>172</v>
      </c>
      <c r="E462">
        <v>278</v>
      </c>
      <c r="F462">
        <v>26.91</v>
      </c>
      <c r="G462" s="18">
        <v>45423</v>
      </c>
      <c r="H462" s="18">
        <v>45420</v>
      </c>
      <c r="I462">
        <v>278</v>
      </c>
      <c r="J462">
        <v>7480.98</v>
      </c>
      <c r="K462">
        <f>IF(tblPO[[#This Row],[Actual_Delivery_Date]]&lt;=tblPO[[#This Row],[Expected_Delivery_Date]],1,0)</f>
        <v>1</v>
      </c>
      <c r="L462">
        <f>IF(tblPO[[#This Row],[Actual_Delivery_Date]]&gt;tblPO[[#This Row],[Expected_Delivery_Date]],1,0)</f>
        <v>0</v>
      </c>
      <c r="M462">
        <f>tblPO[[#This Row],[Actual_Delivery_Date]]-tblPO[[#This Row],[PO_Date]]</f>
        <v>9</v>
      </c>
    </row>
    <row r="463" spans="1:13" x14ac:dyDescent="0.3">
      <c r="A463" t="s">
        <v>1795</v>
      </c>
      <c r="B463" s="18">
        <v>45410</v>
      </c>
      <c r="C463" t="s">
        <v>54</v>
      </c>
      <c r="D463" t="s">
        <v>193</v>
      </c>
      <c r="E463">
        <v>294</v>
      </c>
      <c r="F463">
        <v>26.23</v>
      </c>
      <c r="G463" s="18">
        <v>45418</v>
      </c>
      <c r="H463" s="18">
        <v>45416</v>
      </c>
      <c r="I463">
        <v>294</v>
      </c>
      <c r="J463">
        <v>7711.62</v>
      </c>
      <c r="K463">
        <f>IF(tblPO[[#This Row],[Actual_Delivery_Date]]&lt;=tblPO[[#This Row],[Expected_Delivery_Date]],1,0)</f>
        <v>1</v>
      </c>
      <c r="L463">
        <f>IF(tblPO[[#This Row],[Actual_Delivery_Date]]&gt;tblPO[[#This Row],[Expected_Delivery_Date]],1,0)</f>
        <v>0</v>
      </c>
      <c r="M463">
        <f>tblPO[[#This Row],[Actual_Delivery_Date]]-tblPO[[#This Row],[PO_Date]]</f>
        <v>6</v>
      </c>
    </row>
    <row r="464" spans="1:13" x14ac:dyDescent="0.3">
      <c r="A464" t="s">
        <v>1794</v>
      </c>
      <c r="B464" s="18">
        <v>45404</v>
      </c>
      <c r="C464" t="s">
        <v>48</v>
      </c>
      <c r="D464" t="s">
        <v>172</v>
      </c>
      <c r="E464">
        <v>629</v>
      </c>
      <c r="F464">
        <v>41.82</v>
      </c>
      <c r="G464" s="18">
        <v>45420</v>
      </c>
      <c r="H464" s="18">
        <v>45420</v>
      </c>
      <c r="I464">
        <v>629</v>
      </c>
      <c r="J464">
        <v>26304.78</v>
      </c>
      <c r="K464">
        <f>IF(tblPO[[#This Row],[Actual_Delivery_Date]]&lt;=tblPO[[#This Row],[Expected_Delivery_Date]],1,0)</f>
        <v>1</v>
      </c>
      <c r="L464">
        <f>IF(tblPO[[#This Row],[Actual_Delivery_Date]]&gt;tblPO[[#This Row],[Expected_Delivery_Date]],1,0)</f>
        <v>0</v>
      </c>
      <c r="M464">
        <f>tblPO[[#This Row],[Actual_Delivery_Date]]-tblPO[[#This Row],[PO_Date]]</f>
        <v>16</v>
      </c>
    </row>
    <row r="465" spans="1:13" x14ac:dyDescent="0.3">
      <c r="A465" t="s">
        <v>1793</v>
      </c>
      <c r="B465" s="18">
        <v>45390</v>
      </c>
      <c r="C465" t="s">
        <v>47</v>
      </c>
      <c r="D465" t="s">
        <v>249</v>
      </c>
      <c r="E465">
        <v>549</v>
      </c>
      <c r="F465">
        <v>56.3</v>
      </c>
      <c r="G465" s="18">
        <v>45395</v>
      </c>
      <c r="H465" s="18">
        <v>45393</v>
      </c>
      <c r="I465">
        <v>495</v>
      </c>
      <c r="J465">
        <v>30908.7</v>
      </c>
      <c r="K465">
        <f>IF(tblPO[[#This Row],[Actual_Delivery_Date]]&lt;=tblPO[[#This Row],[Expected_Delivery_Date]],1,0)</f>
        <v>1</v>
      </c>
      <c r="L465">
        <f>IF(tblPO[[#This Row],[Actual_Delivery_Date]]&gt;tblPO[[#This Row],[Expected_Delivery_Date]],1,0)</f>
        <v>0</v>
      </c>
      <c r="M465">
        <f>tblPO[[#This Row],[Actual_Delivery_Date]]-tblPO[[#This Row],[PO_Date]]</f>
        <v>3</v>
      </c>
    </row>
    <row r="466" spans="1:13" x14ac:dyDescent="0.3">
      <c r="A466" t="s">
        <v>1792</v>
      </c>
      <c r="B466" s="18">
        <v>45398</v>
      </c>
      <c r="C466" t="s">
        <v>69</v>
      </c>
      <c r="D466" t="s">
        <v>113</v>
      </c>
      <c r="E466">
        <v>109</v>
      </c>
      <c r="F466">
        <v>422.43</v>
      </c>
      <c r="G466" s="18">
        <v>45415</v>
      </c>
      <c r="H466" s="18">
        <v>45421</v>
      </c>
      <c r="I466">
        <v>109</v>
      </c>
      <c r="J466">
        <v>46044.87</v>
      </c>
      <c r="K466">
        <f>IF(tblPO[[#This Row],[Actual_Delivery_Date]]&lt;=tblPO[[#This Row],[Expected_Delivery_Date]],1,0)</f>
        <v>0</v>
      </c>
      <c r="L466">
        <f>IF(tblPO[[#This Row],[Actual_Delivery_Date]]&gt;tblPO[[#This Row],[Expected_Delivery_Date]],1,0)</f>
        <v>1</v>
      </c>
      <c r="M466">
        <f>tblPO[[#This Row],[Actual_Delivery_Date]]-tblPO[[#This Row],[PO_Date]]</f>
        <v>23</v>
      </c>
    </row>
    <row r="467" spans="1:13" x14ac:dyDescent="0.3">
      <c r="A467" t="s">
        <v>1791</v>
      </c>
      <c r="B467" s="18">
        <v>45403</v>
      </c>
      <c r="C467" t="s">
        <v>50</v>
      </c>
      <c r="D467" t="s">
        <v>132</v>
      </c>
      <c r="E467">
        <v>18</v>
      </c>
      <c r="F467">
        <v>2765.34</v>
      </c>
      <c r="G467" s="18">
        <v>45414</v>
      </c>
      <c r="H467" s="18">
        <v>45413</v>
      </c>
      <c r="I467">
        <v>18</v>
      </c>
      <c r="J467">
        <v>49776.12</v>
      </c>
      <c r="K467">
        <f>IF(tblPO[[#This Row],[Actual_Delivery_Date]]&lt;=tblPO[[#This Row],[Expected_Delivery_Date]],1,0)</f>
        <v>1</v>
      </c>
      <c r="L467">
        <f>IF(tblPO[[#This Row],[Actual_Delivery_Date]]&gt;tblPO[[#This Row],[Expected_Delivery_Date]],1,0)</f>
        <v>0</v>
      </c>
      <c r="M467">
        <f>tblPO[[#This Row],[Actual_Delivery_Date]]-tblPO[[#This Row],[PO_Date]]</f>
        <v>10</v>
      </c>
    </row>
    <row r="468" spans="1:13" x14ac:dyDescent="0.3">
      <c r="A468" t="s">
        <v>1790</v>
      </c>
      <c r="B468" s="18">
        <v>45395</v>
      </c>
      <c r="C468" t="s">
        <v>42</v>
      </c>
      <c r="D468" t="s">
        <v>92</v>
      </c>
      <c r="E468">
        <v>22</v>
      </c>
      <c r="F468">
        <v>4515.04</v>
      </c>
      <c r="G468" s="18">
        <v>45418</v>
      </c>
      <c r="H468" s="18">
        <v>45415</v>
      </c>
      <c r="I468">
        <v>22</v>
      </c>
      <c r="J468">
        <v>99330.880000000005</v>
      </c>
      <c r="K468">
        <f>IF(tblPO[[#This Row],[Actual_Delivery_Date]]&lt;=tblPO[[#This Row],[Expected_Delivery_Date]],1,0)</f>
        <v>1</v>
      </c>
      <c r="L468">
        <f>IF(tblPO[[#This Row],[Actual_Delivery_Date]]&gt;tblPO[[#This Row],[Expected_Delivery_Date]],1,0)</f>
        <v>0</v>
      </c>
      <c r="M468">
        <f>tblPO[[#This Row],[Actual_Delivery_Date]]-tblPO[[#This Row],[PO_Date]]</f>
        <v>20</v>
      </c>
    </row>
    <row r="469" spans="1:13" x14ac:dyDescent="0.3">
      <c r="A469" t="s">
        <v>1789</v>
      </c>
      <c r="B469" s="18">
        <v>45399</v>
      </c>
      <c r="C469" t="s">
        <v>46</v>
      </c>
      <c r="D469" t="s">
        <v>98</v>
      </c>
      <c r="E469">
        <v>9</v>
      </c>
      <c r="F469">
        <v>10637.59</v>
      </c>
      <c r="G469" s="18">
        <v>45423</v>
      </c>
      <c r="H469" s="18">
        <v>45422</v>
      </c>
      <c r="I469">
        <v>9</v>
      </c>
      <c r="J469">
        <v>95738.31</v>
      </c>
      <c r="K469">
        <f>IF(tblPO[[#This Row],[Actual_Delivery_Date]]&lt;=tblPO[[#This Row],[Expected_Delivery_Date]],1,0)</f>
        <v>1</v>
      </c>
      <c r="L469">
        <f>IF(tblPO[[#This Row],[Actual_Delivery_Date]]&gt;tblPO[[#This Row],[Expected_Delivery_Date]],1,0)</f>
        <v>0</v>
      </c>
      <c r="M469">
        <f>tblPO[[#This Row],[Actual_Delivery_Date]]-tblPO[[#This Row],[PO_Date]]</f>
        <v>23</v>
      </c>
    </row>
    <row r="470" spans="1:13" x14ac:dyDescent="0.3">
      <c r="A470" t="s">
        <v>1788</v>
      </c>
      <c r="B470" s="18">
        <v>45399</v>
      </c>
      <c r="C470" t="s">
        <v>52</v>
      </c>
      <c r="D470" t="s">
        <v>221</v>
      </c>
      <c r="E470">
        <v>2</v>
      </c>
      <c r="F470">
        <v>1950.09</v>
      </c>
      <c r="G470" s="18">
        <v>45406</v>
      </c>
      <c r="H470" s="18">
        <v>45404</v>
      </c>
      <c r="I470">
        <v>1</v>
      </c>
      <c r="J470">
        <v>3900.18</v>
      </c>
      <c r="K470">
        <f>IF(tblPO[[#This Row],[Actual_Delivery_Date]]&lt;=tblPO[[#This Row],[Expected_Delivery_Date]],1,0)</f>
        <v>1</v>
      </c>
      <c r="L470">
        <f>IF(tblPO[[#This Row],[Actual_Delivery_Date]]&gt;tblPO[[#This Row],[Expected_Delivery_Date]],1,0)</f>
        <v>0</v>
      </c>
      <c r="M470">
        <f>tblPO[[#This Row],[Actual_Delivery_Date]]-tblPO[[#This Row],[PO_Date]]</f>
        <v>5</v>
      </c>
    </row>
    <row r="471" spans="1:13" x14ac:dyDescent="0.3">
      <c r="A471" t="s">
        <v>1787</v>
      </c>
      <c r="B471" s="18">
        <v>45394</v>
      </c>
      <c r="C471" t="s">
        <v>39</v>
      </c>
      <c r="D471" t="s">
        <v>170</v>
      </c>
      <c r="E471">
        <v>211</v>
      </c>
      <c r="F471">
        <v>89.46</v>
      </c>
      <c r="G471" s="18">
        <v>45409</v>
      </c>
      <c r="H471" s="18">
        <v>45409</v>
      </c>
      <c r="I471">
        <v>211</v>
      </c>
      <c r="J471">
        <v>18876.060000000001</v>
      </c>
      <c r="K471">
        <f>IF(tblPO[[#This Row],[Actual_Delivery_Date]]&lt;=tblPO[[#This Row],[Expected_Delivery_Date]],1,0)</f>
        <v>1</v>
      </c>
      <c r="L471">
        <f>IF(tblPO[[#This Row],[Actual_Delivery_Date]]&gt;tblPO[[#This Row],[Expected_Delivery_Date]],1,0)</f>
        <v>0</v>
      </c>
      <c r="M471">
        <f>tblPO[[#This Row],[Actual_Delivery_Date]]-tblPO[[#This Row],[PO_Date]]</f>
        <v>15</v>
      </c>
    </row>
    <row r="472" spans="1:13" x14ac:dyDescent="0.3">
      <c r="A472" t="s">
        <v>1786</v>
      </c>
      <c r="B472" s="18">
        <v>45398</v>
      </c>
      <c r="C472" t="s">
        <v>50</v>
      </c>
      <c r="D472" t="s">
        <v>119</v>
      </c>
      <c r="E472">
        <v>23</v>
      </c>
      <c r="F472">
        <v>8401.81</v>
      </c>
      <c r="G472" s="18">
        <v>45416</v>
      </c>
      <c r="H472" s="18">
        <v>45414</v>
      </c>
      <c r="I472">
        <v>23</v>
      </c>
      <c r="J472">
        <v>193241.63</v>
      </c>
      <c r="K472">
        <f>IF(tblPO[[#This Row],[Actual_Delivery_Date]]&lt;=tblPO[[#This Row],[Expected_Delivery_Date]],1,0)</f>
        <v>1</v>
      </c>
      <c r="L472">
        <f>IF(tblPO[[#This Row],[Actual_Delivery_Date]]&gt;tblPO[[#This Row],[Expected_Delivery_Date]],1,0)</f>
        <v>0</v>
      </c>
      <c r="M472">
        <f>tblPO[[#This Row],[Actual_Delivery_Date]]-tblPO[[#This Row],[PO_Date]]</f>
        <v>16</v>
      </c>
    </row>
    <row r="473" spans="1:13" x14ac:dyDescent="0.3">
      <c r="A473" t="s">
        <v>1785</v>
      </c>
      <c r="B473" s="18">
        <v>45387</v>
      </c>
      <c r="C473" t="s">
        <v>41</v>
      </c>
      <c r="D473" t="s">
        <v>197</v>
      </c>
      <c r="E473">
        <v>21</v>
      </c>
      <c r="F473">
        <v>247.76</v>
      </c>
      <c r="G473" s="18">
        <v>45395</v>
      </c>
      <c r="H473" s="18">
        <v>45392</v>
      </c>
      <c r="I473">
        <v>21</v>
      </c>
      <c r="J473">
        <v>5202.96</v>
      </c>
      <c r="K473">
        <f>IF(tblPO[[#This Row],[Actual_Delivery_Date]]&lt;=tblPO[[#This Row],[Expected_Delivery_Date]],1,0)</f>
        <v>1</v>
      </c>
      <c r="L473">
        <f>IF(tblPO[[#This Row],[Actual_Delivery_Date]]&gt;tblPO[[#This Row],[Expected_Delivery_Date]],1,0)</f>
        <v>0</v>
      </c>
      <c r="M473">
        <f>tblPO[[#This Row],[Actual_Delivery_Date]]-tblPO[[#This Row],[PO_Date]]</f>
        <v>5</v>
      </c>
    </row>
    <row r="474" spans="1:13" x14ac:dyDescent="0.3">
      <c r="A474" t="s">
        <v>1784</v>
      </c>
      <c r="B474" s="18">
        <v>45412</v>
      </c>
      <c r="C474" t="s">
        <v>42</v>
      </c>
      <c r="D474" t="s">
        <v>106</v>
      </c>
      <c r="E474">
        <v>5</v>
      </c>
      <c r="F474">
        <v>21768.15</v>
      </c>
      <c r="G474" s="18">
        <v>45429</v>
      </c>
      <c r="H474" s="18">
        <v>45429</v>
      </c>
      <c r="I474">
        <v>5</v>
      </c>
      <c r="J474">
        <v>108840.75</v>
      </c>
      <c r="K474">
        <f>IF(tblPO[[#This Row],[Actual_Delivery_Date]]&lt;=tblPO[[#This Row],[Expected_Delivery_Date]],1,0)</f>
        <v>1</v>
      </c>
      <c r="L474">
        <f>IF(tblPO[[#This Row],[Actual_Delivery_Date]]&gt;tblPO[[#This Row],[Expected_Delivery_Date]],1,0)</f>
        <v>0</v>
      </c>
      <c r="M474">
        <f>tblPO[[#This Row],[Actual_Delivery_Date]]-tblPO[[#This Row],[PO_Date]]</f>
        <v>17</v>
      </c>
    </row>
    <row r="475" spans="1:13" x14ac:dyDescent="0.3">
      <c r="A475" t="s">
        <v>1783</v>
      </c>
      <c r="B475" s="18">
        <v>45406</v>
      </c>
      <c r="C475" t="s">
        <v>51</v>
      </c>
      <c r="D475" t="s">
        <v>158</v>
      </c>
      <c r="E475">
        <v>194</v>
      </c>
      <c r="F475">
        <v>94.53</v>
      </c>
      <c r="G475" s="18">
        <v>45418</v>
      </c>
      <c r="H475" s="18">
        <v>45427</v>
      </c>
      <c r="I475">
        <v>194</v>
      </c>
      <c r="J475">
        <v>18338.82</v>
      </c>
      <c r="K475">
        <f>IF(tblPO[[#This Row],[Actual_Delivery_Date]]&lt;=tblPO[[#This Row],[Expected_Delivery_Date]],1,0)</f>
        <v>0</v>
      </c>
      <c r="L475">
        <f>IF(tblPO[[#This Row],[Actual_Delivery_Date]]&gt;tblPO[[#This Row],[Expected_Delivery_Date]],1,0)</f>
        <v>1</v>
      </c>
      <c r="M475">
        <f>tblPO[[#This Row],[Actual_Delivery_Date]]-tblPO[[#This Row],[PO_Date]]</f>
        <v>21</v>
      </c>
    </row>
    <row r="476" spans="1:13" x14ac:dyDescent="0.3">
      <c r="A476" t="s">
        <v>1782</v>
      </c>
      <c r="B476" s="18">
        <v>45390</v>
      </c>
      <c r="C476" t="s">
        <v>43</v>
      </c>
      <c r="D476" t="s">
        <v>162</v>
      </c>
      <c r="E476">
        <v>224</v>
      </c>
      <c r="F476">
        <v>35.200000000000003</v>
      </c>
      <c r="G476" s="18">
        <v>45406</v>
      </c>
      <c r="H476" s="18">
        <v>45404</v>
      </c>
      <c r="I476">
        <v>224</v>
      </c>
      <c r="J476">
        <v>7884.8</v>
      </c>
      <c r="K476">
        <f>IF(tblPO[[#This Row],[Actual_Delivery_Date]]&lt;=tblPO[[#This Row],[Expected_Delivery_Date]],1,0)</f>
        <v>1</v>
      </c>
      <c r="L476">
        <f>IF(tblPO[[#This Row],[Actual_Delivery_Date]]&gt;tblPO[[#This Row],[Expected_Delivery_Date]],1,0)</f>
        <v>0</v>
      </c>
      <c r="M476">
        <f>tblPO[[#This Row],[Actual_Delivery_Date]]-tblPO[[#This Row],[PO_Date]]</f>
        <v>14</v>
      </c>
    </row>
    <row r="477" spans="1:13" x14ac:dyDescent="0.3">
      <c r="A477" t="s">
        <v>1781</v>
      </c>
      <c r="B477" s="18">
        <v>45404</v>
      </c>
      <c r="C477" t="s">
        <v>58</v>
      </c>
      <c r="D477" t="s">
        <v>160</v>
      </c>
      <c r="E477">
        <v>791</v>
      </c>
      <c r="F477">
        <v>111.85</v>
      </c>
      <c r="G477" s="18">
        <v>45426</v>
      </c>
      <c r="H477" s="18">
        <v>45431</v>
      </c>
      <c r="I477">
        <v>791</v>
      </c>
      <c r="J477">
        <v>88473.35</v>
      </c>
      <c r="K477">
        <f>IF(tblPO[[#This Row],[Actual_Delivery_Date]]&lt;=tblPO[[#This Row],[Expected_Delivery_Date]],1,0)</f>
        <v>0</v>
      </c>
      <c r="L477">
        <f>IF(tblPO[[#This Row],[Actual_Delivery_Date]]&gt;tblPO[[#This Row],[Expected_Delivery_Date]],1,0)</f>
        <v>1</v>
      </c>
      <c r="M477">
        <f>tblPO[[#This Row],[Actual_Delivery_Date]]-tblPO[[#This Row],[PO_Date]]</f>
        <v>27</v>
      </c>
    </row>
    <row r="478" spans="1:13" x14ac:dyDescent="0.3">
      <c r="A478" t="s">
        <v>1780</v>
      </c>
      <c r="B478" s="18">
        <v>45386</v>
      </c>
      <c r="C478" t="s">
        <v>47</v>
      </c>
      <c r="D478" t="s">
        <v>237</v>
      </c>
      <c r="E478">
        <v>185</v>
      </c>
      <c r="F478">
        <v>69.709999999999994</v>
      </c>
      <c r="G478" s="18">
        <v>45389</v>
      </c>
      <c r="H478" s="18">
        <v>45389</v>
      </c>
      <c r="I478">
        <v>185</v>
      </c>
      <c r="J478">
        <v>12896.35</v>
      </c>
      <c r="K478">
        <f>IF(tblPO[[#This Row],[Actual_Delivery_Date]]&lt;=tblPO[[#This Row],[Expected_Delivery_Date]],1,0)</f>
        <v>1</v>
      </c>
      <c r="L478">
        <f>IF(tblPO[[#This Row],[Actual_Delivery_Date]]&gt;tblPO[[#This Row],[Expected_Delivery_Date]],1,0)</f>
        <v>0</v>
      </c>
      <c r="M478">
        <f>tblPO[[#This Row],[Actual_Delivery_Date]]-tblPO[[#This Row],[PO_Date]]</f>
        <v>3</v>
      </c>
    </row>
    <row r="479" spans="1:13" x14ac:dyDescent="0.3">
      <c r="A479" t="s">
        <v>1779</v>
      </c>
      <c r="B479" s="18">
        <v>45411</v>
      </c>
      <c r="C479" t="s">
        <v>70</v>
      </c>
      <c r="D479" t="s">
        <v>190</v>
      </c>
      <c r="E479">
        <v>131</v>
      </c>
      <c r="F479">
        <v>103.35</v>
      </c>
      <c r="G479" s="18">
        <v>45415</v>
      </c>
      <c r="H479" s="18">
        <v>45412</v>
      </c>
      <c r="I479">
        <v>131</v>
      </c>
      <c r="J479">
        <v>13538.85</v>
      </c>
      <c r="K479">
        <f>IF(tblPO[[#This Row],[Actual_Delivery_Date]]&lt;=tblPO[[#This Row],[Expected_Delivery_Date]],1,0)</f>
        <v>1</v>
      </c>
      <c r="L479">
        <f>IF(tblPO[[#This Row],[Actual_Delivery_Date]]&gt;tblPO[[#This Row],[Expected_Delivery_Date]],1,0)</f>
        <v>0</v>
      </c>
      <c r="M479">
        <f>tblPO[[#This Row],[Actual_Delivery_Date]]-tblPO[[#This Row],[PO_Date]]</f>
        <v>1</v>
      </c>
    </row>
    <row r="480" spans="1:13" x14ac:dyDescent="0.3">
      <c r="A480" t="s">
        <v>1778</v>
      </c>
      <c r="B480" s="18">
        <v>45409</v>
      </c>
      <c r="C480" t="s">
        <v>38</v>
      </c>
      <c r="D480" t="s">
        <v>243</v>
      </c>
      <c r="E480">
        <v>148</v>
      </c>
      <c r="F480">
        <v>185.79</v>
      </c>
      <c r="G480" s="18">
        <v>45412</v>
      </c>
      <c r="H480" s="18">
        <v>45412</v>
      </c>
      <c r="I480">
        <v>148</v>
      </c>
      <c r="J480">
        <v>27496.92</v>
      </c>
      <c r="K480">
        <f>IF(tblPO[[#This Row],[Actual_Delivery_Date]]&lt;=tblPO[[#This Row],[Expected_Delivery_Date]],1,0)</f>
        <v>1</v>
      </c>
      <c r="L480">
        <f>IF(tblPO[[#This Row],[Actual_Delivery_Date]]&gt;tblPO[[#This Row],[Expected_Delivery_Date]],1,0)</f>
        <v>0</v>
      </c>
      <c r="M480">
        <f>tblPO[[#This Row],[Actual_Delivery_Date]]-tblPO[[#This Row],[PO_Date]]</f>
        <v>3</v>
      </c>
    </row>
    <row r="481" spans="1:13" x14ac:dyDescent="0.3">
      <c r="A481" t="s">
        <v>1777</v>
      </c>
      <c r="B481" s="18">
        <v>45399</v>
      </c>
      <c r="C481" t="s">
        <v>50</v>
      </c>
      <c r="D481" t="s">
        <v>132</v>
      </c>
      <c r="E481">
        <v>24</v>
      </c>
      <c r="F481">
        <v>2941.64</v>
      </c>
      <c r="G481" s="18">
        <v>45415</v>
      </c>
      <c r="H481" s="18">
        <v>45415</v>
      </c>
      <c r="I481">
        <v>24</v>
      </c>
      <c r="J481">
        <v>70599.360000000001</v>
      </c>
      <c r="K481">
        <f>IF(tblPO[[#This Row],[Actual_Delivery_Date]]&lt;=tblPO[[#This Row],[Expected_Delivery_Date]],1,0)</f>
        <v>1</v>
      </c>
      <c r="L481">
        <f>IF(tblPO[[#This Row],[Actual_Delivery_Date]]&gt;tblPO[[#This Row],[Expected_Delivery_Date]],1,0)</f>
        <v>0</v>
      </c>
      <c r="M481">
        <f>tblPO[[#This Row],[Actual_Delivery_Date]]-tblPO[[#This Row],[PO_Date]]</f>
        <v>16</v>
      </c>
    </row>
    <row r="482" spans="1:13" x14ac:dyDescent="0.3">
      <c r="A482" t="s">
        <v>1776</v>
      </c>
      <c r="B482" s="18">
        <v>45412</v>
      </c>
      <c r="C482" t="s">
        <v>39</v>
      </c>
      <c r="D482" t="s">
        <v>164</v>
      </c>
      <c r="E482">
        <v>199</v>
      </c>
      <c r="F482">
        <v>145.74</v>
      </c>
      <c r="G482" s="18">
        <v>45442</v>
      </c>
      <c r="H482" s="18">
        <v>45440</v>
      </c>
      <c r="I482">
        <v>199</v>
      </c>
      <c r="J482">
        <v>29002.26</v>
      </c>
      <c r="K482">
        <f>IF(tblPO[[#This Row],[Actual_Delivery_Date]]&lt;=tblPO[[#This Row],[Expected_Delivery_Date]],1,0)</f>
        <v>1</v>
      </c>
      <c r="L482">
        <f>IF(tblPO[[#This Row],[Actual_Delivery_Date]]&gt;tblPO[[#This Row],[Expected_Delivery_Date]],1,0)</f>
        <v>0</v>
      </c>
      <c r="M482">
        <f>tblPO[[#This Row],[Actual_Delivery_Date]]-tblPO[[#This Row],[PO_Date]]</f>
        <v>28</v>
      </c>
    </row>
    <row r="483" spans="1:13" x14ac:dyDescent="0.3">
      <c r="A483" t="s">
        <v>1775</v>
      </c>
      <c r="B483" s="18">
        <v>45392</v>
      </c>
      <c r="C483" t="s">
        <v>58</v>
      </c>
      <c r="D483" t="s">
        <v>152</v>
      </c>
      <c r="E483">
        <v>135</v>
      </c>
      <c r="F483">
        <v>103.34</v>
      </c>
      <c r="G483" s="18">
        <v>45421</v>
      </c>
      <c r="H483" s="18">
        <v>45419</v>
      </c>
      <c r="I483">
        <v>129</v>
      </c>
      <c r="J483">
        <v>13950.9</v>
      </c>
      <c r="K483">
        <f>IF(tblPO[[#This Row],[Actual_Delivery_Date]]&lt;=tblPO[[#This Row],[Expected_Delivery_Date]],1,0)</f>
        <v>1</v>
      </c>
      <c r="L483">
        <f>IF(tblPO[[#This Row],[Actual_Delivery_Date]]&gt;tblPO[[#This Row],[Expected_Delivery_Date]],1,0)</f>
        <v>0</v>
      </c>
      <c r="M483">
        <f>tblPO[[#This Row],[Actual_Delivery_Date]]-tblPO[[#This Row],[PO_Date]]</f>
        <v>27</v>
      </c>
    </row>
    <row r="484" spans="1:13" x14ac:dyDescent="0.3">
      <c r="A484" t="s">
        <v>1774</v>
      </c>
      <c r="B484" s="18">
        <v>45399</v>
      </c>
      <c r="C484" t="s">
        <v>58</v>
      </c>
      <c r="D484" t="s">
        <v>176</v>
      </c>
      <c r="E484">
        <v>170</v>
      </c>
      <c r="F484">
        <v>50.71</v>
      </c>
      <c r="G484" s="18">
        <v>45411</v>
      </c>
      <c r="H484" s="18">
        <v>45409</v>
      </c>
      <c r="I484">
        <v>170</v>
      </c>
      <c r="J484">
        <v>8620.7000000000007</v>
      </c>
      <c r="K484">
        <f>IF(tblPO[[#This Row],[Actual_Delivery_Date]]&lt;=tblPO[[#This Row],[Expected_Delivery_Date]],1,0)</f>
        <v>1</v>
      </c>
      <c r="L484">
        <f>IF(tblPO[[#This Row],[Actual_Delivery_Date]]&gt;tblPO[[#This Row],[Expected_Delivery_Date]],1,0)</f>
        <v>0</v>
      </c>
      <c r="M484">
        <f>tblPO[[#This Row],[Actual_Delivery_Date]]-tblPO[[#This Row],[PO_Date]]</f>
        <v>10</v>
      </c>
    </row>
    <row r="485" spans="1:13" x14ac:dyDescent="0.3">
      <c r="A485" t="s">
        <v>1773</v>
      </c>
      <c r="B485" s="18">
        <v>45387</v>
      </c>
      <c r="C485" t="s">
        <v>60</v>
      </c>
      <c r="D485" t="s">
        <v>132</v>
      </c>
      <c r="E485">
        <v>5</v>
      </c>
      <c r="F485">
        <v>2001.3</v>
      </c>
      <c r="G485" s="18">
        <v>45403</v>
      </c>
      <c r="H485" s="18">
        <v>45402</v>
      </c>
      <c r="I485">
        <v>5</v>
      </c>
      <c r="J485">
        <v>10006.5</v>
      </c>
      <c r="K485">
        <f>IF(tblPO[[#This Row],[Actual_Delivery_Date]]&lt;=tblPO[[#This Row],[Expected_Delivery_Date]],1,0)</f>
        <v>1</v>
      </c>
      <c r="L485">
        <f>IF(tblPO[[#This Row],[Actual_Delivery_Date]]&gt;tblPO[[#This Row],[Expected_Delivery_Date]],1,0)</f>
        <v>0</v>
      </c>
      <c r="M485">
        <f>tblPO[[#This Row],[Actual_Delivery_Date]]-tblPO[[#This Row],[PO_Date]]</f>
        <v>15</v>
      </c>
    </row>
    <row r="486" spans="1:13" x14ac:dyDescent="0.3">
      <c r="A486" t="s">
        <v>1772</v>
      </c>
      <c r="B486" s="18">
        <v>45402</v>
      </c>
      <c r="C486" t="s">
        <v>38</v>
      </c>
      <c r="D486" t="s">
        <v>217</v>
      </c>
      <c r="E486">
        <v>424</v>
      </c>
      <c r="F486">
        <v>27.83</v>
      </c>
      <c r="G486" s="18">
        <v>45413</v>
      </c>
      <c r="H486" s="18">
        <v>45425</v>
      </c>
      <c r="I486">
        <v>424</v>
      </c>
      <c r="J486">
        <v>11799.92</v>
      </c>
      <c r="K486">
        <f>IF(tblPO[[#This Row],[Actual_Delivery_Date]]&lt;=tblPO[[#This Row],[Expected_Delivery_Date]],1,0)</f>
        <v>0</v>
      </c>
      <c r="L486">
        <f>IF(tblPO[[#This Row],[Actual_Delivery_Date]]&gt;tblPO[[#This Row],[Expected_Delivery_Date]],1,0)</f>
        <v>1</v>
      </c>
      <c r="M486">
        <f>tblPO[[#This Row],[Actual_Delivery_Date]]-tblPO[[#This Row],[PO_Date]]</f>
        <v>23</v>
      </c>
    </row>
    <row r="487" spans="1:13" x14ac:dyDescent="0.3">
      <c r="A487" t="s">
        <v>1771</v>
      </c>
      <c r="B487" s="18">
        <v>45398</v>
      </c>
      <c r="C487" t="s">
        <v>45</v>
      </c>
      <c r="D487" t="s">
        <v>225</v>
      </c>
      <c r="E487">
        <v>152</v>
      </c>
      <c r="F487">
        <v>209.87</v>
      </c>
      <c r="G487" s="18">
        <v>45406</v>
      </c>
      <c r="H487" s="18">
        <v>45406</v>
      </c>
      <c r="I487">
        <v>152</v>
      </c>
      <c r="J487">
        <v>31900.240000000002</v>
      </c>
      <c r="K487">
        <f>IF(tblPO[[#This Row],[Actual_Delivery_Date]]&lt;=tblPO[[#This Row],[Expected_Delivery_Date]],1,0)</f>
        <v>1</v>
      </c>
      <c r="L487">
        <f>IF(tblPO[[#This Row],[Actual_Delivery_Date]]&gt;tblPO[[#This Row],[Expected_Delivery_Date]],1,0)</f>
        <v>0</v>
      </c>
      <c r="M487">
        <f>tblPO[[#This Row],[Actual_Delivery_Date]]-tblPO[[#This Row],[PO_Date]]</f>
        <v>8</v>
      </c>
    </row>
    <row r="488" spans="1:13" x14ac:dyDescent="0.3">
      <c r="A488" t="s">
        <v>1770</v>
      </c>
      <c r="B488" s="18">
        <v>45395</v>
      </c>
      <c r="C488" t="s">
        <v>41</v>
      </c>
      <c r="D488" t="s">
        <v>201</v>
      </c>
      <c r="E488">
        <v>772</v>
      </c>
      <c r="F488">
        <v>41.66</v>
      </c>
      <c r="G488" s="18">
        <v>45402</v>
      </c>
      <c r="H488" s="18">
        <v>45399</v>
      </c>
      <c r="I488">
        <v>772</v>
      </c>
      <c r="J488">
        <v>32161.52</v>
      </c>
      <c r="K488">
        <f>IF(tblPO[[#This Row],[Actual_Delivery_Date]]&lt;=tblPO[[#This Row],[Expected_Delivery_Date]],1,0)</f>
        <v>1</v>
      </c>
      <c r="L488">
        <f>IF(tblPO[[#This Row],[Actual_Delivery_Date]]&gt;tblPO[[#This Row],[Expected_Delivery_Date]],1,0)</f>
        <v>0</v>
      </c>
      <c r="M488">
        <f>tblPO[[#This Row],[Actual_Delivery_Date]]-tblPO[[#This Row],[PO_Date]]</f>
        <v>4</v>
      </c>
    </row>
    <row r="489" spans="1:13" x14ac:dyDescent="0.3">
      <c r="A489" t="s">
        <v>1769</v>
      </c>
      <c r="B489" s="18">
        <v>45386</v>
      </c>
      <c r="C489" t="s">
        <v>68</v>
      </c>
      <c r="D489" t="s">
        <v>162</v>
      </c>
      <c r="E489">
        <v>215</v>
      </c>
      <c r="F489">
        <v>30.31</v>
      </c>
      <c r="G489" s="18">
        <v>45395</v>
      </c>
      <c r="H489" s="18">
        <v>45394</v>
      </c>
      <c r="I489">
        <v>215</v>
      </c>
      <c r="J489">
        <v>6516.65</v>
      </c>
      <c r="K489">
        <f>IF(tblPO[[#This Row],[Actual_Delivery_Date]]&lt;=tblPO[[#This Row],[Expected_Delivery_Date]],1,0)</f>
        <v>1</v>
      </c>
      <c r="L489">
        <f>IF(tblPO[[#This Row],[Actual_Delivery_Date]]&gt;tblPO[[#This Row],[Expected_Delivery_Date]],1,0)</f>
        <v>0</v>
      </c>
      <c r="M489">
        <f>tblPO[[#This Row],[Actual_Delivery_Date]]-tblPO[[#This Row],[PO_Date]]</f>
        <v>8</v>
      </c>
    </row>
    <row r="490" spans="1:13" x14ac:dyDescent="0.3">
      <c r="A490" t="s">
        <v>1768</v>
      </c>
      <c r="B490" s="18">
        <v>45384</v>
      </c>
      <c r="C490" t="s">
        <v>38</v>
      </c>
      <c r="D490" t="s">
        <v>212</v>
      </c>
      <c r="E490">
        <v>190</v>
      </c>
      <c r="F490">
        <v>325.04000000000002</v>
      </c>
      <c r="G490" s="18">
        <v>45392</v>
      </c>
      <c r="H490" s="18">
        <v>45389</v>
      </c>
      <c r="I490">
        <v>190</v>
      </c>
      <c r="J490">
        <v>61757.599999999999</v>
      </c>
      <c r="K490">
        <f>IF(tblPO[[#This Row],[Actual_Delivery_Date]]&lt;=tblPO[[#This Row],[Expected_Delivery_Date]],1,0)</f>
        <v>1</v>
      </c>
      <c r="L490">
        <f>IF(tblPO[[#This Row],[Actual_Delivery_Date]]&gt;tblPO[[#This Row],[Expected_Delivery_Date]],1,0)</f>
        <v>0</v>
      </c>
      <c r="M490">
        <f>tblPO[[#This Row],[Actual_Delivery_Date]]-tblPO[[#This Row],[PO_Date]]</f>
        <v>5</v>
      </c>
    </row>
    <row r="491" spans="1:13" x14ac:dyDescent="0.3">
      <c r="A491" t="s">
        <v>1767</v>
      </c>
      <c r="B491" s="18">
        <v>45396</v>
      </c>
      <c r="C491" t="s">
        <v>40</v>
      </c>
      <c r="D491" t="s">
        <v>115</v>
      </c>
      <c r="E491">
        <v>21</v>
      </c>
      <c r="F491">
        <v>3264.66</v>
      </c>
      <c r="G491" s="18">
        <v>45401</v>
      </c>
      <c r="H491" s="18">
        <v>45399</v>
      </c>
      <c r="I491">
        <v>21</v>
      </c>
      <c r="J491">
        <v>68557.86</v>
      </c>
      <c r="K491">
        <f>IF(tblPO[[#This Row],[Actual_Delivery_Date]]&lt;=tblPO[[#This Row],[Expected_Delivery_Date]],1,0)</f>
        <v>1</v>
      </c>
      <c r="L491">
        <f>IF(tblPO[[#This Row],[Actual_Delivery_Date]]&gt;tblPO[[#This Row],[Expected_Delivery_Date]],1,0)</f>
        <v>0</v>
      </c>
      <c r="M491">
        <f>tblPO[[#This Row],[Actual_Delivery_Date]]-tblPO[[#This Row],[PO_Date]]</f>
        <v>3</v>
      </c>
    </row>
    <row r="492" spans="1:13" x14ac:dyDescent="0.3">
      <c r="A492" t="s">
        <v>1766</v>
      </c>
      <c r="B492" s="18">
        <v>45412</v>
      </c>
      <c r="C492" t="s">
        <v>50</v>
      </c>
      <c r="D492" t="s">
        <v>123</v>
      </c>
      <c r="E492">
        <v>14</v>
      </c>
      <c r="F492">
        <v>1178.74</v>
      </c>
      <c r="G492" s="18">
        <v>45427</v>
      </c>
      <c r="H492" s="18">
        <v>45426</v>
      </c>
      <c r="I492">
        <v>14</v>
      </c>
      <c r="J492">
        <v>16502.36</v>
      </c>
      <c r="K492">
        <f>IF(tblPO[[#This Row],[Actual_Delivery_Date]]&lt;=tblPO[[#This Row],[Expected_Delivery_Date]],1,0)</f>
        <v>1</v>
      </c>
      <c r="L492">
        <f>IF(tblPO[[#This Row],[Actual_Delivery_Date]]&gt;tblPO[[#This Row],[Expected_Delivery_Date]],1,0)</f>
        <v>0</v>
      </c>
      <c r="M492">
        <f>tblPO[[#This Row],[Actual_Delivery_Date]]-tblPO[[#This Row],[PO_Date]]</f>
        <v>14</v>
      </c>
    </row>
    <row r="493" spans="1:13" x14ac:dyDescent="0.3">
      <c r="A493" t="s">
        <v>1765</v>
      </c>
      <c r="B493" s="18">
        <v>45403</v>
      </c>
      <c r="C493" t="s">
        <v>44</v>
      </c>
      <c r="D493" t="s">
        <v>190</v>
      </c>
      <c r="E493">
        <v>54</v>
      </c>
      <c r="F493">
        <v>94.92</v>
      </c>
      <c r="G493" s="18">
        <v>45430</v>
      </c>
      <c r="H493" s="18">
        <v>45428</v>
      </c>
      <c r="I493">
        <v>54</v>
      </c>
      <c r="J493">
        <v>5125.68</v>
      </c>
      <c r="K493">
        <f>IF(tblPO[[#This Row],[Actual_Delivery_Date]]&lt;=tblPO[[#This Row],[Expected_Delivery_Date]],1,0)</f>
        <v>1</v>
      </c>
      <c r="L493">
        <f>IF(tblPO[[#This Row],[Actual_Delivery_Date]]&gt;tblPO[[#This Row],[Expected_Delivery_Date]],1,0)</f>
        <v>0</v>
      </c>
      <c r="M493">
        <f>tblPO[[#This Row],[Actual_Delivery_Date]]-tblPO[[#This Row],[PO_Date]]</f>
        <v>25</v>
      </c>
    </row>
    <row r="494" spans="1:13" x14ac:dyDescent="0.3">
      <c r="A494" t="s">
        <v>1764</v>
      </c>
      <c r="B494" s="18">
        <v>45389</v>
      </c>
      <c r="C494" t="s">
        <v>41</v>
      </c>
      <c r="D494" t="s">
        <v>179</v>
      </c>
      <c r="E494">
        <v>342</v>
      </c>
      <c r="F494">
        <v>20.73</v>
      </c>
      <c r="G494" s="18">
        <v>45393</v>
      </c>
      <c r="H494" s="18">
        <v>45391</v>
      </c>
      <c r="I494">
        <v>342</v>
      </c>
      <c r="J494">
        <v>7089.66</v>
      </c>
      <c r="K494">
        <f>IF(tblPO[[#This Row],[Actual_Delivery_Date]]&lt;=tblPO[[#This Row],[Expected_Delivery_Date]],1,0)</f>
        <v>1</v>
      </c>
      <c r="L494">
        <f>IF(tblPO[[#This Row],[Actual_Delivery_Date]]&gt;tblPO[[#This Row],[Expected_Delivery_Date]],1,0)</f>
        <v>0</v>
      </c>
      <c r="M494">
        <f>tblPO[[#This Row],[Actual_Delivery_Date]]-tblPO[[#This Row],[PO_Date]]</f>
        <v>2</v>
      </c>
    </row>
    <row r="495" spans="1:13" x14ac:dyDescent="0.3">
      <c r="A495" t="s">
        <v>1763</v>
      </c>
      <c r="B495" s="18">
        <v>45383</v>
      </c>
      <c r="C495" t="s">
        <v>45</v>
      </c>
      <c r="D495" t="s">
        <v>249</v>
      </c>
      <c r="E495">
        <v>720</v>
      </c>
      <c r="F495">
        <v>67.63</v>
      </c>
      <c r="G495" s="18">
        <v>45391</v>
      </c>
      <c r="H495" s="18">
        <v>45390</v>
      </c>
      <c r="I495">
        <v>720</v>
      </c>
      <c r="J495">
        <v>48693.599999999999</v>
      </c>
      <c r="K495">
        <f>IF(tblPO[[#This Row],[Actual_Delivery_Date]]&lt;=tblPO[[#This Row],[Expected_Delivery_Date]],1,0)</f>
        <v>1</v>
      </c>
      <c r="L495">
        <f>IF(tblPO[[#This Row],[Actual_Delivery_Date]]&gt;tblPO[[#This Row],[Expected_Delivery_Date]],1,0)</f>
        <v>0</v>
      </c>
      <c r="M495">
        <f>tblPO[[#This Row],[Actual_Delivery_Date]]-tblPO[[#This Row],[PO_Date]]</f>
        <v>7</v>
      </c>
    </row>
    <row r="496" spans="1:13" x14ac:dyDescent="0.3">
      <c r="A496" t="s">
        <v>1762</v>
      </c>
      <c r="B496" s="18">
        <v>45401</v>
      </c>
      <c r="C496" t="s">
        <v>56</v>
      </c>
      <c r="D496" t="s">
        <v>132</v>
      </c>
      <c r="E496">
        <v>14</v>
      </c>
      <c r="F496">
        <v>2554.1999999999998</v>
      </c>
      <c r="G496" s="18">
        <v>45410</v>
      </c>
      <c r="H496" s="18">
        <v>45407</v>
      </c>
      <c r="I496">
        <v>14</v>
      </c>
      <c r="J496">
        <v>35758.800000000003</v>
      </c>
      <c r="K496">
        <f>IF(tblPO[[#This Row],[Actual_Delivery_Date]]&lt;=tblPO[[#This Row],[Expected_Delivery_Date]],1,0)</f>
        <v>1</v>
      </c>
      <c r="L496">
        <f>IF(tblPO[[#This Row],[Actual_Delivery_Date]]&gt;tblPO[[#This Row],[Expected_Delivery_Date]],1,0)</f>
        <v>0</v>
      </c>
      <c r="M496">
        <f>tblPO[[#This Row],[Actual_Delivery_Date]]-tblPO[[#This Row],[PO_Date]]</f>
        <v>6</v>
      </c>
    </row>
    <row r="497" spans="1:13" x14ac:dyDescent="0.3">
      <c r="A497" t="s">
        <v>1761</v>
      </c>
      <c r="B497" s="18">
        <v>45412</v>
      </c>
      <c r="C497" t="s">
        <v>44</v>
      </c>
      <c r="D497" t="s">
        <v>193</v>
      </c>
      <c r="E497">
        <v>622</v>
      </c>
      <c r="F497">
        <v>28.21</v>
      </c>
      <c r="G497" s="18">
        <v>45442</v>
      </c>
      <c r="H497" s="18">
        <v>45441</v>
      </c>
      <c r="I497">
        <v>622</v>
      </c>
      <c r="J497">
        <v>17546.62</v>
      </c>
      <c r="K497">
        <f>IF(tblPO[[#This Row],[Actual_Delivery_Date]]&lt;=tblPO[[#This Row],[Expected_Delivery_Date]],1,0)</f>
        <v>1</v>
      </c>
      <c r="L497">
        <f>IF(tblPO[[#This Row],[Actual_Delivery_Date]]&gt;tblPO[[#This Row],[Expected_Delivery_Date]],1,0)</f>
        <v>0</v>
      </c>
      <c r="M497">
        <f>tblPO[[#This Row],[Actual_Delivery_Date]]-tblPO[[#This Row],[PO_Date]]</f>
        <v>29</v>
      </c>
    </row>
    <row r="498" spans="1:13" x14ac:dyDescent="0.3">
      <c r="A498" t="s">
        <v>1760</v>
      </c>
      <c r="B498" s="18">
        <v>45401</v>
      </c>
      <c r="C498" t="s">
        <v>59</v>
      </c>
      <c r="D498" t="s">
        <v>104</v>
      </c>
      <c r="E498">
        <v>113</v>
      </c>
      <c r="F498">
        <v>283.97000000000003</v>
      </c>
      <c r="G498" s="18">
        <v>45404</v>
      </c>
      <c r="H498" s="18">
        <v>45404</v>
      </c>
      <c r="I498">
        <v>113</v>
      </c>
      <c r="J498">
        <v>32088.61</v>
      </c>
      <c r="K498">
        <f>IF(tblPO[[#This Row],[Actual_Delivery_Date]]&lt;=tblPO[[#This Row],[Expected_Delivery_Date]],1,0)</f>
        <v>1</v>
      </c>
      <c r="L498">
        <f>IF(tblPO[[#This Row],[Actual_Delivery_Date]]&gt;tblPO[[#This Row],[Expected_Delivery_Date]],1,0)</f>
        <v>0</v>
      </c>
      <c r="M498">
        <f>tblPO[[#This Row],[Actual_Delivery_Date]]-tblPO[[#This Row],[PO_Date]]</f>
        <v>3</v>
      </c>
    </row>
    <row r="499" spans="1:13" x14ac:dyDescent="0.3">
      <c r="A499" t="s">
        <v>1759</v>
      </c>
      <c r="B499" s="18">
        <v>45393</v>
      </c>
      <c r="C499" t="s">
        <v>44</v>
      </c>
      <c r="D499" t="s">
        <v>193</v>
      </c>
      <c r="E499">
        <v>351</v>
      </c>
      <c r="F499">
        <v>27.72</v>
      </c>
      <c r="G499" s="18">
        <v>45408</v>
      </c>
      <c r="H499" s="18">
        <v>45411</v>
      </c>
      <c r="I499">
        <v>351</v>
      </c>
      <c r="J499">
        <v>9729.7199999999993</v>
      </c>
      <c r="K499">
        <f>IF(tblPO[[#This Row],[Actual_Delivery_Date]]&lt;=tblPO[[#This Row],[Expected_Delivery_Date]],1,0)</f>
        <v>0</v>
      </c>
      <c r="L499">
        <f>IF(tblPO[[#This Row],[Actual_Delivery_Date]]&gt;tblPO[[#This Row],[Expected_Delivery_Date]],1,0)</f>
        <v>1</v>
      </c>
      <c r="M499">
        <f>tblPO[[#This Row],[Actual_Delivery_Date]]-tblPO[[#This Row],[PO_Date]]</f>
        <v>18</v>
      </c>
    </row>
    <row r="500" spans="1:13" x14ac:dyDescent="0.3">
      <c r="A500" t="s">
        <v>1758</v>
      </c>
      <c r="B500" s="18">
        <v>45405</v>
      </c>
      <c r="C500" t="s">
        <v>39</v>
      </c>
      <c r="D500" t="s">
        <v>149</v>
      </c>
      <c r="E500">
        <v>306</v>
      </c>
      <c r="F500">
        <v>86.95</v>
      </c>
      <c r="G500" s="18">
        <v>45431</v>
      </c>
      <c r="H500" s="18">
        <v>45436</v>
      </c>
      <c r="I500">
        <v>306</v>
      </c>
      <c r="J500">
        <v>26606.7</v>
      </c>
      <c r="K500">
        <f>IF(tblPO[[#This Row],[Actual_Delivery_Date]]&lt;=tblPO[[#This Row],[Expected_Delivery_Date]],1,0)</f>
        <v>0</v>
      </c>
      <c r="L500">
        <f>IF(tblPO[[#This Row],[Actual_Delivery_Date]]&gt;tblPO[[#This Row],[Expected_Delivery_Date]],1,0)</f>
        <v>1</v>
      </c>
      <c r="M500">
        <f>tblPO[[#This Row],[Actual_Delivery_Date]]-tblPO[[#This Row],[PO_Date]]</f>
        <v>31</v>
      </c>
    </row>
    <row r="501" spans="1:13" x14ac:dyDescent="0.3">
      <c r="A501" t="s">
        <v>1757</v>
      </c>
      <c r="B501" s="18">
        <v>45404</v>
      </c>
      <c r="C501" t="s">
        <v>46</v>
      </c>
      <c r="D501" t="s">
        <v>104</v>
      </c>
      <c r="E501">
        <v>127</v>
      </c>
      <c r="F501">
        <v>484.78</v>
      </c>
      <c r="G501" s="18">
        <v>45430</v>
      </c>
      <c r="H501" s="18">
        <v>45427</v>
      </c>
      <c r="I501">
        <v>127</v>
      </c>
      <c r="J501">
        <v>61567.06</v>
      </c>
      <c r="K501">
        <f>IF(tblPO[[#This Row],[Actual_Delivery_Date]]&lt;=tblPO[[#This Row],[Expected_Delivery_Date]],1,0)</f>
        <v>1</v>
      </c>
      <c r="L501">
        <f>IF(tblPO[[#This Row],[Actual_Delivery_Date]]&gt;tblPO[[#This Row],[Expected_Delivery_Date]],1,0)</f>
        <v>0</v>
      </c>
      <c r="M501">
        <f>tblPO[[#This Row],[Actual_Delivery_Date]]-tblPO[[#This Row],[PO_Date]]</f>
        <v>23</v>
      </c>
    </row>
    <row r="502" spans="1:13" x14ac:dyDescent="0.3">
      <c r="A502" t="s">
        <v>1756</v>
      </c>
      <c r="B502" s="18">
        <v>45408</v>
      </c>
      <c r="C502" t="s">
        <v>50</v>
      </c>
      <c r="D502" t="s">
        <v>134</v>
      </c>
      <c r="E502">
        <v>22</v>
      </c>
      <c r="F502">
        <v>4135.79</v>
      </c>
      <c r="G502" s="18">
        <v>45418</v>
      </c>
      <c r="H502" s="18">
        <v>45416</v>
      </c>
      <c r="I502">
        <v>22</v>
      </c>
      <c r="J502">
        <v>90987.38</v>
      </c>
      <c r="K502">
        <f>IF(tblPO[[#This Row],[Actual_Delivery_Date]]&lt;=tblPO[[#This Row],[Expected_Delivery_Date]],1,0)</f>
        <v>1</v>
      </c>
      <c r="L502">
        <f>IF(tblPO[[#This Row],[Actual_Delivery_Date]]&gt;tblPO[[#This Row],[Expected_Delivery_Date]],1,0)</f>
        <v>0</v>
      </c>
      <c r="M502">
        <f>tblPO[[#This Row],[Actual_Delivery_Date]]-tblPO[[#This Row],[PO_Date]]</f>
        <v>8</v>
      </c>
    </row>
    <row r="503" spans="1:13" x14ac:dyDescent="0.3">
      <c r="A503" t="s">
        <v>1755</v>
      </c>
      <c r="B503" s="18">
        <v>45400</v>
      </c>
      <c r="C503" t="s">
        <v>39</v>
      </c>
      <c r="D503" t="s">
        <v>164</v>
      </c>
      <c r="E503">
        <v>142</v>
      </c>
      <c r="F503">
        <v>152.87</v>
      </c>
      <c r="G503" s="18">
        <v>45412</v>
      </c>
      <c r="H503" s="18">
        <v>45411</v>
      </c>
      <c r="I503">
        <v>142</v>
      </c>
      <c r="J503">
        <v>21707.54</v>
      </c>
      <c r="K503">
        <f>IF(tblPO[[#This Row],[Actual_Delivery_Date]]&lt;=tblPO[[#This Row],[Expected_Delivery_Date]],1,0)</f>
        <v>1</v>
      </c>
      <c r="L503">
        <f>IF(tblPO[[#This Row],[Actual_Delivery_Date]]&gt;tblPO[[#This Row],[Expected_Delivery_Date]],1,0)</f>
        <v>0</v>
      </c>
      <c r="M503">
        <f>tblPO[[#This Row],[Actual_Delivery_Date]]-tblPO[[#This Row],[PO_Date]]</f>
        <v>11</v>
      </c>
    </row>
    <row r="504" spans="1:13" x14ac:dyDescent="0.3">
      <c r="A504" t="s">
        <v>1754</v>
      </c>
      <c r="B504" s="18">
        <v>45385</v>
      </c>
      <c r="C504" t="s">
        <v>44</v>
      </c>
      <c r="D504" t="s">
        <v>207</v>
      </c>
      <c r="E504">
        <v>400</v>
      </c>
      <c r="F504">
        <v>9.76</v>
      </c>
      <c r="G504" s="18">
        <v>45414</v>
      </c>
      <c r="H504" s="18">
        <v>45427</v>
      </c>
      <c r="I504">
        <v>400</v>
      </c>
      <c r="J504">
        <v>3904</v>
      </c>
      <c r="K504">
        <f>IF(tblPO[[#This Row],[Actual_Delivery_Date]]&lt;=tblPO[[#This Row],[Expected_Delivery_Date]],1,0)</f>
        <v>0</v>
      </c>
      <c r="L504">
        <f>IF(tblPO[[#This Row],[Actual_Delivery_Date]]&gt;tblPO[[#This Row],[Expected_Delivery_Date]],1,0)</f>
        <v>1</v>
      </c>
      <c r="M504">
        <f>tblPO[[#This Row],[Actual_Delivery_Date]]-tblPO[[#This Row],[PO_Date]]</f>
        <v>42</v>
      </c>
    </row>
    <row r="505" spans="1:13" x14ac:dyDescent="0.3">
      <c r="A505" t="s">
        <v>1753</v>
      </c>
      <c r="B505" s="18">
        <v>45388</v>
      </c>
      <c r="C505" t="s">
        <v>47</v>
      </c>
      <c r="D505" t="s">
        <v>239</v>
      </c>
      <c r="E505">
        <v>325</v>
      </c>
      <c r="F505">
        <v>78.400000000000006</v>
      </c>
      <c r="G505" s="18">
        <v>45397</v>
      </c>
      <c r="H505" s="18">
        <v>45395</v>
      </c>
      <c r="I505">
        <v>325</v>
      </c>
      <c r="J505">
        <v>25480</v>
      </c>
      <c r="K505">
        <f>IF(tblPO[[#This Row],[Actual_Delivery_Date]]&lt;=tblPO[[#This Row],[Expected_Delivery_Date]],1,0)</f>
        <v>1</v>
      </c>
      <c r="L505">
        <f>IF(tblPO[[#This Row],[Actual_Delivery_Date]]&gt;tblPO[[#This Row],[Expected_Delivery_Date]],1,0)</f>
        <v>0</v>
      </c>
      <c r="M505">
        <f>tblPO[[#This Row],[Actual_Delivery_Date]]-tblPO[[#This Row],[PO_Date]]</f>
        <v>7</v>
      </c>
    </row>
    <row r="506" spans="1:13" x14ac:dyDescent="0.3">
      <c r="A506" t="s">
        <v>1752</v>
      </c>
      <c r="B506" s="18">
        <v>45390</v>
      </c>
      <c r="C506" t="s">
        <v>38</v>
      </c>
      <c r="D506" t="s">
        <v>237</v>
      </c>
      <c r="E506">
        <v>261</v>
      </c>
      <c r="F506">
        <v>90.62</v>
      </c>
      <c r="G506" s="18">
        <v>45399</v>
      </c>
      <c r="H506" s="18">
        <v>45398</v>
      </c>
      <c r="I506">
        <v>261</v>
      </c>
      <c r="J506">
        <v>23651.82</v>
      </c>
      <c r="K506">
        <f>IF(tblPO[[#This Row],[Actual_Delivery_Date]]&lt;=tblPO[[#This Row],[Expected_Delivery_Date]],1,0)</f>
        <v>1</v>
      </c>
      <c r="L506">
        <f>IF(tblPO[[#This Row],[Actual_Delivery_Date]]&gt;tblPO[[#This Row],[Expected_Delivery_Date]],1,0)</f>
        <v>0</v>
      </c>
      <c r="M506">
        <f>tblPO[[#This Row],[Actual_Delivery_Date]]-tblPO[[#This Row],[PO_Date]]</f>
        <v>8</v>
      </c>
    </row>
    <row r="507" spans="1:13" x14ac:dyDescent="0.3">
      <c r="A507" t="s">
        <v>1751</v>
      </c>
      <c r="B507" s="18">
        <v>45404</v>
      </c>
      <c r="C507" t="s">
        <v>39</v>
      </c>
      <c r="D507" t="s">
        <v>174</v>
      </c>
      <c r="E507">
        <v>130</v>
      </c>
      <c r="F507">
        <v>43.48</v>
      </c>
      <c r="G507" s="18">
        <v>45431</v>
      </c>
      <c r="H507" s="18">
        <v>45428</v>
      </c>
      <c r="I507">
        <v>130</v>
      </c>
      <c r="J507">
        <v>5652.4</v>
      </c>
      <c r="K507">
        <f>IF(tblPO[[#This Row],[Actual_Delivery_Date]]&lt;=tblPO[[#This Row],[Expected_Delivery_Date]],1,0)</f>
        <v>1</v>
      </c>
      <c r="L507">
        <f>IF(tblPO[[#This Row],[Actual_Delivery_Date]]&gt;tblPO[[#This Row],[Expected_Delivery_Date]],1,0)</f>
        <v>0</v>
      </c>
      <c r="M507">
        <f>tblPO[[#This Row],[Actual_Delivery_Date]]-tblPO[[#This Row],[PO_Date]]</f>
        <v>24</v>
      </c>
    </row>
    <row r="508" spans="1:13" x14ac:dyDescent="0.3">
      <c r="A508" t="s">
        <v>1750</v>
      </c>
      <c r="B508" s="18">
        <v>45411</v>
      </c>
      <c r="C508" t="s">
        <v>48</v>
      </c>
      <c r="D508" t="s">
        <v>166</v>
      </c>
      <c r="E508">
        <v>554</v>
      </c>
      <c r="F508">
        <v>107.63</v>
      </c>
      <c r="G508" s="18">
        <v>45441</v>
      </c>
      <c r="H508" s="18">
        <v>45441</v>
      </c>
      <c r="I508">
        <v>554</v>
      </c>
      <c r="J508">
        <v>59627.02</v>
      </c>
      <c r="K508">
        <f>IF(tblPO[[#This Row],[Actual_Delivery_Date]]&lt;=tblPO[[#This Row],[Expected_Delivery_Date]],1,0)</f>
        <v>1</v>
      </c>
      <c r="L508">
        <f>IF(tblPO[[#This Row],[Actual_Delivery_Date]]&gt;tblPO[[#This Row],[Expected_Delivery_Date]],1,0)</f>
        <v>0</v>
      </c>
      <c r="M508">
        <f>tblPO[[#This Row],[Actual_Delivery_Date]]-tblPO[[#This Row],[PO_Date]]</f>
        <v>30</v>
      </c>
    </row>
    <row r="509" spans="1:13" x14ac:dyDescent="0.3">
      <c r="A509" t="s">
        <v>1749</v>
      </c>
      <c r="B509" s="18">
        <v>45395</v>
      </c>
      <c r="C509" t="s">
        <v>49</v>
      </c>
      <c r="D509" t="s">
        <v>183</v>
      </c>
      <c r="E509">
        <v>336</v>
      </c>
      <c r="F509">
        <v>10.91</v>
      </c>
      <c r="G509" s="18">
        <v>45405</v>
      </c>
      <c r="H509" s="18">
        <v>45403</v>
      </c>
      <c r="I509">
        <v>325</v>
      </c>
      <c r="J509">
        <v>3665.76</v>
      </c>
      <c r="K509">
        <f>IF(tblPO[[#This Row],[Actual_Delivery_Date]]&lt;=tblPO[[#This Row],[Expected_Delivery_Date]],1,0)</f>
        <v>1</v>
      </c>
      <c r="L509">
        <f>IF(tblPO[[#This Row],[Actual_Delivery_Date]]&gt;tblPO[[#This Row],[Expected_Delivery_Date]],1,0)</f>
        <v>0</v>
      </c>
      <c r="M509">
        <f>tblPO[[#This Row],[Actual_Delivery_Date]]-tblPO[[#This Row],[PO_Date]]</f>
        <v>8</v>
      </c>
    </row>
    <row r="510" spans="1:13" x14ac:dyDescent="0.3">
      <c r="A510" t="s">
        <v>1748</v>
      </c>
      <c r="B510" s="18">
        <v>45399</v>
      </c>
      <c r="C510" t="s">
        <v>42</v>
      </c>
      <c r="D510" t="s">
        <v>96</v>
      </c>
      <c r="E510">
        <v>18</v>
      </c>
      <c r="F510">
        <v>820.89</v>
      </c>
      <c r="G510" s="18">
        <v>45422</v>
      </c>
      <c r="H510" s="18">
        <v>45420</v>
      </c>
      <c r="I510">
        <v>18</v>
      </c>
      <c r="J510">
        <v>14776.02</v>
      </c>
      <c r="K510">
        <f>IF(tblPO[[#This Row],[Actual_Delivery_Date]]&lt;=tblPO[[#This Row],[Expected_Delivery_Date]],1,0)</f>
        <v>1</v>
      </c>
      <c r="L510">
        <f>IF(tblPO[[#This Row],[Actual_Delivery_Date]]&gt;tblPO[[#This Row],[Expected_Delivery_Date]],1,0)</f>
        <v>0</v>
      </c>
      <c r="M510">
        <f>tblPO[[#This Row],[Actual_Delivery_Date]]-tblPO[[#This Row],[PO_Date]]</f>
        <v>21</v>
      </c>
    </row>
    <row r="511" spans="1:13" x14ac:dyDescent="0.3">
      <c r="A511" t="s">
        <v>1747</v>
      </c>
      <c r="B511" s="18">
        <v>45393</v>
      </c>
      <c r="C511" t="s">
        <v>46</v>
      </c>
      <c r="D511" t="s">
        <v>108</v>
      </c>
      <c r="E511">
        <v>8</v>
      </c>
      <c r="F511">
        <v>15237.89</v>
      </c>
      <c r="G511" s="18">
        <v>45405</v>
      </c>
      <c r="H511" s="18">
        <v>45403</v>
      </c>
      <c r="I511">
        <v>8</v>
      </c>
      <c r="J511">
        <v>121903.12</v>
      </c>
      <c r="K511">
        <f>IF(tblPO[[#This Row],[Actual_Delivery_Date]]&lt;=tblPO[[#This Row],[Expected_Delivery_Date]],1,0)</f>
        <v>1</v>
      </c>
      <c r="L511">
        <f>IF(tblPO[[#This Row],[Actual_Delivery_Date]]&gt;tblPO[[#This Row],[Expected_Delivery_Date]],1,0)</f>
        <v>0</v>
      </c>
      <c r="M511">
        <f>tblPO[[#This Row],[Actual_Delivery_Date]]-tblPO[[#This Row],[PO_Date]]</f>
        <v>10</v>
      </c>
    </row>
    <row r="512" spans="1:13" x14ac:dyDescent="0.3">
      <c r="A512" t="s">
        <v>1746</v>
      </c>
      <c r="B512" s="18">
        <v>45410</v>
      </c>
      <c r="C512" t="s">
        <v>40</v>
      </c>
      <c r="D512" t="s">
        <v>140</v>
      </c>
      <c r="E512">
        <v>166</v>
      </c>
      <c r="F512">
        <v>434.84</v>
      </c>
      <c r="G512" s="18">
        <v>45421</v>
      </c>
      <c r="H512" s="18">
        <v>45420</v>
      </c>
      <c r="I512">
        <v>166</v>
      </c>
      <c r="J512">
        <v>72183.44</v>
      </c>
      <c r="K512">
        <f>IF(tblPO[[#This Row],[Actual_Delivery_Date]]&lt;=tblPO[[#This Row],[Expected_Delivery_Date]],1,0)</f>
        <v>1</v>
      </c>
      <c r="L512">
        <f>IF(tblPO[[#This Row],[Actual_Delivery_Date]]&gt;tblPO[[#This Row],[Expected_Delivery_Date]],1,0)</f>
        <v>0</v>
      </c>
      <c r="M512">
        <f>tblPO[[#This Row],[Actual_Delivery_Date]]-tblPO[[#This Row],[PO_Date]]</f>
        <v>10</v>
      </c>
    </row>
    <row r="513" spans="1:13" x14ac:dyDescent="0.3">
      <c r="A513" t="s">
        <v>1745</v>
      </c>
      <c r="B513" s="18">
        <v>45394</v>
      </c>
      <c r="C513" t="s">
        <v>50</v>
      </c>
      <c r="D513" t="s">
        <v>127</v>
      </c>
      <c r="E513">
        <v>12</v>
      </c>
      <c r="F513">
        <v>5815.79</v>
      </c>
      <c r="G513" s="18">
        <v>45402</v>
      </c>
      <c r="H513" s="18">
        <v>45400</v>
      </c>
      <c r="I513">
        <v>12</v>
      </c>
      <c r="J513">
        <v>69789.48</v>
      </c>
      <c r="K513">
        <f>IF(tblPO[[#This Row],[Actual_Delivery_Date]]&lt;=tblPO[[#This Row],[Expected_Delivery_Date]],1,0)</f>
        <v>1</v>
      </c>
      <c r="L513">
        <f>IF(tblPO[[#This Row],[Actual_Delivery_Date]]&gt;tblPO[[#This Row],[Expected_Delivery_Date]],1,0)</f>
        <v>0</v>
      </c>
      <c r="M513">
        <f>tblPO[[#This Row],[Actual_Delivery_Date]]-tblPO[[#This Row],[PO_Date]]</f>
        <v>6</v>
      </c>
    </row>
    <row r="514" spans="1:13" x14ac:dyDescent="0.3">
      <c r="A514" t="s">
        <v>1744</v>
      </c>
      <c r="B514" s="18">
        <v>45391</v>
      </c>
      <c r="C514" t="s">
        <v>66</v>
      </c>
      <c r="D514" t="s">
        <v>229</v>
      </c>
      <c r="E514">
        <v>14</v>
      </c>
      <c r="F514">
        <v>1513.49</v>
      </c>
      <c r="G514" s="18">
        <v>45408</v>
      </c>
      <c r="H514" s="18">
        <v>45406</v>
      </c>
      <c r="I514">
        <v>14</v>
      </c>
      <c r="J514">
        <v>21188.86</v>
      </c>
      <c r="K514">
        <f>IF(tblPO[[#This Row],[Actual_Delivery_Date]]&lt;=tblPO[[#This Row],[Expected_Delivery_Date]],1,0)</f>
        <v>1</v>
      </c>
      <c r="L514">
        <f>IF(tblPO[[#This Row],[Actual_Delivery_Date]]&gt;tblPO[[#This Row],[Expected_Delivery_Date]],1,0)</f>
        <v>0</v>
      </c>
      <c r="M514">
        <f>tblPO[[#This Row],[Actual_Delivery_Date]]-tblPO[[#This Row],[PO_Date]]</f>
        <v>15</v>
      </c>
    </row>
    <row r="515" spans="1:13" x14ac:dyDescent="0.3">
      <c r="A515" t="s">
        <v>1743</v>
      </c>
      <c r="B515" s="18">
        <v>45406</v>
      </c>
      <c r="C515" t="s">
        <v>43</v>
      </c>
      <c r="D515" t="s">
        <v>156</v>
      </c>
      <c r="E515">
        <v>152</v>
      </c>
      <c r="F515">
        <v>48.43</v>
      </c>
      <c r="G515" s="18">
        <v>45417</v>
      </c>
      <c r="H515" s="18">
        <v>45417</v>
      </c>
      <c r="I515">
        <v>152</v>
      </c>
      <c r="J515">
        <v>7361.36</v>
      </c>
      <c r="K515">
        <f>IF(tblPO[[#This Row],[Actual_Delivery_Date]]&lt;=tblPO[[#This Row],[Expected_Delivery_Date]],1,0)</f>
        <v>1</v>
      </c>
      <c r="L515">
        <f>IF(tblPO[[#This Row],[Actual_Delivery_Date]]&gt;tblPO[[#This Row],[Expected_Delivery_Date]],1,0)</f>
        <v>0</v>
      </c>
      <c r="M515">
        <f>tblPO[[#This Row],[Actual_Delivery_Date]]-tblPO[[#This Row],[PO_Date]]</f>
        <v>11</v>
      </c>
    </row>
    <row r="516" spans="1:13" x14ac:dyDescent="0.3">
      <c r="A516" t="s">
        <v>1742</v>
      </c>
      <c r="B516" s="18">
        <v>45398</v>
      </c>
      <c r="C516" t="s">
        <v>38</v>
      </c>
      <c r="D516" t="s">
        <v>239</v>
      </c>
      <c r="E516">
        <v>203</v>
      </c>
      <c r="F516">
        <v>92.31</v>
      </c>
      <c r="G516" s="18">
        <v>45401</v>
      </c>
      <c r="H516" s="18">
        <v>45401</v>
      </c>
      <c r="I516">
        <v>203</v>
      </c>
      <c r="J516">
        <v>18738.93</v>
      </c>
      <c r="K516">
        <f>IF(tblPO[[#This Row],[Actual_Delivery_Date]]&lt;=tblPO[[#This Row],[Expected_Delivery_Date]],1,0)</f>
        <v>1</v>
      </c>
      <c r="L516">
        <f>IF(tblPO[[#This Row],[Actual_Delivery_Date]]&gt;tblPO[[#This Row],[Expected_Delivery_Date]],1,0)</f>
        <v>0</v>
      </c>
      <c r="M516">
        <f>tblPO[[#This Row],[Actual_Delivery_Date]]-tblPO[[#This Row],[PO_Date]]</f>
        <v>3</v>
      </c>
    </row>
    <row r="517" spans="1:13" x14ac:dyDescent="0.3">
      <c r="A517" t="s">
        <v>1741</v>
      </c>
      <c r="B517" s="18">
        <v>45400</v>
      </c>
      <c r="C517" t="s">
        <v>40</v>
      </c>
      <c r="D517" t="s">
        <v>113</v>
      </c>
      <c r="E517">
        <v>142</v>
      </c>
      <c r="F517">
        <v>518.09</v>
      </c>
      <c r="G517" s="18">
        <v>45413</v>
      </c>
      <c r="H517" s="18">
        <v>45412</v>
      </c>
      <c r="I517">
        <v>142</v>
      </c>
      <c r="J517">
        <v>73568.78</v>
      </c>
      <c r="K517">
        <f>IF(tblPO[[#This Row],[Actual_Delivery_Date]]&lt;=tblPO[[#This Row],[Expected_Delivery_Date]],1,0)</f>
        <v>1</v>
      </c>
      <c r="L517">
        <f>IF(tblPO[[#This Row],[Actual_Delivery_Date]]&gt;tblPO[[#This Row],[Expected_Delivery_Date]],1,0)</f>
        <v>0</v>
      </c>
      <c r="M517">
        <f>tblPO[[#This Row],[Actual_Delivery_Date]]-tblPO[[#This Row],[PO_Date]]</f>
        <v>12</v>
      </c>
    </row>
    <row r="518" spans="1:13" x14ac:dyDescent="0.3">
      <c r="A518" t="s">
        <v>1740</v>
      </c>
      <c r="B518" s="18">
        <v>45405</v>
      </c>
      <c r="C518" t="s">
        <v>45</v>
      </c>
      <c r="D518" t="s">
        <v>215</v>
      </c>
      <c r="E518">
        <v>5</v>
      </c>
      <c r="F518">
        <v>3479.38</v>
      </c>
      <c r="G518" s="18">
        <v>45413</v>
      </c>
      <c r="H518" s="18">
        <v>45412</v>
      </c>
      <c r="I518">
        <v>5</v>
      </c>
      <c r="J518">
        <v>17396.900000000001</v>
      </c>
      <c r="K518">
        <f>IF(tblPO[[#This Row],[Actual_Delivery_Date]]&lt;=tblPO[[#This Row],[Expected_Delivery_Date]],1,0)</f>
        <v>1</v>
      </c>
      <c r="L518">
        <f>IF(tblPO[[#This Row],[Actual_Delivery_Date]]&gt;tblPO[[#This Row],[Expected_Delivery_Date]],1,0)</f>
        <v>0</v>
      </c>
      <c r="M518">
        <f>tblPO[[#This Row],[Actual_Delivery_Date]]-tblPO[[#This Row],[PO_Date]]</f>
        <v>7</v>
      </c>
    </row>
    <row r="519" spans="1:13" x14ac:dyDescent="0.3">
      <c r="A519" t="s">
        <v>1739</v>
      </c>
      <c r="B519" s="18">
        <v>45391</v>
      </c>
      <c r="C519" t="s">
        <v>47</v>
      </c>
      <c r="D519" t="s">
        <v>245</v>
      </c>
      <c r="E519">
        <v>12</v>
      </c>
      <c r="F519">
        <v>3346.52</v>
      </c>
      <c r="G519" s="18">
        <v>45405</v>
      </c>
      <c r="H519" s="18">
        <v>45404</v>
      </c>
      <c r="I519">
        <v>12</v>
      </c>
      <c r="J519">
        <v>40158.239999999998</v>
      </c>
      <c r="K519">
        <f>IF(tblPO[[#This Row],[Actual_Delivery_Date]]&lt;=tblPO[[#This Row],[Expected_Delivery_Date]],1,0)</f>
        <v>1</v>
      </c>
      <c r="L519">
        <f>IF(tblPO[[#This Row],[Actual_Delivery_Date]]&gt;tblPO[[#This Row],[Expected_Delivery_Date]],1,0)</f>
        <v>0</v>
      </c>
      <c r="M519">
        <f>tblPO[[#This Row],[Actual_Delivery_Date]]-tblPO[[#This Row],[PO_Date]]</f>
        <v>13</v>
      </c>
    </row>
    <row r="520" spans="1:13" x14ac:dyDescent="0.3">
      <c r="A520" t="s">
        <v>1738</v>
      </c>
      <c r="B520" s="18">
        <v>45402</v>
      </c>
      <c r="C520" t="s">
        <v>49</v>
      </c>
      <c r="D520" t="s">
        <v>197</v>
      </c>
      <c r="E520">
        <v>183</v>
      </c>
      <c r="F520">
        <v>238.93</v>
      </c>
      <c r="G520" s="18">
        <v>45411</v>
      </c>
      <c r="H520" s="18">
        <v>45409</v>
      </c>
      <c r="I520">
        <v>183</v>
      </c>
      <c r="J520">
        <v>43724.19</v>
      </c>
      <c r="K520">
        <f>IF(tblPO[[#This Row],[Actual_Delivery_Date]]&lt;=tblPO[[#This Row],[Expected_Delivery_Date]],1,0)</f>
        <v>1</v>
      </c>
      <c r="L520">
        <f>IF(tblPO[[#This Row],[Actual_Delivery_Date]]&gt;tblPO[[#This Row],[Expected_Delivery_Date]],1,0)</f>
        <v>0</v>
      </c>
      <c r="M520">
        <f>tblPO[[#This Row],[Actual_Delivery_Date]]-tblPO[[#This Row],[PO_Date]]</f>
        <v>7</v>
      </c>
    </row>
    <row r="521" spans="1:13" x14ac:dyDescent="0.3">
      <c r="A521" t="s">
        <v>1737</v>
      </c>
      <c r="B521" s="18">
        <v>45399</v>
      </c>
      <c r="C521" t="s">
        <v>45</v>
      </c>
      <c r="D521" t="s">
        <v>233</v>
      </c>
      <c r="E521">
        <v>182</v>
      </c>
      <c r="F521">
        <v>197.19</v>
      </c>
      <c r="G521" s="18">
        <v>45417</v>
      </c>
      <c r="H521" s="18">
        <v>45417</v>
      </c>
      <c r="I521">
        <v>182</v>
      </c>
      <c r="J521">
        <v>35888.58</v>
      </c>
      <c r="K521">
        <f>IF(tblPO[[#This Row],[Actual_Delivery_Date]]&lt;=tblPO[[#This Row],[Expected_Delivery_Date]],1,0)</f>
        <v>1</v>
      </c>
      <c r="L521">
        <f>IF(tblPO[[#This Row],[Actual_Delivery_Date]]&gt;tblPO[[#This Row],[Expected_Delivery_Date]],1,0)</f>
        <v>0</v>
      </c>
      <c r="M521">
        <f>tblPO[[#This Row],[Actual_Delivery_Date]]-tblPO[[#This Row],[PO_Date]]</f>
        <v>18</v>
      </c>
    </row>
    <row r="522" spans="1:13" x14ac:dyDescent="0.3">
      <c r="A522" t="s">
        <v>1736</v>
      </c>
      <c r="B522" s="18">
        <v>45403</v>
      </c>
      <c r="C522" t="s">
        <v>50</v>
      </c>
      <c r="D522" t="s">
        <v>130</v>
      </c>
      <c r="E522">
        <v>128</v>
      </c>
      <c r="F522">
        <v>391.12</v>
      </c>
      <c r="G522" s="18">
        <v>45410</v>
      </c>
      <c r="H522" s="18">
        <v>45409</v>
      </c>
      <c r="I522">
        <v>128</v>
      </c>
      <c r="J522">
        <v>50063.360000000001</v>
      </c>
      <c r="K522">
        <f>IF(tblPO[[#This Row],[Actual_Delivery_Date]]&lt;=tblPO[[#This Row],[Expected_Delivery_Date]],1,0)</f>
        <v>1</v>
      </c>
      <c r="L522">
        <f>IF(tblPO[[#This Row],[Actual_Delivery_Date]]&gt;tblPO[[#This Row],[Expected_Delivery_Date]],1,0)</f>
        <v>0</v>
      </c>
      <c r="M522">
        <f>tblPO[[#This Row],[Actual_Delivery_Date]]-tblPO[[#This Row],[PO_Date]]</f>
        <v>6</v>
      </c>
    </row>
    <row r="523" spans="1:13" x14ac:dyDescent="0.3">
      <c r="A523" t="s">
        <v>1735</v>
      </c>
      <c r="B523" s="18">
        <v>45385</v>
      </c>
      <c r="C523" t="s">
        <v>52</v>
      </c>
      <c r="D523" t="s">
        <v>212</v>
      </c>
      <c r="E523">
        <v>28</v>
      </c>
      <c r="F523">
        <v>312.18</v>
      </c>
      <c r="G523" s="18">
        <v>45393</v>
      </c>
      <c r="H523" s="18">
        <v>45392</v>
      </c>
      <c r="I523">
        <v>28</v>
      </c>
      <c r="J523">
        <v>8741.0400000000009</v>
      </c>
      <c r="K523">
        <f>IF(tblPO[[#This Row],[Actual_Delivery_Date]]&lt;=tblPO[[#This Row],[Expected_Delivery_Date]],1,0)</f>
        <v>1</v>
      </c>
      <c r="L523">
        <f>IF(tblPO[[#This Row],[Actual_Delivery_Date]]&gt;tblPO[[#This Row],[Expected_Delivery_Date]],1,0)</f>
        <v>0</v>
      </c>
      <c r="M523">
        <f>tblPO[[#This Row],[Actual_Delivery_Date]]-tblPO[[#This Row],[PO_Date]]</f>
        <v>7</v>
      </c>
    </row>
    <row r="524" spans="1:13" x14ac:dyDescent="0.3">
      <c r="A524" t="s">
        <v>1734</v>
      </c>
      <c r="B524" s="18">
        <v>45403</v>
      </c>
      <c r="C524" t="s">
        <v>39</v>
      </c>
      <c r="D524" t="s">
        <v>168</v>
      </c>
      <c r="E524">
        <v>669</v>
      </c>
      <c r="F524">
        <v>77.989999999999995</v>
      </c>
      <c r="G524" s="18">
        <v>45427</v>
      </c>
      <c r="H524" s="18">
        <v>45427</v>
      </c>
      <c r="I524">
        <v>669</v>
      </c>
      <c r="J524">
        <v>52175.31</v>
      </c>
      <c r="K524">
        <f>IF(tblPO[[#This Row],[Actual_Delivery_Date]]&lt;=tblPO[[#This Row],[Expected_Delivery_Date]],1,0)</f>
        <v>1</v>
      </c>
      <c r="L524">
        <f>IF(tblPO[[#This Row],[Actual_Delivery_Date]]&gt;tblPO[[#This Row],[Expected_Delivery_Date]],1,0)</f>
        <v>0</v>
      </c>
      <c r="M524">
        <f>tblPO[[#This Row],[Actual_Delivery_Date]]-tblPO[[#This Row],[PO_Date]]</f>
        <v>24</v>
      </c>
    </row>
    <row r="525" spans="1:13" x14ac:dyDescent="0.3">
      <c r="A525" t="s">
        <v>1733</v>
      </c>
      <c r="B525" s="18">
        <v>45397</v>
      </c>
      <c r="C525" t="s">
        <v>54</v>
      </c>
      <c r="D525" t="s">
        <v>199</v>
      </c>
      <c r="E525">
        <v>143</v>
      </c>
      <c r="F525">
        <v>254.55</v>
      </c>
      <c r="G525" s="18">
        <v>45413</v>
      </c>
      <c r="H525" s="18">
        <v>45410</v>
      </c>
      <c r="I525">
        <v>143</v>
      </c>
      <c r="J525">
        <v>36400.65</v>
      </c>
      <c r="K525">
        <f>IF(tblPO[[#This Row],[Actual_Delivery_Date]]&lt;=tblPO[[#This Row],[Expected_Delivery_Date]],1,0)</f>
        <v>1</v>
      </c>
      <c r="L525">
        <f>IF(tblPO[[#This Row],[Actual_Delivery_Date]]&gt;tblPO[[#This Row],[Expected_Delivery_Date]],1,0)</f>
        <v>0</v>
      </c>
      <c r="M525">
        <f>tblPO[[#This Row],[Actual_Delivery_Date]]-tblPO[[#This Row],[PO_Date]]</f>
        <v>13</v>
      </c>
    </row>
    <row r="526" spans="1:13" x14ac:dyDescent="0.3">
      <c r="A526" t="s">
        <v>1732</v>
      </c>
      <c r="B526" s="18">
        <v>45405</v>
      </c>
      <c r="C526" t="s">
        <v>40</v>
      </c>
      <c r="D526" t="s">
        <v>136</v>
      </c>
      <c r="E526">
        <v>200</v>
      </c>
      <c r="F526">
        <v>691.35</v>
      </c>
      <c r="G526" s="18">
        <v>45410</v>
      </c>
      <c r="H526" s="18">
        <v>45410</v>
      </c>
      <c r="I526">
        <v>200</v>
      </c>
      <c r="J526">
        <v>138270</v>
      </c>
      <c r="K526">
        <f>IF(tblPO[[#This Row],[Actual_Delivery_Date]]&lt;=tblPO[[#This Row],[Expected_Delivery_Date]],1,0)</f>
        <v>1</v>
      </c>
      <c r="L526">
        <f>IF(tblPO[[#This Row],[Actual_Delivery_Date]]&gt;tblPO[[#This Row],[Expected_Delivery_Date]],1,0)</f>
        <v>0</v>
      </c>
      <c r="M526">
        <f>tblPO[[#This Row],[Actual_Delivery_Date]]-tblPO[[#This Row],[PO_Date]]</f>
        <v>5</v>
      </c>
    </row>
    <row r="527" spans="1:13" x14ac:dyDescent="0.3">
      <c r="A527" t="s">
        <v>1731</v>
      </c>
      <c r="B527" s="18">
        <v>45400</v>
      </c>
      <c r="C527" t="s">
        <v>42</v>
      </c>
      <c r="D527" t="s">
        <v>108</v>
      </c>
      <c r="E527">
        <v>8</v>
      </c>
      <c r="F527">
        <v>15151.57</v>
      </c>
      <c r="G527" s="18">
        <v>45413</v>
      </c>
      <c r="H527" s="18">
        <v>45413</v>
      </c>
      <c r="I527">
        <v>8</v>
      </c>
      <c r="J527">
        <v>121212.56</v>
      </c>
      <c r="K527">
        <f>IF(tblPO[[#This Row],[Actual_Delivery_Date]]&lt;=tblPO[[#This Row],[Expected_Delivery_Date]],1,0)</f>
        <v>1</v>
      </c>
      <c r="L527">
        <f>IF(tblPO[[#This Row],[Actual_Delivery_Date]]&gt;tblPO[[#This Row],[Expected_Delivery_Date]],1,0)</f>
        <v>0</v>
      </c>
      <c r="M527">
        <f>tblPO[[#This Row],[Actual_Delivery_Date]]-tblPO[[#This Row],[PO_Date]]</f>
        <v>13</v>
      </c>
    </row>
    <row r="528" spans="1:13" x14ac:dyDescent="0.3">
      <c r="A528" t="s">
        <v>1730</v>
      </c>
      <c r="B528" s="18">
        <v>45387</v>
      </c>
      <c r="C528" t="s">
        <v>57</v>
      </c>
      <c r="D528" t="s">
        <v>207</v>
      </c>
      <c r="E528">
        <v>682</v>
      </c>
      <c r="F528">
        <v>11.15</v>
      </c>
      <c r="G528" s="18">
        <v>45401</v>
      </c>
      <c r="H528" s="18">
        <v>45401</v>
      </c>
      <c r="I528">
        <v>682</v>
      </c>
      <c r="J528">
        <v>7604.3</v>
      </c>
      <c r="K528">
        <f>IF(tblPO[[#This Row],[Actual_Delivery_Date]]&lt;=tblPO[[#This Row],[Expected_Delivery_Date]],1,0)</f>
        <v>1</v>
      </c>
      <c r="L528">
        <f>IF(tblPO[[#This Row],[Actual_Delivery_Date]]&gt;tblPO[[#This Row],[Expected_Delivery_Date]],1,0)</f>
        <v>0</v>
      </c>
      <c r="M528">
        <f>tblPO[[#This Row],[Actual_Delivery_Date]]-tblPO[[#This Row],[PO_Date]]</f>
        <v>14</v>
      </c>
    </row>
    <row r="529" spans="1:13" x14ac:dyDescent="0.3">
      <c r="A529" t="s">
        <v>1729</v>
      </c>
      <c r="B529" s="18">
        <v>45403</v>
      </c>
      <c r="C529" t="s">
        <v>67</v>
      </c>
      <c r="D529" t="s">
        <v>104</v>
      </c>
      <c r="E529">
        <v>123</v>
      </c>
      <c r="F529">
        <v>425.95</v>
      </c>
      <c r="G529" s="18">
        <v>45419</v>
      </c>
      <c r="H529" s="18">
        <v>45417</v>
      </c>
      <c r="I529">
        <v>117</v>
      </c>
      <c r="J529">
        <v>52391.85</v>
      </c>
      <c r="K529">
        <f>IF(tblPO[[#This Row],[Actual_Delivery_Date]]&lt;=tblPO[[#This Row],[Expected_Delivery_Date]],1,0)</f>
        <v>1</v>
      </c>
      <c r="L529">
        <f>IF(tblPO[[#This Row],[Actual_Delivery_Date]]&gt;tblPO[[#This Row],[Expected_Delivery_Date]],1,0)</f>
        <v>0</v>
      </c>
      <c r="M529">
        <f>tblPO[[#This Row],[Actual_Delivery_Date]]-tblPO[[#This Row],[PO_Date]]</f>
        <v>14</v>
      </c>
    </row>
    <row r="530" spans="1:13" x14ac:dyDescent="0.3">
      <c r="A530" t="s">
        <v>1728</v>
      </c>
      <c r="B530" s="18">
        <v>45398</v>
      </c>
      <c r="C530" t="s">
        <v>41</v>
      </c>
      <c r="D530" t="s">
        <v>181</v>
      </c>
      <c r="E530">
        <v>1869</v>
      </c>
      <c r="F530">
        <v>4.28</v>
      </c>
      <c r="G530" s="18">
        <v>45415</v>
      </c>
      <c r="H530" s="18">
        <v>45429</v>
      </c>
      <c r="I530">
        <v>1869</v>
      </c>
      <c r="J530">
        <v>7999.32</v>
      </c>
      <c r="K530">
        <f>IF(tblPO[[#This Row],[Actual_Delivery_Date]]&lt;=tblPO[[#This Row],[Expected_Delivery_Date]],1,0)</f>
        <v>0</v>
      </c>
      <c r="L530">
        <f>IF(tblPO[[#This Row],[Actual_Delivery_Date]]&gt;tblPO[[#This Row],[Expected_Delivery_Date]],1,0)</f>
        <v>1</v>
      </c>
      <c r="M530">
        <f>tblPO[[#This Row],[Actual_Delivery_Date]]-tblPO[[#This Row],[PO_Date]]</f>
        <v>31</v>
      </c>
    </row>
    <row r="531" spans="1:13" x14ac:dyDescent="0.3">
      <c r="A531" t="s">
        <v>1727</v>
      </c>
      <c r="B531" s="18">
        <v>45400</v>
      </c>
      <c r="C531" t="s">
        <v>46</v>
      </c>
      <c r="D531" t="s">
        <v>94</v>
      </c>
      <c r="E531">
        <v>188</v>
      </c>
      <c r="F531">
        <v>522.67999999999995</v>
      </c>
      <c r="G531" s="18">
        <v>45417</v>
      </c>
      <c r="H531" s="18">
        <v>45417</v>
      </c>
      <c r="I531">
        <v>188</v>
      </c>
      <c r="J531">
        <v>98263.84</v>
      </c>
      <c r="K531">
        <f>IF(tblPO[[#This Row],[Actual_Delivery_Date]]&lt;=tblPO[[#This Row],[Expected_Delivery_Date]],1,0)</f>
        <v>1</v>
      </c>
      <c r="L531">
        <f>IF(tblPO[[#This Row],[Actual_Delivery_Date]]&gt;tblPO[[#This Row],[Expected_Delivery_Date]],1,0)</f>
        <v>0</v>
      </c>
      <c r="M531">
        <f>tblPO[[#This Row],[Actual_Delivery_Date]]-tblPO[[#This Row],[PO_Date]]</f>
        <v>17</v>
      </c>
    </row>
    <row r="532" spans="1:13" x14ac:dyDescent="0.3">
      <c r="A532" t="s">
        <v>1726</v>
      </c>
      <c r="B532" s="18">
        <v>45403</v>
      </c>
      <c r="C532" t="s">
        <v>52</v>
      </c>
      <c r="D532" t="s">
        <v>215</v>
      </c>
      <c r="E532">
        <v>22</v>
      </c>
      <c r="F532">
        <v>3666.83</v>
      </c>
      <c r="G532" s="18">
        <v>45415</v>
      </c>
      <c r="H532" s="18">
        <v>45415</v>
      </c>
      <c r="I532">
        <v>22</v>
      </c>
      <c r="J532">
        <v>80670.259999999995</v>
      </c>
      <c r="K532">
        <f>IF(tblPO[[#This Row],[Actual_Delivery_Date]]&lt;=tblPO[[#This Row],[Expected_Delivery_Date]],1,0)</f>
        <v>1</v>
      </c>
      <c r="L532">
        <f>IF(tblPO[[#This Row],[Actual_Delivery_Date]]&gt;tblPO[[#This Row],[Expected_Delivery_Date]],1,0)</f>
        <v>0</v>
      </c>
      <c r="M532">
        <f>tblPO[[#This Row],[Actual_Delivery_Date]]-tblPO[[#This Row],[PO_Date]]</f>
        <v>12</v>
      </c>
    </row>
    <row r="533" spans="1:13" x14ac:dyDescent="0.3">
      <c r="A533" t="s">
        <v>1725</v>
      </c>
      <c r="B533" s="18">
        <v>45396</v>
      </c>
      <c r="C533" t="s">
        <v>38</v>
      </c>
      <c r="D533" t="s">
        <v>247</v>
      </c>
      <c r="E533">
        <v>103</v>
      </c>
      <c r="F533">
        <v>617.12</v>
      </c>
      <c r="G533" s="18">
        <v>45407</v>
      </c>
      <c r="H533" s="18">
        <v>45404</v>
      </c>
      <c r="I533">
        <v>99</v>
      </c>
      <c r="J533">
        <v>63563.360000000001</v>
      </c>
      <c r="K533">
        <f>IF(tblPO[[#This Row],[Actual_Delivery_Date]]&lt;=tblPO[[#This Row],[Expected_Delivery_Date]],1,0)</f>
        <v>1</v>
      </c>
      <c r="L533">
        <f>IF(tblPO[[#This Row],[Actual_Delivery_Date]]&gt;tblPO[[#This Row],[Expected_Delivery_Date]],1,0)</f>
        <v>0</v>
      </c>
      <c r="M533">
        <f>tblPO[[#This Row],[Actual_Delivery_Date]]-tblPO[[#This Row],[PO_Date]]</f>
        <v>8</v>
      </c>
    </row>
    <row r="534" spans="1:13" x14ac:dyDescent="0.3">
      <c r="A534" t="s">
        <v>1724</v>
      </c>
      <c r="B534" s="18">
        <v>45398</v>
      </c>
      <c r="C534" t="s">
        <v>39</v>
      </c>
      <c r="D534" t="s">
        <v>149</v>
      </c>
      <c r="E534">
        <v>343</v>
      </c>
      <c r="F534">
        <v>82.49</v>
      </c>
      <c r="G534" s="18">
        <v>45427</v>
      </c>
      <c r="H534" s="18">
        <v>45427</v>
      </c>
      <c r="I534">
        <v>343</v>
      </c>
      <c r="J534">
        <v>28294.07</v>
      </c>
      <c r="K534">
        <f>IF(tblPO[[#This Row],[Actual_Delivery_Date]]&lt;=tblPO[[#This Row],[Expected_Delivery_Date]],1,0)</f>
        <v>1</v>
      </c>
      <c r="L534">
        <f>IF(tblPO[[#This Row],[Actual_Delivery_Date]]&gt;tblPO[[#This Row],[Expected_Delivery_Date]],1,0)</f>
        <v>0</v>
      </c>
      <c r="M534">
        <f>tblPO[[#This Row],[Actual_Delivery_Date]]-tblPO[[#This Row],[PO_Date]]</f>
        <v>29</v>
      </c>
    </row>
    <row r="535" spans="1:13" x14ac:dyDescent="0.3">
      <c r="A535" t="s">
        <v>1723</v>
      </c>
      <c r="B535" s="18">
        <v>45408</v>
      </c>
      <c r="C535" t="s">
        <v>39</v>
      </c>
      <c r="D535" t="s">
        <v>162</v>
      </c>
      <c r="E535">
        <v>490</v>
      </c>
      <c r="F535">
        <v>44.12</v>
      </c>
      <c r="G535" s="18">
        <v>45429</v>
      </c>
      <c r="H535" s="18">
        <v>45426</v>
      </c>
      <c r="I535">
        <v>490</v>
      </c>
      <c r="J535">
        <v>21618.799999999999</v>
      </c>
      <c r="K535">
        <f>IF(tblPO[[#This Row],[Actual_Delivery_Date]]&lt;=tblPO[[#This Row],[Expected_Delivery_Date]],1,0)</f>
        <v>1</v>
      </c>
      <c r="L535">
        <f>IF(tblPO[[#This Row],[Actual_Delivery_Date]]&gt;tblPO[[#This Row],[Expected_Delivery_Date]],1,0)</f>
        <v>0</v>
      </c>
      <c r="M535">
        <f>tblPO[[#This Row],[Actual_Delivery_Date]]-tblPO[[#This Row],[PO_Date]]</f>
        <v>18</v>
      </c>
    </row>
    <row r="536" spans="1:13" x14ac:dyDescent="0.3">
      <c r="A536" t="s">
        <v>1722</v>
      </c>
      <c r="B536" s="18">
        <v>45396</v>
      </c>
      <c r="C536" t="s">
        <v>52</v>
      </c>
      <c r="D536" t="s">
        <v>239</v>
      </c>
      <c r="E536">
        <v>624</v>
      </c>
      <c r="F536">
        <v>91.5</v>
      </c>
      <c r="G536" s="18">
        <v>45411</v>
      </c>
      <c r="H536" s="18">
        <v>45411</v>
      </c>
      <c r="I536">
        <v>624</v>
      </c>
      <c r="J536">
        <v>57096</v>
      </c>
      <c r="K536">
        <f>IF(tblPO[[#This Row],[Actual_Delivery_Date]]&lt;=tblPO[[#This Row],[Expected_Delivery_Date]],1,0)</f>
        <v>1</v>
      </c>
      <c r="L536">
        <f>IF(tblPO[[#This Row],[Actual_Delivery_Date]]&gt;tblPO[[#This Row],[Expected_Delivery_Date]],1,0)</f>
        <v>0</v>
      </c>
      <c r="M536">
        <f>tblPO[[#This Row],[Actual_Delivery_Date]]-tblPO[[#This Row],[PO_Date]]</f>
        <v>15</v>
      </c>
    </row>
    <row r="537" spans="1:13" x14ac:dyDescent="0.3">
      <c r="A537" t="s">
        <v>1721</v>
      </c>
      <c r="B537" s="18">
        <v>45403</v>
      </c>
      <c r="C537" t="s">
        <v>52</v>
      </c>
      <c r="D537" t="s">
        <v>237</v>
      </c>
      <c r="E537">
        <v>482</v>
      </c>
      <c r="F537">
        <v>83.74</v>
      </c>
      <c r="G537" s="18">
        <v>45413</v>
      </c>
      <c r="H537" s="18">
        <v>45412</v>
      </c>
      <c r="I537">
        <v>482</v>
      </c>
      <c r="J537">
        <v>40362.68</v>
      </c>
      <c r="K537">
        <f>IF(tblPO[[#This Row],[Actual_Delivery_Date]]&lt;=tblPO[[#This Row],[Expected_Delivery_Date]],1,0)</f>
        <v>1</v>
      </c>
      <c r="L537">
        <f>IF(tblPO[[#This Row],[Actual_Delivery_Date]]&gt;tblPO[[#This Row],[Expected_Delivery_Date]],1,0)</f>
        <v>0</v>
      </c>
      <c r="M537">
        <f>tblPO[[#This Row],[Actual_Delivery_Date]]-tblPO[[#This Row],[PO_Date]]</f>
        <v>9</v>
      </c>
    </row>
    <row r="538" spans="1:13" x14ac:dyDescent="0.3">
      <c r="A538" t="s">
        <v>1720</v>
      </c>
      <c r="B538" s="18">
        <v>45396</v>
      </c>
      <c r="C538" t="s">
        <v>39</v>
      </c>
      <c r="D538" t="s">
        <v>154</v>
      </c>
      <c r="E538">
        <v>325</v>
      </c>
      <c r="F538">
        <v>80.45</v>
      </c>
      <c r="G538" s="18">
        <v>45414</v>
      </c>
      <c r="H538" s="18">
        <v>45412</v>
      </c>
      <c r="I538">
        <v>325</v>
      </c>
      <c r="J538">
        <v>26146.25</v>
      </c>
      <c r="K538">
        <f>IF(tblPO[[#This Row],[Actual_Delivery_Date]]&lt;=tblPO[[#This Row],[Expected_Delivery_Date]],1,0)</f>
        <v>1</v>
      </c>
      <c r="L538">
        <f>IF(tblPO[[#This Row],[Actual_Delivery_Date]]&gt;tblPO[[#This Row],[Expected_Delivery_Date]],1,0)</f>
        <v>0</v>
      </c>
      <c r="M538">
        <f>tblPO[[#This Row],[Actual_Delivery_Date]]-tblPO[[#This Row],[PO_Date]]</f>
        <v>16</v>
      </c>
    </row>
    <row r="539" spans="1:13" x14ac:dyDescent="0.3">
      <c r="A539" t="s">
        <v>1719</v>
      </c>
      <c r="B539" s="18">
        <v>45397</v>
      </c>
      <c r="C539" t="s">
        <v>49</v>
      </c>
      <c r="D539" t="s">
        <v>207</v>
      </c>
      <c r="E539">
        <v>682</v>
      </c>
      <c r="F539">
        <v>10.68</v>
      </c>
      <c r="G539" s="18">
        <v>45408</v>
      </c>
      <c r="H539" s="18">
        <v>45408</v>
      </c>
      <c r="I539">
        <v>682</v>
      </c>
      <c r="J539">
        <v>7283.76</v>
      </c>
      <c r="K539">
        <f>IF(tblPO[[#This Row],[Actual_Delivery_Date]]&lt;=tblPO[[#This Row],[Expected_Delivery_Date]],1,0)</f>
        <v>1</v>
      </c>
      <c r="L539">
        <f>IF(tblPO[[#This Row],[Actual_Delivery_Date]]&gt;tblPO[[#This Row],[Expected_Delivery_Date]],1,0)</f>
        <v>0</v>
      </c>
      <c r="M539">
        <f>tblPO[[#This Row],[Actual_Delivery_Date]]-tblPO[[#This Row],[PO_Date]]</f>
        <v>11</v>
      </c>
    </row>
    <row r="540" spans="1:13" x14ac:dyDescent="0.3">
      <c r="A540" t="s">
        <v>1718</v>
      </c>
      <c r="B540" s="18">
        <v>45383</v>
      </c>
      <c r="C540" t="s">
        <v>40</v>
      </c>
      <c r="D540" t="s">
        <v>142</v>
      </c>
      <c r="E540">
        <v>146</v>
      </c>
      <c r="F540">
        <v>183.74</v>
      </c>
      <c r="G540" s="18">
        <v>45391</v>
      </c>
      <c r="H540" s="18">
        <v>45394</v>
      </c>
      <c r="I540">
        <v>146</v>
      </c>
      <c r="J540">
        <v>26826.04</v>
      </c>
      <c r="K540">
        <f>IF(tblPO[[#This Row],[Actual_Delivery_Date]]&lt;=tblPO[[#This Row],[Expected_Delivery_Date]],1,0)</f>
        <v>0</v>
      </c>
      <c r="L540">
        <f>IF(tblPO[[#This Row],[Actual_Delivery_Date]]&gt;tblPO[[#This Row],[Expected_Delivery_Date]],1,0)</f>
        <v>1</v>
      </c>
      <c r="M540">
        <f>tblPO[[#This Row],[Actual_Delivery_Date]]-tblPO[[#This Row],[PO_Date]]</f>
        <v>11</v>
      </c>
    </row>
    <row r="541" spans="1:13" x14ac:dyDescent="0.3">
      <c r="A541" t="s">
        <v>1717</v>
      </c>
      <c r="B541" s="18">
        <v>45390</v>
      </c>
      <c r="C541" t="s">
        <v>64</v>
      </c>
      <c r="D541" t="s">
        <v>119</v>
      </c>
      <c r="E541">
        <v>2</v>
      </c>
      <c r="F541">
        <v>5920.69</v>
      </c>
      <c r="G541" s="18">
        <v>45395</v>
      </c>
      <c r="H541" s="18">
        <v>45395</v>
      </c>
      <c r="I541">
        <v>2</v>
      </c>
      <c r="J541">
        <v>11841.38</v>
      </c>
      <c r="K541">
        <f>IF(tblPO[[#This Row],[Actual_Delivery_Date]]&lt;=tblPO[[#This Row],[Expected_Delivery_Date]],1,0)</f>
        <v>1</v>
      </c>
      <c r="L541">
        <f>IF(tblPO[[#This Row],[Actual_Delivery_Date]]&gt;tblPO[[#This Row],[Expected_Delivery_Date]],1,0)</f>
        <v>0</v>
      </c>
      <c r="M541">
        <f>tblPO[[#This Row],[Actual_Delivery_Date]]-tblPO[[#This Row],[PO_Date]]</f>
        <v>5</v>
      </c>
    </row>
    <row r="542" spans="1:13" x14ac:dyDescent="0.3">
      <c r="A542" t="s">
        <v>1716</v>
      </c>
      <c r="B542" s="18">
        <v>45394</v>
      </c>
      <c r="C542" t="s">
        <v>43</v>
      </c>
      <c r="D542" t="s">
        <v>164</v>
      </c>
      <c r="E542">
        <v>137</v>
      </c>
      <c r="F542">
        <v>110.8</v>
      </c>
      <c r="G542" s="18">
        <v>45411</v>
      </c>
      <c r="H542" s="18">
        <v>45408</v>
      </c>
      <c r="I542">
        <v>137</v>
      </c>
      <c r="J542">
        <v>15179.6</v>
      </c>
      <c r="K542">
        <f>IF(tblPO[[#This Row],[Actual_Delivery_Date]]&lt;=tblPO[[#This Row],[Expected_Delivery_Date]],1,0)</f>
        <v>1</v>
      </c>
      <c r="L542">
        <f>IF(tblPO[[#This Row],[Actual_Delivery_Date]]&gt;tblPO[[#This Row],[Expected_Delivery_Date]],1,0)</f>
        <v>0</v>
      </c>
      <c r="M542">
        <f>tblPO[[#This Row],[Actual_Delivery_Date]]-tblPO[[#This Row],[PO_Date]]</f>
        <v>14</v>
      </c>
    </row>
    <row r="543" spans="1:13" x14ac:dyDescent="0.3">
      <c r="A543" t="s">
        <v>1715</v>
      </c>
      <c r="B543" s="18">
        <v>45385</v>
      </c>
      <c r="C543" t="s">
        <v>45</v>
      </c>
      <c r="D543" t="s">
        <v>243</v>
      </c>
      <c r="E543">
        <v>110</v>
      </c>
      <c r="F543">
        <v>164.93</v>
      </c>
      <c r="G543" s="18">
        <v>45403</v>
      </c>
      <c r="H543" s="18">
        <v>45402</v>
      </c>
      <c r="I543">
        <v>110</v>
      </c>
      <c r="J543">
        <v>18142.3</v>
      </c>
      <c r="K543">
        <f>IF(tblPO[[#This Row],[Actual_Delivery_Date]]&lt;=tblPO[[#This Row],[Expected_Delivery_Date]],1,0)</f>
        <v>1</v>
      </c>
      <c r="L543">
        <f>IF(tblPO[[#This Row],[Actual_Delivery_Date]]&gt;tblPO[[#This Row],[Expected_Delivery_Date]],1,0)</f>
        <v>0</v>
      </c>
      <c r="M543">
        <f>tblPO[[#This Row],[Actual_Delivery_Date]]-tblPO[[#This Row],[PO_Date]]</f>
        <v>17</v>
      </c>
    </row>
    <row r="544" spans="1:13" x14ac:dyDescent="0.3">
      <c r="A544" t="s">
        <v>1714</v>
      </c>
      <c r="B544" s="18">
        <v>45390</v>
      </c>
      <c r="C544" t="s">
        <v>55</v>
      </c>
      <c r="D544" t="s">
        <v>251</v>
      </c>
      <c r="E544">
        <v>781</v>
      </c>
      <c r="F544">
        <v>92.32</v>
      </c>
      <c r="G544" s="18">
        <v>45414</v>
      </c>
      <c r="H544" s="18">
        <v>45414</v>
      </c>
      <c r="I544">
        <v>781</v>
      </c>
      <c r="J544">
        <v>72101.919999999998</v>
      </c>
      <c r="K544">
        <f>IF(tblPO[[#This Row],[Actual_Delivery_Date]]&lt;=tblPO[[#This Row],[Expected_Delivery_Date]],1,0)</f>
        <v>1</v>
      </c>
      <c r="L544">
        <f>IF(tblPO[[#This Row],[Actual_Delivery_Date]]&gt;tblPO[[#This Row],[Expected_Delivery_Date]],1,0)</f>
        <v>0</v>
      </c>
      <c r="M544">
        <f>tblPO[[#This Row],[Actual_Delivery_Date]]-tblPO[[#This Row],[PO_Date]]</f>
        <v>24</v>
      </c>
    </row>
    <row r="545" spans="1:13" x14ac:dyDescent="0.3">
      <c r="A545" t="s">
        <v>1713</v>
      </c>
      <c r="B545" s="18">
        <v>45399</v>
      </c>
      <c r="C545" t="s">
        <v>52</v>
      </c>
      <c r="D545" t="s">
        <v>249</v>
      </c>
      <c r="E545">
        <v>146</v>
      </c>
      <c r="F545">
        <v>68.16</v>
      </c>
      <c r="G545" s="18">
        <v>45408</v>
      </c>
      <c r="H545" s="18">
        <v>45407</v>
      </c>
      <c r="I545">
        <v>146</v>
      </c>
      <c r="J545">
        <v>9951.36</v>
      </c>
      <c r="K545">
        <f>IF(tblPO[[#This Row],[Actual_Delivery_Date]]&lt;=tblPO[[#This Row],[Expected_Delivery_Date]],1,0)</f>
        <v>1</v>
      </c>
      <c r="L545">
        <f>IF(tblPO[[#This Row],[Actual_Delivery_Date]]&gt;tblPO[[#This Row],[Expected_Delivery_Date]],1,0)</f>
        <v>0</v>
      </c>
      <c r="M545">
        <f>tblPO[[#This Row],[Actual_Delivery_Date]]-tblPO[[#This Row],[PO_Date]]</f>
        <v>8</v>
      </c>
    </row>
    <row r="546" spans="1:13" x14ac:dyDescent="0.3">
      <c r="A546" t="s">
        <v>1712</v>
      </c>
      <c r="B546" s="18">
        <v>45406</v>
      </c>
      <c r="C546" t="s">
        <v>39</v>
      </c>
      <c r="D546" t="s">
        <v>172</v>
      </c>
      <c r="E546">
        <v>93</v>
      </c>
      <c r="F546">
        <v>38.15</v>
      </c>
      <c r="G546" s="18">
        <v>45435</v>
      </c>
      <c r="H546" s="18">
        <v>45434</v>
      </c>
      <c r="I546">
        <v>93</v>
      </c>
      <c r="J546">
        <v>3547.95</v>
      </c>
      <c r="K546">
        <f>IF(tblPO[[#This Row],[Actual_Delivery_Date]]&lt;=tblPO[[#This Row],[Expected_Delivery_Date]],1,0)</f>
        <v>1</v>
      </c>
      <c r="L546">
        <f>IF(tblPO[[#This Row],[Actual_Delivery_Date]]&gt;tblPO[[#This Row],[Expected_Delivery_Date]],1,0)</f>
        <v>0</v>
      </c>
      <c r="M546">
        <f>tblPO[[#This Row],[Actual_Delivery_Date]]-tblPO[[#This Row],[PO_Date]]</f>
        <v>28</v>
      </c>
    </row>
    <row r="547" spans="1:13" x14ac:dyDescent="0.3">
      <c r="A547" t="s">
        <v>1711</v>
      </c>
      <c r="B547" s="18">
        <v>45410</v>
      </c>
      <c r="C547" t="s">
        <v>44</v>
      </c>
      <c r="D547" t="s">
        <v>201</v>
      </c>
      <c r="E547">
        <v>103</v>
      </c>
      <c r="F547">
        <v>36.01</v>
      </c>
      <c r="G547" s="18">
        <v>45428</v>
      </c>
      <c r="H547" s="18">
        <v>45437</v>
      </c>
      <c r="I547">
        <v>103</v>
      </c>
      <c r="J547">
        <v>3709.03</v>
      </c>
      <c r="K547">
        <f>IF(tblPO[[#This Row],[Actual_Delivery_Date]]&lt;=tblPO[[#This Row],[Expected_Delivery_Date]],1,0)</f>
        <v>0</v>
      </c>
      <c r="L547">
        <f>IF(tblPO[[#This Row],[Actual_Delivery_Date]]&gt;tblPO[[#This Row],[Expected_Delivery_Date]],1,0)</f>
        <v>1</v>
      </c>
      <c r="M547">
        <f>tblPO[[#This Row],[Actual_Delivery_Date]]-tblPO[[#This Row],[PO_Date]]</f>
        <v>27</v>
      </c>
    </row>
    <row r="548" spans="1:13" x14ac:dyDescent="0.3">
      <c r="A548" t="s">
        <v>1710</v>
      </c>
      <c r="B548" s="18">
        <v>45401</v>
      </c>
      <c r="C548" t="s">
        <v>64</v>
      </c>
      <c r="D548" t="s">
        <v>132</v>
      </c>
      <c r="E548">
        <v>10</v>
      </c>
      <c r="F548">
        <v>1883.96</v>
      </c>
      <c r="G548" s="18">
        <v>45407</v>
      </c>
      <c r="H548" s="18">
        <v>45405</v>
      </c>
      <c r="I548">
        <v>8</v>
      </c>
      <c r="J548">
        <v>18839.599999999999</v>
      </c>
      <c r="K548">
        <f>IF(tblPO[[#This Row],[Actual_Delivery_Date]]&lt;=tblPO[[#This Row],[Expected_Delivery_Date]],1,0)</f>
        <v>1</v>
      </c>
      <c r="L548">
        <f>IF(tblPO[[#This Row],[Actual_Delivery_Date]]&gt;tblPO[[#This Row],[Expected_Delivery_Date]],1,0)</f>
        <v>0</v>
      </c>
      <c r="M548">
        <f>tblPO[[#This Row],[Actual_Delivery_Date]]-tblPO[[#This Row],[PO_Date]]</f>
        <v>4</v>
      </c>
    </row>
    <row r="549" spans="1:13" x14ac:dyDescent="0.3">
      <c r="A549" t="s">
        <v>1709</v>
      </c>
      <c r="B549" s="18">
        <v>45402</v>
      </c>
      <c r="C549" t="s">
        <v>58</v>
      </c>
      <c r="D549" t="s">
        <v>152</v>
      </c>
      <c r="E549">
        <v>754</v>
      </c>
      <c r="F549">
        <v>107.21</v>
      </c>
      <c r="G549" s="18">
        <v>45418</v>
      </c>
      <c r="H549" s="18">
        <v>45415</v>
      </c>
      <c r="I549">
        <v>754</v>
      </c>
      <c r="J549">
        <v>80836.34</v>
      </c>
      <c r="K549">
        <f>IF(tblPO[[#This Row],[Actual_Delivery_Date]]&lt;=tblPO[[#This Row],[Expected_Delivery_Date]],1,0)</f>
        <v>1</v>
      </c>
      <c r="L549">
        <f>IF(tblPO[[#This Row],[Actual_Delivery_Date]]&gt;tblPO[[#This Row],[Expected_Delivery_Date]],1,0)</f>
        <v>0</v>
      </c>
      <c r="M549">
        <f>tblPO[[#This Row],[Actual_Delivery_Date]]-tblPO[[#This Row],[PO_Date]]</f>
        <v>13</v>
      </c>
    </row>
    <row r="550" spans="1:13" x14ac:dyDescent="0.3">
      <c r="A550" t="s">
        <v>1708</v>
      </c>
      <c r="B550" s="18">
        <v>45393</v>
      </c>
      <c r="C550" t="s">
        <v>48</v>
      </c>
      <c r="D550" t="s">
        <v>162</v>
      </c>
      <c r="E550">
        <v>683</v>
      </c>
      <c r="F550">
        <v>47.79</v>
      </c>
      <c r="G550" s="18">
        <v>45406</v>
      </c>
      <c r="H550" s="18">
        <v>45404</v>
      </c>
      <c r="I550">
        <v>683</v>
      </c>
      <c r="J550">
        <v>32640.57</v>
      </c>
      <c r="K550">
        <f>IF(tblPO[[#This Row],[Actual_Delivery_Date]]&lt;=tblPO[[#This Row],[Expected_Delivery_Date]],1,0)</f>
        <v>1</v>
      </c>
      <c r="L550">
        <f>IF(tblPO[[#This Row],[Actual_Delivery_Date]]&gt;tblPO[[#This Row],[Expected_Delivery_Date]],1,0)</f>
        <v>0</v>
      </c>
      <c r="M550">
        <f>tblPO[[#This Row],[Actual_Delivery_Date]]-tblPO[[#This Row],[PO_Date]]</f>
        <v>11</v>
      </c>
    </row>
    <row r="551" spans="1:13" x14ac:dyDescent="0.3">
      <c r="A551" t="s">
        <v>1707</v>
      </c>
      <c r="B551" s="18">
        <v>45390</v>
      </c>
      <c r="C551" t="s">
        <v>54</v>
      </c>
      <c r="D551" t="s">
        <v>183</v>
      </c>
      <c r="E551">
        <v>549</v>
      </c>
      <c r="F551">
        <v>9.07</v>
      </c>
      <c r="G551" s="18">
        <v>45403</v>
      </c>
      <c r="H551" s="18">
        <v>45421</v>
      </c>
      <c r="I551">
        <v>549</v>
      </c>
      <c r="J551">
        <v>4979.43</v>
      </c>
      <c r="K551">
        <f>IF(tblPO[[#This Row],[Actual_Delivery_Date]]&lt;=tblPO[[#This Row],[Expected_Delivery_Date]],1,0)</f>
        <v>0</v>
      </c>
      <c r="L551">
        <f>IF(tblPO[[#This Row],[Actual_Delivery_Date]]&gt;tblPO[[#This Row],[Expected_Delivery_Date]],1,0)</f>
        <v>1</v>
      </c>
      <c r="M551">
        <f>tblPO[[#This Row],[Actual_Delivery_Date]]-tblPO[[#This Row],[PO_Date]]</f>
        <v>31</v>
      </c>
    </row>
    <row r="552" spans="1:13" x14ac:dyDescent="0.3">
      <c r="A552" t="s">
        <v>1706</v>
      </c>
      <c r="B552" s="18">
        <v>45406</v>
      </c>
      <c r="C552" t="s">
        <v>45</v>
      </c>
      <c r="D552" t="s">
        <v>229</v>
      </c>
      <c r="E552">
        <v>16</v>
      </c>
      <c r="F552">
        <v>1751.8</v>
      </c>
      <c r="G552" s="18">
        <v>45415</v>
      </c>
      <c r="H552" s="18">
        <v>45415</v>
      </c>
      <c r="I552">
        <v>16</v>
      </c>
      <c r="J552">
        <v>28028.799999999999</v>
      </c>
      <c r="K552">
        <f>IF(tblPO[[#This Row],[Actual_Delivery_Date]]&lt;=tblPO[[#This Row],[Expected_Delivery_Date]],1,0)</f>
        <v>1</v>
      </c>
      <c r="L552">
        <f>IF(tblPO[[#This Row],[Actual_Delivery_Date]]&gt;tblPO[[#This Row],[Expected_Delivery_Date]],1,0)</f>
        <v>0</v>
      </c>
      <c r="M552">
        <f>tblPO[[#This Row],[Actual_Delivery_Date]]-tblPO[[#This Row],[PO_Date]]</f>
        <v>9</v>
      </c>
    </row>
    <row r="553" spans="1:13" x14ac:dyDescent="0.3">
      <c r="A553" t="s">
        <v>1705</v>
      </c>
      <c r="B553" s="18">
        <v>45398</v>
      </c>
      <c r="C553" t="s">
        <v>50</v>
      </c>
      <c r="D553" t="s">
        <v>138</v>
      </c>
      <c r="E553">
        <v>3</v>
      </c>
      <c r="F553">
        <v>3798.7</v>
      </c>
      <c r="G553" s="18">
        <v>45415</v>
      </c>
      <c r="H553" s="18">
        <v>45415</v>
      </c>
      <c r="I553">
        <v>3</v>
      </c>
      <c r="J553">
        <v>11396.1</v>
      </c>
      <c r="K553">
        <f>IF(tblPO[[#This Row],[Actual_Delivery_Date]]&lt;=tblPO[[#This Row],[Expected_Delivery_Date]],1,0)</f>
        <v>1</v>
      </c>
      <c r="L553">
        <f>IF(tblPO[[#This Row],[Actual_Delivery_Date]]&gt;tblPO[[#This Row],[Expected_Delivery_Date]],1,0)</f>
        <v>0</v>
      </c>
      <c r="M553">
        <f>tblPO[[#This Row],[Actual_Delivery_Date]]-tblPO[[#This Row],[PO_Date]]</f>
        <v>17</v>
      </c>
    </row>
    <row r="554" spans="1:13" x14ac:dyDescent="0.3">
      <c r="A554" t="s">
        <v>1704</v>
      </c>
      <c r="B554" s="18">
        <v>45406</v>
      </c>
      <c r="C554" t="s">
        <v>66</v>
      </c>
      <c r="D554" t="s">
        <v>241</v>
      </c>
      <c r="E554">
        <v>12</v>
      </c>
      <c r="F554">
        <v>2729.49</v>
      </c>
      <c r="G554" s="18">
        <v>45423</v>
      </c>
      <c r="H554" s="18">
        <v>45421</v>
      </c>
      <c r="I554">
        <v>10</v>
      </c>
      <c r="J554">
        <v>32753.88</v>
      </c>
      <c r="K554">
        <f>IF(tblPO[[#This Row],[Actual_Delivery_Date]]&lt;=tblPO[[#This Row],[Expected_Delivery_Date]],1,0)</f>
        <v>1</v>
      </c>
      <c r="L554">
        <f>IF(tblPO[[#This Row],[Actual_Delivery_Date]]&gt;tblPO[[#This Row],[Expected_Delivery_Date]],1,0)</f>
        <v>0</v>
      </c>
      <c r="M554">
        <f>tblPO[[#This Row],[Actual_Delivery_Date]]-tblPO[[#This Row],[PO_Date]]</f>
        <v>15</v>
      </c>
    </row>
    <row r="555" spans="1:13" x14ac:dyDescent="0.3">
      <c r="A555" t="s">
        <v>1703</v>
      </c>
      <c r="B555" s="18">
        <v>45394</v>
      </c>
      <c r="C555" t="s">
        <v>39</v>
      </c>
      <c r="D555" t="s">
        <v>168</v>
      </c>
      <c r="E555">
        <v>604</v>
      </c>
      <c r="F555">
        <v>78.66</v>
      </c>
      <c r="G555" s="18">
        <v>45420</v>
      </c>
      <c r="H555" s="18">
        <v>45420</v>
      </c>
      <c r="I555">
        <v>604</v>
      </c>
      <c r="J555">
        <v>47510.64</v>
      </c>
      <c r="K555">
        <f>IF(tblPO[[#This Row],[Actual_Delivery_Date]]&lt;=tblPO[[#This Row],[Expected_Delivery_Date]],1,0)</f>
        <v>1</v>
      </c>
      <c r="L555">
        <f>IF(tblPO[[#This Row],[Actual_Delivery_Date]]&gt;tblPO[[#This Row],[Expected_Delivery_Date]],1,0)</f>
        <v>0</v>
      </c>
      <c r="M555">
        <f>tblPO[[#This Row],[Actual_Delivery_Date]]-tblPO[[#This Row],[PO_Date]]</f>
        <v>26</v>
      </c>
    </row>
    <row r="556" spans="1:13" x14ac:dyDescent="0.3">
      <c r="A556" t="s">
        <v>1702</v>
      </c>
      <c r="B556" s="18">
        <v>45407</v>
      </c>
      <c r="C556" t="s">
        <v>46</v>
      </c>
      <c r="D556" t="s">
        <v>81</v>
      </c>
      <c r="E556">
        <v>6</v>
      </c>
      <c r="F556">
        <v>26441.18</v>
      </c>
      <c r="G556" s="18">
        <v>45426</v>
      </c>
      <c r="H556" s="18">
        <v>45423</v>
      </c>
      <c r="I556">
        <v>6</v>
      </c>
      <c r="J556">
        <v>158647.07999999999</v>
      </c>
      <c r="K556">
        <f>IF(tblPO[[#This Row],[Actual_Delivery_Date]]&lt;=tblPO[[#This Row],[Expected_Delivery_Date]],1,0)</f>
        <v>1</v>
      </c>
      <c r="L556">
        <f>IF(tblPO[[#This Row],[Actual_Delivery_Date]]&gt;tblPO[[#This Row],[Expected_Delivery_Date]],1,0)</f>
        <v>0</v>
      </c>
      <c r="M556">
        <f>tblPO[[#This Row],[Actual_Delivery_Date]]-tblPO[[#This Row],[PO_Date]]</f>
        <v>16</v>
      </c>
    </row>
    <row r="557" spans="1:13" x14ac:dyDescent="0.3">
      <c r="A557" t="s">
        <v>1701</v>
      </c>
      <c r="B557" s="18">
        <v>45399</v>
      </c>
      <c r="C557" t="s">
        <v>46</v>
      </c>
      <c r="D557" t="s">
        <v>94</v>
      </c>
      <c r="E557">
        <v>58</v>
      </c>
      <c r="F557">
        <v>538.4</v>
      </c>
      <c r="G557" s="18">
        <v>45426</v>
      </c>
      <c r="H557" s="18">
        <v>45424</v>
      </c>
      <c r="I557">
        <v>58</v>
      </c>
      <c r="J557">
        <v>31227.200000000001</v>
      </c>
      <c r="K557">
        <f>IF(tblPO[[#This Row],[Actual_Delivery_Date]]&lt;=tblPO[[#This Row],[Expected_Delivery_Date]],1,0)</f>
        <v>1</v>
      </c>
      <c r="L557">
        <f>IF(tblPO[[#This Row],[Actual_Delivery_Date]]&gt;tblPO[[#This Row],[Expected_Delivery_Date]],1,0)</f>
        <v>0</v>
      </c>
      <c r="M557">
        <f>tblPO[[#This Row],[Actual_Delivery_Date]]-tblPO[[#This Row],[PO_Date]]</f>
        <v>25</v>
      </c>
    </row>
    <row r="558" spans="1:13" x14ac:dyDescent="0.3">
      <c r="A558" t="s">
        <v>1700</v>
      </c>
      <c r="B558" s="18">
        <v>45386</v>
      </c>
      <c r="C558" t="s">
        <v>38</v>
      </c>
      <c r="D558" t="s">
        <v>231</v>
      </c>
      <c r="E558">
        <v>92</v>
      </c>
      <c r="F558">
        <v>143.94999999999999</v>
      </c>
      <c r="G558" s="18">
        <v>45392</v>
      </c>
      <c r="H558" s="18">
        <v>45389</v>
      </c>
      <c r="I558">
        <v>90</v>
      </c>
      <c r="J558">
        <v>13243.4</v>
      </c>
      <c r="K558">
        <f>IF(tblPO[[#This Row],[Actual_Delivery_Date]]&lt;=tblPO[[#This Row],[Expected_Delivery_Date]],1,0)</f>
        <v>1</v>
      </c>
      <c r="L558">
        <f>IF(tblPO[[#This Row],[Actual_Delivery_Date]]&gt;tblPO[[#This Row],[Expected_Delivery_Date]],1,0)</f>
        <v>0</v>
      </c>
      <c r="M558">
        <f>tblPO[[#This Row],[Actual_Delivery_Date]]-tblPO[[#This Row],[PO_Date]]</f>
        <v>3</v>
      </c>
    </row>
    <row r="559" spans="1:13" x14ac:dyDescent="0.3">
      <c r="A559" t="s">
        <v>1699</v>
      </c>
      <c r="B559" s="18">
        <v>45386</v>
      </c>
      <c r="C559" t="s">
        <v>64</v>
      </c>
      <c r="D559" t="s">
        <v>138</v>
      </c>
      <c r="E559">
        <v>8</v>
      </c>
      <c r="F559">
        <v>2739.48</v>
      </c>
      <c r="G559" s="18">
        <v>45404</v>
      </c>
      <c r="H559" s="18">
        <v>45401</v>
      </c>
      <c r="I559">
        <v>8</v>
      </c>
      <c r="J559">
        <v>21915.84</v>
      </c>
      <c r="K559">
        <f>IF(tblPO[[#This Row],[Actual_Delivery_Date]]&lt;=tblPO[[#This Row],[Expected_Delivery_Date]],1,0)</f>
        <v>1</v>
      </c>
      <c r="L559">
        <f>IF(tblPO[[#This Row],[Actual_Delivery_Date]]&gt;tblPO[[#This Row],[Expected_Delivery_Date]],1,0)</f>
        <v>0</v>
      </c>
      <c r="M559">
        <f>tblPO[[#This Row],[Actual_Delivery_Date]]-tblPO[[#This Row],[PO_Date]]</f>
        <v>15</v>
      </c>
    </row>
    <row r="560" spans="1:13" x14ac:dyDescent="0.3">
      <c r="A560" t="s">
        <v>1698</v>
      </c>
      <c r="B560" s="18">
        <v>45399</v>
      </c>
      <c r="C560" t="s">
        <v>58</v>
      </c>
      <c r="D560" t="s">
        <v>149</v>
      </c>
      <c r="E560">
        <v>551</v>
      </c>
      <c r="F560">
        <v>85.63</v>
      </c>
      <c r="G560" s="18">
        <v>45429</v>
      </c>
      <c r="H560" s="18">
        <v>45428</v>
      </c>
      <c r="I560">
        <v>551</v>
      </c>
      <c r="J560">
        <v>47182.13</v>
      </c>
      <c r="K560">
        <f>IF(tblPO[[#This Row],[Actual_Delivery_Date]]&lt;=tblPO[[#This Row],[Expected_Delivery_Date]],1,0)</f>
        <v>1</v>
      </c>
      <c r="L560">
        <f>IF(tblPO[[#This Row],[Actual_Delivery_Date]]&gt;tblPO[[#This Row],[Expected_Delivery_Date]],1,0)</f>
        <v>0</v>
      </c>
      <c r="M560">
        <f>tblPO[[#This Row],[Actual_Delivery_Date]]-tblPO[[#This Row],[PO_Date]]</f>
        <v>29</v>
      </c>
    </row>
    <row r="561" spans="1:13" x14ac:dyDescent="0.3">
      <c r="A561" t="s">
        <v>1697</v>
      </c>
      <c r="B561" s="18">
        <v>45403</v>
      </c>
      <c r="C561" t="s">
        <v>45</v>
      </c>
      <c r="D561" t="s">
        <v>247</v>
      </c>
      <c r="E561">
        <v>63</v>
      </c>
      <c r="F561">
        <v>566.05999999999995</v>
      </c>
      <c r="G561" s="18">
        <v>45421</v>
      </c>
      <c r="H561" s="18">
        <v>45422</v>
      </c>
      <c r="I561">
        <v>63</v>
      </c>
      <c r="J561">
        <v>35661.78</v>
      </c>
      <c r="K561">
        <f>IF(tblPO[[#This Row],[Actual_Delivery_Date]]&lt;=tblPO[[#This Row],[Expected_Delivery_Date]],1,0)</f>
        <v>0</v>
      </c>
      <c r="L561">
        <f>IF(tblPO[[#This Row],[Actual_Delivery_Date]]&gt;tblPO[[#This Row],[Expected_Delivery_Date]],1,0)</f>
        <v>1</v>
      </c>
      <c r="M561">
        <f>tblPO[[#This Row],[Actual_Delivery_Date]]-tblPO[[#This Row],[PO_Date]]</f>
        <v>19</v>
      </c>
    </row>
    <row r="562" spans="1:13" x14ac:dyDescent="0.3">
      <c r="A562" t="s">
        <v>1696</v>
      </c>
      <c r="B562" s="18">
        <v>45409</v>
      </c>
      <c r="C562" t="s">
        <v>46</v>
      </c>
      <c r="D562" t="s">
        <v>90</v>
      </c>
      <c r="E562">
        <v>7</v>
      </c>
      <c r="F562">
        <v>33769.96</v>
      </c>
      <c r="G562" s="18">
        <v>45432</v>
      </c>
      <c r="H562" s="18">
        <v>45429</v>
      </c>
      <c r="I562">
        <v>7</v>
      </c>
      <c r="J562">
        <v>236389.72</v>
      </c>
      <c r="K562">
        <f>IF(tblPO[[#This Row],[Actual_Delivery_Date]]&lt;=tblPO[[#This Row],[Expected_Delivery_Date]],1,0)</f>
        <v>1</v>
      </c>
      <c r="L562">
        <f>IF(tblPO[[#This Row],[Actual_Delivery_Date]]&gt;tblPO[[#This Row],[Expected_Delivery_Date]],1,0)</f>
        <v>0</v>
      </c>
      <c r="M562">
        <f>tblPO[[#This Row],[Actual_Delivery_Date]]-tblPO[[#This Row],[PO_Date]]</f>
        <v>20</v>
      </c>
    </row>
    <row r="563" spans="1:13" x14ac:dyDescent="0.3">
      <c r="A563" t="s">
        <v>1695</v>
      </c>
      <c r="B563" s="18">
        <v>45409</v>
      </c>
      <c r="C563" t="s">
        <v>63</v>
      </c>
      <c r="D563" t="s">
        <v>168</v>
      </c>
      <c r="E563">
        <v>122</v>
      </c>
      <c r="F563">
        <v>83.39</v>
      </c>
      <c r="G563" s="18">
        <v>45430</v>
      </c>
      <c r="H563" s="18">
        <v>45428</v>
      </c>
      <c r="I563">
        <v>122</v>
      </c>
      <c r="J563">
        <v>10173.58</v>
      </c>
      <c r="K563">
        <f>IF(tblPO[[#This Row],[Actual_Delivery_Date]]&lt;=tblPO[[#This Row],[Expected_Delivery_Date]],1,0)</f>
        <v>1</v>
      </c>
      <c r="L563">
        <f>IF(tblPO[[#This Row],[Actual_Delivery_Date]]&gt;tblPO[[#This Row],[Expected_Delivery_Date]],1,0)</f>
        <v>0</v>
      </c>
      <c r="M563">
        <f>tblPO[[#This Row],[Actual_Delivery_Date]]-tblPO[[#This Row],[PO_Date]]</f>
        <v>19</v>
      </c>
    </row>
    <row r="564" spans="1:13" x14ac:dyDescent="0.3">
      <c r="A564" t="s">
        <v>1694</v>
      </c>
      <c r="B564" s="18">
        <v>45400</v>
      </c>
      <c r="C564" t="s">
        <v>40</v>
      </c>
      <c r="D564" t="s">
        <v>140</v>
      </c>
      <c r="E564">
        <v>69</v>
      </c>
      <c r="F564">
        <v>426.93</v>
      </c>
      <c r="G564" s="18">
        <v>45415</v>
      </c>
      <c r="H564" s="18">
        <v>45413</v>
      </c>
      <c r="I564">
        <v>69</v>
      </c>
      <c r="J564">
        <v>29458.17</v>
      </c>
      <c r="K564">
        <f>IF(tblPO[[#This Row],[Actual_Delivery_Date]]&lt;=tblPO[[#This Row],[Expected_Delivery_Date]],1,0)</f>
        <v>1</v>
      </c>
      <c r="L564">
        <f>IF(tblPO[[#This Row],[Actual_Delivery_Date]]&gt;tblPO[[#This Row],[Expected_Delivery_Date]],1,0)</f>
        <v>0</v>
      </c>
      <c r="M564">
        <f>tblPO[[#This Row],[Actual_Delivery_Date]]-tblPO[[#This Row],[PO_Date]]</f>
        <v>13</v>
      </c>
    </row>
    <row r="565" spans="1:13" x14ac:dyDescent="0.3">
      <c r="A565" t="s">
        <v>1693</v>
      </c>
      <c r="B565" s="18">
        <v>45396</v>
      </c>
      <c r="C565" t="s">
        <v>48</v>
      </c>
      <c r="D565" t="s">
        <v>172</v>
      </c>
      <c r="E565">
        <v>621</v>
      </c>
      <c r="F565">
        <v>41.79</v>
      </c>
      <c r="G565" s="18">
        <v>45411</v>
      </c>
      <c r="H565" s="18">
        <v>45410</v>
      </c>
      <c r="I565">
        <v>621</v>
      </c>
      <c r="J565">
        <v>25951.59</v>
      </c>
      <c r="K565">
        <f>IF(tblPO[[#This Row],[Actual_Delivery_Date]]&lt;=tblPO[[#This Row],[Expected_Delivery_Date]],1,0)</f>
        <v>1</v>
      </c>
      <c r="L565">
        <f>IF(tblPO[[#This Row],[Actual_Delivery_Date]]&gt;tblPO[[#This Row],[Expected_Delivery_Date]],1,0)</f>
        <v>0</v>
      </c>
      <c r="M565">
        <f>tblPO[[#This Row],[Actual_Delivery_Date]]-tblPO[[#This Row],[PO_Date]]</f>
        <v>14</v>
      </c>
    </row>
    <row r="566" spans="1:13" x14ac:dyDescent="0.3">
      <c r="A566" t="s">
        <v>1692</v>
      </c>
      <c r="B566" s="18">
        <v>45388</v>
      </c>
      <c r="C566" t="s">
        <v>53</v>
      </c>
      <c r="D566" t="s">
        <v>88</v>
      </c>
      <c r="E566">
        <v>2</v>
      </c>
      <c r="F566">
        <v>18060.64</v>
      </c>
      <c r="G566" s="18">
        <v>45405</v>
      </c>
      <c r="H566" s="18">
        <v>45404</v>
      </c>
      <c r="I566">
        <v>2</v>
      </c>
      <c r="J566">
        <v>36121.279999999999</v>
      </c>
      <c r="K566">
        <f>IF(tblPO[[#This Row],[Actual_Delivery_Date]]&lt;=tblPO[[#This Row],[Expected_Delivery_Date]],1,0)</f>
        <v>1</v>
      </c>
      <c r="L566">
        <f>IF(tblPO[[#This Row],[Actual_Delivery_Date]]&gt;tblPO[[#This Row],[Expected_Delivery_Date]],1,0)</f>
        <v>0</v>
      </c>
      <c r="M566">
        <f>tblPO[[#This Row],[Actual_Delivery_Date]]-tblPO[[#This Row],[PO_Date]]</f>
        <v>16</v>
      </c>
    </row>
    <row r="567" spans="1:13" x14ac:dyDescent="0.3">
      <c r="A567" t="s">
        <v>1691</v>
      </c>
      <c r="B567" s="18">
        <v>45412</v>
      </c>
      <c r="C567" t="s">
        <v>39</v>
      </c>
      <c r="D567" t="s">
        <v>160</v>
      </c>
      <c r="E567">
        <v>503</v>
      </c>
      <c r="F567">
        <v>116.57</v>
      </c>
      <c r="G567" s="18">
        <v>45435</v>
      </c>
      <c r="H567" s="18">
        <v>45434</v>
      </c>
      <c r="I567">
        <v>503</v>
      </c>
      <c r="J567">
        <v>58634.71</v>
      </c>
      <c r="K567">
        <f>IF(tblPO[[#This Row],[Actual_Delivery_Date]]&lt;=tblPO[[#This Row],[Expected_Delivery_Date]],1,0)</f>
        <v>1</v>
      </c>
      <c r="L567">
        <f>IF(tblPO[[#This Row],[Actual_Delivery_Date]]&gt;tblPO[[#This Row],[Expected_Delivery_Date]],1,0)</f>
        <v>0</v>
      </c>
      <c r="M567">
        <f>tblPO[[#This Row],[Actual_Delivery_Date]]-tblPO[[#This Row],[PO_Date]]</f>
        <v>22</v>
      </c>
    </row>
    <row r="568" spans="1:13" x14ac:dyDescent="0.3">
      <c r="A568" t="s">
        <v>1690</v>
      </c>
      <c r="B568" s="18">
        <v>45409</v>
      </c>
      <c r="C568" t="s">
        <v>43</v>
      </c>
      <c r="D568" t="s">
        <v>164</v>
      </c>
      <c r="E568">
        <v>120</v>
      </c>
      <c r="F568">
        <v>114.88</v>
      </c>
      <c r="G568" s="18">
        <v>45422</v>
      </c>
      <c r="H568" s="18">
        <v>45420</v>
      </c>
      <c r="I568">
        <v>120</v>
      </c>
      <c r="J568">
        <v>13785.6</v>
      </c>
      <c r="K568">
        <f>IF(tblPO[[#This Row],[Actual_Delivery_Date]]&lt;=tblPO[[#This Row],[Expected_Delivery_Date]],1,0)</f>
        <v>1</v>
      </c>
      <c r="L568">
        <f>IF(tblPO[[#This Row],[Actual_Delivery_Date]]&gt;tblPO[[#This Row],[Expected_Delivery_Date]],1,0)</f>
        <v>0</v>
      </c>
      <c r="M568">
        <f>tblPO[[#This Row],[Actual_Delivery_Date]]-tblPO[[#This Row],[PO_Date]]</f>
        <v>11</v>
      </c>
    </row>
    <row r="569" spans="1:13" x14ac:dyDescent="0.3">
      <c r="A569" t="s">
        <v>1689</v>
      </c>
      <c r="B569" s="18">
        <v>45394</v>
      </c>
      <c r="C569" t="s">
        <v>48</v>
      </c>
      <c r="D569" t="s">
        <v>160</v>
      </c>
      <c r="E569">
        <v>310</v>
      </c>
      <c r="F569">
        <v>127.71</v>
      </c>
      <c r="G569" s="18">
        <v>45420</v>
      </c>
      <c r="H569" s="18">
        <v>45420</v>
      </c>
      <c r="I569">
        <v>273</v>
      </c>
      <c r="J569">
        <v>39590.1</v>
      </c>
      <c r="K569">
        <f>IF(tblPO[[#This Row],[Actual_Delivery_Date]]&lt;=tblPO[[#This Row],[Expected_Delivery_Date]],1,0)</f>
        <v>1</v>
      </c>
      <c r="L569">
        <f>IF(tblPO[[#This Row],[Actual_Delivery_Date]]&gt;tblPO[[#This Row],[Expected_Delivery_Date]],1,0)</f>
        <v>0</v>
      </c>
      <c r="M569">
        <f>tblPO[[#This Row],[Actual_Delivery_Date]]-tblPO[[#This Row],[PO_Date]]</f>
        <v>26</v>
      </c>
    </row>
    <row r="570" spans="1:13" x14ac:dyDescent="0.3">
      <c r="A570" t="s">
        <v>1688</v>
      </c>
      <c r="B570" s="18">
        <v>45387</v>
      </c>
      <c r="C570" t="s">
        <v>60</v>
      </c>
      <c r="D570" t="s">
        <v>134</v>
      </c>
      <c r="E570">
        <v>18</v>
      </c>
      <c r="F570">
        <v>3047.17</v>
      </c>
      <c r="G570" s="18">
        <v>45399</v>
      </c>
      <c r="H570" s="18">
        <v>45397</v>
      </c>
      <c r="I570">
        <v>18</v>
      </c>
      <c r="J570">
        <v>54849.06</v>
      </c>
      <c r="K570">
        <f>IF(tblPO[[#This Row],[Actual_Delivery_Date]]&lt;=tblPO[[#This Row],[Expected_Delivery_Date]],1,0)</f>
        <v>1</v>
      </c>
      <c r="L570">
        <f>IF(tblPO[[#This Row],[Actual_Delivery_Date]]&gt;tblPO[[#This Row],[Expected_Delivery_Date]],1,0)</f>
        <v>0</v>
      </c>
      <c r="M570">
        <f>tblPO[[#This Row],[Actual_Delivery_Date]]-tblPO[[#This Row],[PO_Date]]</f>
        <v>10</v>
      </c>
    </row>
    <row r="571" spans="1:13" x14ac:dyDescent="0.3">
      <c r="A571" t="s">
        <v>1687</v>
      </c>
      <c r="B571" s="18">
        <v>45412</v>
      </c>
      <c r="C571" t="s">
        <v>46</v>
      </c>
      <c r="D571" t="s">
        <v>100</v>
      </c>
      <c r="E571">
        <v>5</v>
      </c>
      <c r="F571">
        <v>54097.66</v>
      </c>
      <c r="G571" s="18">
        <v>45441</v>
      </c>
      <c r="H571" s="18">
        <v>45439</v>
      </c>
      <c r="I571">
        <v>5</v>
      </c>
      <c r="J571">
        <v>270488.3</v>
      </c>
      <c r="K571">
        <f>IF(tblPO[[#This Row],[Actual_Delivery_Date]]&lt;=tblPO[[#This Row],[Expected_Delivery_Date]],1,0)</f>
        <v>1</v>
      </c>
      <c r="L571">
        <f>IF(tblPO[[#This Row],[Actual_Delivery_Date]]&gt;tblPO[[#This Row],[Expected_Delivery_Date]],1,0)</f>
        <v>0</v>
      </c>
      <c r="M571">
        <f>tblPO[[#This Row],[Actual_Delivery_Date]]-tblPO[[#This Row],[PO_Date]]</f>
        <v>27</v>
      </c>
    </row>
    <row r="572" spans="1:13" x14ac:dyDescent="0.3">
      <c r="A572" t="s">
        <v>1686</v>
      </c>
      <c r="B572" s="18">
        <v>45391</v>
      </c>
      <c r="C572" t="s">
        <v>43</v>
      </c>
      <c r="D572" t="s">
        <v>162</v>
      </c>
      <c r="E572">
        <v>191</v>
      </c>
      <c r="F572">
        <v>33.81</v>
      </c>
      <c r="G572" s="18">
        <v>45405</v>
      </c>
      <c r="H572" s="18">
        <v>45407</v>
      </c>
      <c r="I572">
        <v>191</v>
      </c>
      <c r="J572">
        <v>6457.71</v>
      </c>
      <c r="K572">
        <f>IF(tblPO[[#This Row],[Actual_Delivery_Date]]&lt;=tblPO[[#This Row],[Expected_Delivery_Date]],1,0)</f>
        <v>0</v>
      </c>
      <c r="L572">
        <f>IF(tblPO[[#This Row],[Actual_Delivery_Date]]&gt;tblPO[[#This Row],[Expected_Delivery_Date]],1,0)</f>
        <v>1</v>
      </c>
      <c r="M572">
        <f>tblPO[[#This Row],[Actual_Delivery_Date]]-tblPO[[#This Row],[PO_Date]]</f>
        <v>16</v>
      </c>
    </row>
    <row r="573" spans="1:13" x14ac:dyDescent="0.3">
      <c r="A573" t="s">
        <v>1685</v>
      </c>
      <c r="B573" s="18">
        <v>45395</v>
      </c>
      <c r="C573" t="s">
        <v>69</v>
      </c>
      <c r="D573" t="s">
        <v>117</v>
      </c>
      <c r="E573">
        <v>156</v>
      </c>
      <c r="F573">
        <v>270.8</v>
      </c>
      <c r="G573" s="18">
        <v>45404</v>
      </c>
      <c r="H573" s="18">
        <v>45403</v>
      </c>
      <c r="I573">
        <v>156</v>
      </c>
      <c r="J573">
        <v>42244.800000000003</v>
      </c>
      <c r="K573">
        <f>IF(tblPO[[#This Row],[Actual_Delivery_Date]]&lt;=tblPO[[#This Row],[Expected_Delivery_Date]],1,0)</f>
        <v>1</v>
      </c>
      <c r="L573">
        <f>IF(tblPO[[#This Row],[Actual_Delivery_Date]]&gt;tblPO[[#This Row],[Expected_Delivery_Date]],1,0)</f>
        <v>0</v>
      </c>
      <c r="M573">
        <f>tblPO[[#This Row],[Actual_Delivery_Date]]-tblPO[[#This Row],[PO_Date]]</f>
        <v>8</v>
      </c>
    </row>
    <row r="574" spans="1:13" x14ac:dyDescent="0.3">
      <c r="A574" t="s">
        <v>1684</v>
      </c>
      <c r="B574" s="18">
        <v>45405</v>
      </c>
      <c r="C574" t="s">
        <v>63</v>
      </c>
      <c r="D574" t="s">
        <v>172</v>
      </c>
      <c r="E574">
        <v>756</v>
      </c>
      <c r="F574">
        <v>40.92</v>
      </c>
      <c r="G574" s="18">
        <v>45435</v>
      </c>
      <c r="H574" s="18">
        <v>45432</v>
      </c>
      <c r="I574">
        <v>756</v>
      </c>
      <c r="J574">
        <v>30935.52</v>
      </c>
      <c r="K574">
        <f>IF(tblPO[[#This Row],[Actual_Delivery_Date]]&lt;=tblPO[[#This Row],[Expected_Delivery_Date]],1,0)</f>
        <v>1</v>
      </c>
      <c r="L574">
        <f>IF(tblPO[[#This Row],[Actual_Delivery_Date]]&gt;tblPO[[#This Row],[Expected_Delivery_Date]],1,0)</f>
        <v>0</v>
      </c>
      <c r="M574">
        <f>tblPO[[#This Row],[Actual_Delivery_Date]]-tblPO[[#This Row],[PO_Date]]</f>
        <v>27</v>
      </c>
    </row>
    <row r="575" spans="1:13" x14ac:dyDescent="0.3">
      <c r="A575" t="s">
        <v>1683</v>
      </c>
      <c r="B575" s="18">
        <v>45395</v>
      </c>
      <c r="C575" t="s">
        <v>54</v>
      </c>
      <c r="D575" t="s">
        <v>201</v>
      </c>
      <c r="E575">
        <v>640</v>
      </c>
      <c r="F575">
        <v>33.799999999999997</v>
      </c>
      <c r="G575" s="18">
        <v>45400</v>
      </c>
      <c r="H575" s="18">
        <v>45403</v>
      </c>
      <c r="I575">
        <v>640</v>
      </c>
      <c r="J575">
        <v>21632</v>
      </c>
      <c r="K575">
        <f>IF(tblPO[[#This Row],[Actual_Delivery_Date]]&lt;=tblPO[[#This Row],[Expected_Delivery_Date]],1,0)</f>
        <v>0</v>
      </c>
      <c r="L575">
        <f>IF(tblPO[[#This Row],[Actual_Delivery_Date]]&gt;tblPO[[#This Row],[Expected_Delivery_Date]],1,0)</f>
        <v>1</v>
      </c>
      <c r="M575">
        <f>tblPO[[#This Row],[Actual_Delivery_Date]]-tblPO[[#This Row],[PO_Date]]</f>
        <v>8</v>
      </c>
    </row>
    <row r="576" spans="1:13" x14ac:dyDescent="0.3">
      <c r="A576" t="s">
        <v>1682</v>
      </c>
      <c r="B576" s="18">
        <v>45386</v>
      </c>
      <c r="C576" t="s">
        <v>41</v>
      </c>
      <c r="D576" t="s">
        <v>181</v>
      </c>
      <c r="E576">
        <v>1877</v>
      </c>
      <c r="F576">
        <v>4.12</v>
      </c>
      <c r="G576" s="18">
        <v>45396</v>
      </c>
      <c r="H576" s="18">
        <v>45393</v>
      </c>
      <c r="I576">
        <v>1877</v>
      </c>
      <c r="J576">
        <v>7733.24</v>
      </c>
      <c r="K576">
        <f>IF(tblPO[[#This Row],[Actual_Delivery_Date]]&lt;=tblPO[[#This Row],[Expected_Delivery_Date]],1,0)</f>
        <v>1</v>
      </c>
      <c r="L576">
        <f>IF(tblPO[[#This Row],[Actual_Delivery_Date]]&gt;tblPO[[#This Row],[Expected_Delivery_Date]],1,0)</f>
        <v>0</v>
      </c>
      <c r="M576">
        <f>tblPO[[#This Row],[Actual_Delivery_Date]]-tblPO[[#This Row],[PO_Date]]</f>
        <v>7</v>
      </c>
    </row>
    <row r="577" spans="1:13" x14ac:dyDescent="0.3">
      <c r="A577" t="s">
        <v>1681</v>
      </c>
      <c r="B577" s="18">
        <v>45399</v>
      </c>
      <c r="C577" t="s">
        <v>67</v>
      </c>
      <c r="D577" t="s">
        <v>90</v>
      </c>
      <c r="E577">
        <v>5</v>
      </c>
      <c r="F577">
        <v>30510.45</v>
      </c>
      <c r="G577" s="18">
        <v>45412</v>
      </c>
      <c r="H577" s="18">
        <v>45410</v>
      </c>
      <c r="I577">
        <v>5</v>
      </c>
      <c r="J577">
        <v>152552.25</v>
      </c>
      <c r="K577">
        <f>IF(tblPO[[#This Row],[Actual_Delivery_Date]]&lt;=tblPO[[#This Row],[Expected_Delivery_Date]],1,0)</f>
        <v>1</v>
      </c>
      <c r="L577">
        <f>IF(tblPO[[#This Row],[Actual_Delivery_Date]]&gt;tblPO[[#This Row],[Expected_Delivery_Date]],1,0)</f>
        <v>0</v>
      </c>
      <c r="M577">
        <f>tblPO[[#This Row],[Actual_Delivery_Date]]-tblPO[[#This Row],[PO_Date]]</f>
        <v>11</v>
      </c>
    </row>
    <row r="578" spans="1:13" x14ac:dyDescent="0.3">
      <c r="A578" t="s">
        <v>1680</v>
      </c>
      <c r="B578" s="18">
        <v>45404</v>
      </c>
      <c r="C578" t="s">
        <v>68</v>
      </c>
      <c r="D578" t="s">
        <v>154</v>
      </c>
      <c r="E578">
        <v>101</v>
      </c>
      <c r="F578">
        <v>51.86</v>
      </c>
      <c r="G578" s="18">
        <v>45419</v>
      </c>
      <c r="H578" s="18">
        <v>45437</v>
      </c>
      <c r="I578">
        <v>101</v>
      </c>
      <c r="J578">
        <v>5237.8599999999997</v>
      </c>
      <c r="K578">
        <f>IF(tblPO[[#This Row],[Actual_Delivery_Date]]&lt;=tblPO[[#This Row],[Expected_Delivery_Date]],1,0)</f>
        <v>0</v>
      </c>
      <c r="L578">
        <f>IF(tblPO[[#This Row],[Actual_Delivery_Date]]&gt;tblPO[[#This Row],[Expected_Delivery_Date]],1,0)</f>
        <v>1</v>
      </c>
      <c r="M578">
        <f>tblPO[[#This Row],[Actual_Delivery_Date]]-tblPO[[#This Row],[PO_Date]]</f>
        <v>33</v>
      </c>
    </row>
    <row r="579" spans="1:13" x14ac:dyDescent="0.3">
      <c r="A579" t="s">
        <v>1679</v>
      </c>
      <c r="B579" s="18">
        <v>45392</v>
      </c>
      <c r="C579" t="s">
        <v>45</v>
      </c>
      <c r="D579" t="s">
        <v>219</v>
      </c>
      <c r="E579">
        <v>492</v>
      </c>
      <c r="F579">
        <v>87.29</v>
      </c>
      <c r="G579" s="18">
        <v>45407</v>
      </c>
      <c r="H579" s="18">
        <v>45406</v>
      </c>
      <c r="I579">
        <v>492</v>
      </c>
      <c r="J579">
        <v>42946.68</v>
      </c>
      <c r="K579">
        <f>IF(tblPO[[#This Row],[Actual_Delivery_Date]]&lt;=tblPO[[#This Row],[Expected_Delivery_Date]],1,0)</f>
        <v>1</v>
      </c>
      <c r="L579">
        <f>IF(tblPO[[#This Row],[Actual_Delivery_Date]]&gt;tblPO[[#This Row],[Expected_Delivery_Date]],1,0)</f>
        <v>0</v>
      </c>
      <c r="M579">
        <f>tblPO[[#This Row],[Actual_Delivery_Date]]-tblPO[[#This Row],[PO_Date]]</f>
        <v>14</v>
      </c>
    </row>
    <row r="580" spans="1:13" x14ac:dyDescent="0.3">
      <c r="A580" t="s">
        <v>1678</v>
      </c>
      <c r="B580" s="18">
        <v>45395</v>
      </c>
      <c r="C580" t="s">
        <v>39</v>
      </c>
      <c r="D580" t="s">
        <v>158</v>
      </c>
      <c r="E580">
        <v>150</v>
      </c>
      <c r="F580">
        <v>132.35</v>
      </c>
      <c r="G580" s="18">
        <v>45415</v>
      </c>
      <c r="H580" s="18">
        <v>45415</v>
      </c>
      <c r="I580">
        <v>150</v>
      </c>
      <c r="J580">
        <v>19852.5</v>
      </c>
      <c r="K580">
        <f>IF(tblPO[[#This Row],[Actual_Delivery_Date]]&lt;=tblPO[[#This Row],[Expected_Delivery_Date]],1,0)</f>
        <v>1</v>
      </c>
      <c r="L580">
        <f>IF(tblPO[[#This Row],[Actual_Delivery_Date]]&gt;tblPO[[#This Row],[Expected_Delivery_Date]],1,0)</f>
        <v>0</v>
      </c>
      <c r="M580">
        <f>tblPO[[#This Row],[Actual_Delivery_Date]]-tblPO[[#This Row],[PO_Date]]</f>
        <v>20</v>
      </c>
    </row>
    <row r="581" spans="1:13" x14ac:dyDescent="0.3">
      <c r="A581" t="s">
        <v>1677</v>
      </c>
      <c r="B581" s="18">
        <v>45400</v>
      </c>
      <c r="C581" t="s">
        <v>44</v>
      </c>
      <c r="D581" t="s">
        <v>205</v>
      </c>
      <c r="E581">
        <v>133</v>
      </c>
      <c r="F581">
        <v>376.74</v>
      </c>
      <c r="G581" s="18">
        <v>45418</v>
      </c>
      <c r="H581" s="18">
        <v>45416</v>
      </c>
      <c r="I581">
        <v>133</v>
      </c>
      <c r="J581">
        <v>50106.42</v>
      </c>
      <c r="K581">
        <f>IF(tblPO[[#This Row],[Actual_Delivery_Date]]&lt;=tblPO[[#This Row],[Expected_Delivery_Date]],1,0)</f>
        <v>1</v>
      </c>
      <c r="L581">
        <f>IF(tblPO[[#This Row],[Actual_Delivery_Date]]&gt;tblPO[[#This Row],[Expected_Delivery_Date]],1,0)</f>
        <v>0</v>
      </c>
      <c r="M581">
        <f>tblPO[[#This Row],[Actual_Delivery_Date]]-tblPO[[#This Row],[PO_Date]]</f>
        <v>16</v>
      </c>
    </row>
    <row r="582" spans="1:13" x14ac:dyDescent="0.3">
      <c r="A582" t="s">
        <v>1676</v>
      </c>
      <c r="B582" s="18">
        <v>45391</v>
      </c>
      <c r="C582" t="s">
        <v>52</v>
      </c>
      <c r="D582" t="s">
        <v>219</v>
      </c>
      <c r="E582">
        <v>123</v>
      </c>
      <c r="F582">
        <v>90.28</v>
      </c>
      <c r="G582" s="18">
        <v>45407</v>
      </c>
      <c r="H582" s="18">
        <v>45404</v>
      </c>
      <c r="I582">
        <v>123</v>
      </c>
      <c r="J582">
        <v>11104.44</v>
      </c>
      <c r="K582">
        <f>IF(tblPO[[#This Row],[Actual_Delivery_Date]]&lt;=tblPO[[#This Row],[Expected_Delivery_Date]],1,0)</f>
        <v>1</v>
      </c>
      <c r="L582">
        <f>IF(tblPO[[#This Row],[Actual_Delivery_Date]]&gt;tblPO[[#This Row],[Expected_Delivery_Date]],1,0)</f>
        <v>0</v>
      </c>
      <c r="M582">
        <f>tblPO[[#This Row],[Actual_Delivery_Date]]-tblPO[[#This Row],[PO_Date]]</f>
        <v>13</v>
      </c>
    </row>
    <row r="583" spans="1:13" x14ac:dyDescent="0.3">
      <c r="A583" t="s">
        <v>1675</v>
      </c>
      <c r="B583" s="18">
        <v>45389</v>
      </c>
      <c r="C583" t="s">
        <v>53</v>
      </c>
      <c r="D583" t="s">
        <v>98</v>
      </c>
      <c r="E583">
        <v>13</v>
      </c>
      <c r="F583">
        <v>9372.32</v>
      </c>
      <c r="G583" s="18">
        <v>45411</v>
      </c>
      <c r="H583" s="18">
        <v>45408</v>
      </c>
      <c r="I583">
        <v>13</v>
      </c>
      <c r="J583">
        <v>121840.16</v>
      </c>
      <c r="K583">
        <f>IF(tblPO[[#This Row],[Actual_Delivery_Date]]&lt;=tblPO[[#This Row],[Expected_Delivery_Date]],1,0)</f>
        <v>1</v>
      </c>
      <c r="L583">
        <f>IF(tblPO[[#This Row],[Actual_Delivery_Date]]&gt;tblPO[[#This Row],[Expected_Delivery_Date]],1,0)</f>
        <v>0</v>
      </c>
      <c r="M583">
        <f>tblPO[[#This Row],[Actual_Delivery_Date]]-tblPO[[#This Row],[PO_Date]]</f>
        <v>19</v>
      </c>
    </row>
    <row r="584" spans="1:13" x14ac:dyDescent="0.3">
      <c r="A584" t="s">
        <v>1674</v>
      </c>
      <c r="B584" s="18">
        <v>45402</v>
      </c>
      <c r="C584" t="s">
        <v>42</v>
      </c>
      <c r="D584" t="s">
        <v>106</v>
      </c>
      <c r="E584">
        <v>8</v>
      </c>
      <c r="F584">
        <v>23450.5</v>
      </c>
      <c r="G584" s="18">
        <v>45418</v>
      </c>
      <c r="H584" s="18">
        <v>45416</v>
      </c>
      <c r="I584">
        <v>8</v>
      </c>
      <c r="J584">
        <v>187604</v>
      </c>
      <c r="K584">
        <f>IF(tblPO[[#This Row],[Actual_Delivery_Date]]&lt;=tblPO[[#This Row],[Expected_Delivery_Date]],1,0)</f>
        <v>1</v>
      </c>
      <c r="L584">
        <f>IF(tblPO[[#This Row],[Actual_Delivery_Date]]&gt;tblPO[[#This Row],[Expected_Delivery_Date]],1,0)</f>
        <v>0</v>
      </c>
      <c r="M584">
        <f>tblPO[[#This Row],[Actual_Delivery_Date]]-tblPO[[#This Row],[PO_Date]]</f>
        <v>14</v>
      </c>
    </row>
    <row r="585" spans="1:13" x14ac:dyDescent="0.3">
      <c r="A585" t="s">
        <v>1673</v>
      </c>
      <c r="B585" s="18">
        <v>45410</v>
      </c>
      <c r="C585" t="s">
        <v>52</v>
      </c>
      <c r="D585" t="s">
        <v>229</v>
      </c>
      <c r="E585">
        <v>25</v>
      </c>
      <c r="F585">
        <v>1697.95</v>
      </c>
      <c r="G585" s="18">
        <v>45415</v>
      </c>
      <c r="H585" s="18">
        <v>45412</v>
      </c>
      <c r="I585">
        <v>25</v>
      </c>
      <c r="J585">
        <v>42448.75</v>
      </c>
      <c r="K585">
        <f>IF(tblPO[[#This Row],[Actual_Delivery_Date]]&lt;=tblPO[[#This Row],[Expected_Delivery_Date]],1,0)</f>
        <v>1</v>
      </c>
      <c r="L585">
        <f>IF(tblPO[[#This Row],[Actual_Delivery_Date]]&gt;tblPO[[#This Row],[Expected_Delivery_Date]],1,0)</f>
        <v>0</v>
      </c>
      <c r="M585">
        <f>tblPO[[#This Row],[Actual_Delivery_Date]]-tblPO[[#This Row],[PO_Date]]</f>
        <v>2</v>
      </c>
    </row>
    <row r="586" spans="1:13" x14ac:dyDescent="0.3">
      <c r="A586" t="s">
        <v>1672</v>
      </c>
      <c r="B586" s="18">
        <v>45383</v>
      </c>
      <c r="C586" t="s">
        <v>59</v>
      </c>
      <c r="D586" t="s">
        <v>92</v>
      </c>
      <c r="E586">
        <v>11</v>
      </c>
      <c r="F586">
        <v>2947.29</v>
      </c>
      <c r="G586" s="18">
        <v>45396</v>
      </c>
      <c r="H586" s="18">
        <v>45397</v>
      </c>
      <c r="I586">
        <v>11</v>
      </c>
      <c r="J586">
        <v>32420.19</v>
      </c>
      <c r="K586">
        <f>IF(tblPO[[#This Row],[Actual_Delivery_Date]]&lt;=tblPO[[#This Row],[Expected_Delivery_Date]],1,0)</f>
        <v>0</v>
      </c>
      <c r="L586">
        <f>IF(tblPO[[#This Row],[Actual_Delivery_Date]]&gt;tblPO[[#This Row],[Expected_Delivery_Date]],1,0)</f>
        <v>1</v>
      </c>
      <c r="M586">
        <f>tblPO[[#This Row],[Actual_Delivery_Date]]-tblPO[[#This Row],[PO_Date]]</f>
        <v>14</v>
      </c>
    </row>
    <row r="587" spans="1:13" x14ac:dyDescent="0.3">
      <c r="A587" t="s">
        <v>1671</v>
      </c>
      <c r="B587" s="18">
        <v>45406</v>
      </c>
      <c r="C587" t="s">
        <v>52</v>
      </c>
      <c r="D587" t="s">
        <v>221</v>
      </c>
      <c r="E587">
        <v>8</v>
      </c>
      <c r="F587">
        <v>1819.28</v>
      </c>
      <c r="G587" s="18">
        <v>45415</v>
      </c>
      <c r="H587" s="18">
        <v>45414</v>
      </c>
      <c r="I587">
        <v>8</v>
      </c>
      <c r="J587">
        <v>14554.24</v>
      </c>
      <c r="K587">
        <f>IF(tblPO[[#This Row],[Actual_Delivery_Date]]&lt;=tblPO[[#This Row],[Expected_Delivery_Date]],1,0)</f>
        <v>1</v>
      </c>
      <c r="L587">
        <f>IF(tblPO[[#This Row],[Actual_Delivery_Date]]&gt;tblPO[[#This Row],[Expected_Delivery_Date]],1,0)</f>
        <v>0</v>
      </c>
      <c r="M587">
        <f>tblPO[[#This Row],[Actual_Delivery_Date]]-tblPO[[#This Row],[PO_Date]]</f>
        <v>8</v>
      </c>
    </row>
    <row r="588" spans="1:13" x14ac:dyDescent="0.3">
      <c r="A588" t="s">
        <v>1670</v>
      </c>
      <c r="B588" s="18">
        <v>45405</v>
      </c>
      <c r="C588" t="s">
        <v>64</v>
      </c>
      <c r="D588" t="s">
        <v>123</v>
      </c>
      <c r="E588">
        <v>6</v>
      </c>
      <c r="F588">
        <v>855.45</v>
      </c>
      <c r="G588" s="18">
        <v>45408</v>
      </c>
      <c r="H588" s="18">
        <v>45405</v>
      </c>
      <c r="I588">
        <v>6</v>
      </c>
      <c r="J588">
        <v>5132.7</v>
      </c>
      <c r="K588">
        <f>IF(tblPO[[#This Row],[Actual_Delivery_Date]]&lt;=tblPO[[#This Row],[Expected_Delivery_Date]],1,0)</f>
        <v>1</v>
      </c>
      <c r="L588">
        <f>IF(tblPO[[#This Row],[Actual_Delivery_Date]]&gt;tblPO[[#This Row],[Expected_Delivery_Date]],1,0)</f>
        <v>0</v>
      </c>
      <c r="M588">
        <f>tblPO[[#This Row],[Actual_Delivery_Date]]-tblPO[[#This Row],[PO_Date]]</f>
        <v>0</v>
      </c>
    </row>
    <row r="589" spans="1:13" x14ac:dyDescent="0.3">
      <c r="A589" t="s">
        <v>1669</v>
      </c>
      <c r="B589" s="18">
        <v>45402</v>
      </c>
      <c r="C589" t="s">
        <v>49</v>
      </c>
      <c r="D589" t="s">
        <v>209</v>
      </c>
      <c r="E589">
        <v>763</v>
      </c>
      <c r="F589">
        <v>16</v>
      </c>
      <c r="G589" s="18">
        <v>45413</v>
      </c>
      <c r="H589" s="18">
        <v>45410</v>
      </c>
      <c r="I589">
        <v>726</v>
      </c>
      <c r="J589">
        <v>12208</v>
      </c>
      <c r="K589">
        <f>IF(tblPO[[#This Row],[Actual_Delivery_Date]]&lt;=tblPO[[#This Row],[Expected_Delivery_Date]],1,0)</f>
        <v>1</v>
      </c>
      <c r="L589">
        <f>IF(tblPO[[#This Row],[Actual_Delivery_Date]]&gt;tblPO[[#This Row],[Expected_Delivery_Date]],1,0)</f>
        <v>0</v>
      </c>
      <c r="M589">
        <f>tblPO[[#This Row],[Actual_Delivery_Date]]-tblPO[[#This Row],[PO_Date]]</f>
        <v>8</v>
      </c>
    </row>
    <row r="590" spans="1:13" x14ac:dyDescent="0.3">
      <c r="A590" t="s">
        <v>1668</v>
      </c>
      <c r="B590" s="18">
        <v>45394</v>
      </c>
      <c r="C590" t="s">
        <v>40</v>
      </c>
      <c r="D590" t="s">
        <v>121</v>
      </c>
      <c r="E590">
        <v>178</v>
      </c>
      <c r="F590">
        <v>734.11</v>
      </c>
      <c r="G590" s="18">
        <v>45400</v>
      </c>
      <c r="H590" s="18">
        <v>45400</v>
      </c>
      <c r="I590">
        <v>178</v>
      </c>
      <c r="J590">
        <v>130671.58</v>
      </c>
      <c r="K590">
        <f>IF(tblPO[[#This Row],[Actual_Delivery_Date]]&lt;=tblPO[[#This Row],[Expected_Delivery_Date]],1,0)</f>
        <v>1</v>
      </c>
      <c r="L590">
        <f>IF(tblPO[[#This Row],[Actual_Delivery_Date]]&gt;tblPO[[#This Row],[Expected_Delivery_Date]],1,0)</f>
        <v>0</v>
      </c>
      <c r="M590">
        <f>tblPO[[#This Row],[Actual_Delivery_Date]]-tblPO[[#This Row],[PO_Date]]</f>
        <v>6</v>
      </c>
    </row>
    <row r="591" spans="1:13" x14ac:dyDescent="0.3">
      <c r="A591" t="s">
        <v>1667</v>
      </c>
      <c r="B591" s="18">
        <v>45386</v>
      </c>
      <c r="C591" t="s">
        <v>49</v>
      </c>
      <c r="D591" t="s">
        <v>197</v>
      </c>
      <c r="E591">
        <v>191</v>
      </c>
      <c r="F591">
        <v>246.57</v>
      </c>
      <c r="G591" s="18">
        <v>45399</v>
      </c>
      <c r="H591" s="18">
        <v>45396</v>
      </c>
      <c r="I591">
        <v>191</v>
      </c>
      <c r="J591">
        <v>47094.87</v>
      </c>
      <c r="K591">
        <f>IF(tblPO[[#This Row],[Actual_Delivery_Date]]&lt;=tblPO[[#This Row],[Expected_Delivery_Date]],1,0)</f>
        <v>1</v>
      </c>
      <c r="L591">
        <f>IF(tblPO[[#This Row],[Actual_Delivery_Date]]&gt;tblPO[[#This Row],[Expected_Delivery_Date]],1,0)</f>
        <v>0</v>
      </c>
      <c r="M591">
        <f>tblPO[[#This Row],[Actual_Delivery_Date]]-tblPO[[#This Row],[PO_Date]]</f>
        <v>10</v>
      </c>
    </row>
    <row r="592" spans="1:13" x14ac:dyDescent="0.3">
      <c r="A592" t="s">
        <v>1666</v>
      </c>
      <c r="B592" s="18">
        <v>45412</v>
      </c>
      <c r="C592" t="s">
        <v>41</v>
      </c>
      <c r="D592" t="s">
        <v>193</v>
      </c>
      <c r="E592">
        <v>624</v>
      </c>
      <c r="F592">
        <v>33.4</v>
      </c>
      <c r="G592" s="18">
        <v>45415</v>
      </c>
      <c r="H592" s="18">
        <v>45414</v>
      </c>
      <c r="I592">
        <v>624</v>
      </c>
      <c r="J592">
        <v>20841.599999999999</v>
      </c>
      <c r="K592">
        <f>IF(tblPO[[#This Row],[Actual_Delivery_Date]]&lt;=tblPO[[#This Row],[Expected_Delivery_Date]],1,0)</f>
        <v>1</v>
      </c>
      <c r="L592">
        <f>IF(tblPO[[#This Row],[Actual_Delivery_Date]]&gt;tblPO[[#This Row],[Expected_Delivery_Date]],1,0)</f>
        <v>0</v>
      </c>
      <c r="M592">
        <f>tblPO[[#This Row],[Actual_Delivery_Date]]-tblPO[[#This Row],[PO_Date]]</f>
        <v>2</v>
      </c>
    </row>
    <row r="593" spans="1:13" x14ac:dyDescent="0.3">
      <c r="A593" t="s">
        <v>1665</v>
      </c>
      <c r="B593" s="18">
        <v>45394</v>
      </c>
      <c r="C593" t="s">
        <v>42</v>
      </c>
      <c r="D593" t="s">
        <v>98</v>
      </c>
      <c r="E593">
        <v>2</v>
      </c>
      <c r="F593">
        <v>10199.59</v>
      </c>
      <c r="G593" s="18">
        <v>45417</v>
      </c>
      <c r="H593" s="18">
        <v>45416</v>
      </c>
      <c r="I593">
        <v>2</v>
      </c>
      <c r="J593">
        <v>20399.18</v>
      </c>
      <c r="K593">
        <f>IF(tblPO[[#This Row],[Actual_Delivery_Date]]&lt;=tblPO[[#This Row],[Expected_Delivery_Date]],1,0)</f>
        <v>1</v>
      </c>
      <c r="L593">
        <f>IF(tblPO[[#This Row],[Actual_Delivery_Date]]&gt;tblPO[[#This Row],[Expected_Delivery_Date]],1,0)</f>
        <v>0</v>
      </c>
      <c r="M593">
        <f>tblPO[[#This Row],[Actual_Delivery_Date]]-tblPO[[#This Row],[PO_Date]]</f>
        <v>22</v>
      </c>
    </row>
    <row r="594" spans="1:13" x14ac:dyDescent="0.3">
      <c r="A594" t="s">
        <v>1664</v>
      </c>
      <c r="B594" s="18">
        <v>45403</v>
      </c>
      <c r="C594" t="s">
        <v>51</v>
      </c>
      <c r="D594" t="s">
        <v>160</v>
      </c>
      <c r="E594">
        <v>113</v>
      </c>
      <c r="F594">
        <v>79.3</v>
      </c>
      <c r="G594" s="18">
        <v>45414</v>
      </c>
      <c r="H594" s="18">
        <v>45415</v>
      </c>
      <c r="I594">
        <v>113</v>
      </c>
      <c r="J594">
        <v>8960.9</v>
      </c>
      <c r="K594">
        <f>IF(tblPO[[#This Row],[Actual_Delivery_Date]]&lt;=tblPO[[#This Row],[Expected_Delivery_Date]],1,0)</f>
        <v>0</v>
      </c>
      <c r="L594">
        <f>IF(tblPO[[#This Row],[Actual_Delivery_Date]]&gt;tblPO[[#This Row],[Expected_Delivery_Date]],1,0)</f>
        <v>1</v>
      </c>
      <c r="M594">
        <f>tblPO[[#This Row],[Actual_Delivery_Date]]-tblPO[[#This Row],[PO_Date]]</f>
        <v>12</v>
      </c>
    </row>
    <row r="595" spans="1:13" x14ac:dyDescent="0.3">
      <c r="A595" t="s">
        <v>1663</v>
      </c>
      <c r="B595" s="18">
        <v>45411</v>
      </c>
      <c r="C595" t="s">
        <v>69</v>
      </c>
      <c r="D595" t="s">
        <v>134</v>
      </c>
      <c r="E595">
        <v>12</v>
      </c>
      <c r="F595">
        <v>3532.7</v>
      </c>
      <c r="G595" s="18">
        <v>45426</v>
      </c>
      <c r="H595" s="18">
        <v>45423</v>
      </c>
      <c r="I595">
        <v>12</v>
      </c>
      <c r="J595">
        <v>42392.4</v>
      </c>
      <c r="K595">
        <f>IF(tblPO[[#This Row],[Actual_Delivery_Date]]&lt;=tblPO[[#This Row],[Expected_Delivery_Date]],1,0)</f>
        <v>1</v>
      </c>
      <c r="L595">
        <f>IF(tblPO[[#This Row],[Actual_Delivery_Date]]&gt;tblPO[[#This Row],[Expected_Delivery_Date]],1,0)</f>
        <v>0</v>
      </c>
      <c r="M595">
        <f>tblPO[[#This Row],[Actual_Delivery_Date]]-tblPO[[#This Row],[PO_Date]]</f>
        <v>12</v>
      </c>
    </row>
    <row r="596" spans="1:13" x14ac:dyDescent="0.3">
      <c r="A596" t="s">
        <v>1662</v>
      </c>
      <c r="B596" s="18">
        <v>45410</v>
      </c>
      <c r="C596" t="s">
        <v>50</v>
      </c>
      <c r="D596" t="s">
        <v>125</v>
      </c>
      <c r="E596">
        <v>166</v>
      </c>
      <c r="F596">
        <v>1004.71</v>
      </c>
      <c r="G596" s="18">
        <v>45420</v>
      </c>
      <c r="H596" s="18">
        <v>45418</v>
      </c>
      <c r="I596">
        <v>166</v>
      </c>
      <c r="J596">
        <v>166781.85999999999</v>
      </c>
      <c r="K596">
        <f>IF(tblPO[[#This Row],[Actual_Delivery_Date]]&lt;=tblPO[[#This Row],[Expected_Delivery_Date]],1,0)</f>
        <v>1</v>
      </c>
      <c r="L596">
        <f>IF(tblPO[[#This Row],[Actual_Delivery_Date]]&gt;tblPO[[#This Row],[Expected_Delivery_Date]],1,0)</f>
        <v>0</v>
      </c>
      <c r="M596">
        <f>tblPO[[#This Row],[Actual_Delivery_Date]]-tblPO[[#This Row],[PO_Date]]</f>
        <v>8</v>
      </c>
    </row>
    <row r="597" spans="1:13" x14ac:dyDescent="0.3">
      <c r="A597" t="s">
        <v>1661</v>
      </c>
      <c r="B597" s="18">
        <v>45397</v>
      </c>
      <c r="C597" t="s">
        <v>66</v>
      </c>
      <c r="D597" t="s">
        <v>233</v>
      </c>
      <c r="E597">
        <v>94</v>
      </c>
      <c r="F597">
        <v>184.35</v>
      </c>
      <c r="G597" s="18">
        <v>45404</v>
      </c>
      <c r="H597" s="18">
        <v>45402</v>
      </c>
      <c r="I597">
        <v>94</v>
      </c>
      <c r="J597">
        <v>17328.900000000001</v>
      </c>
      <c r="K597">
        <f>IF(tblPO[[#This Row],[Actual_Delivery_Date]]&lt;=tblPO[[#This Row],[Expected_Delivery_Date]],1,0)</f>
        <v>1</v>
      </c>
      <c r="L597">
        <f>IF(tblPO[[#This Row],[Actual_Delivery_Date]]&gt;tblPO[[#This Row],[Expected_Delivery_Date]],1,0)</f>
        <v>0</v>
      </c>
      <c r="M597">
        <f>tblPO[[#This Row],[Actual_Delivery_Date]]-tblPO[[#This Row],[PO_Date]]</f>
        <v>5</v>
      </c>
    </row>
    <row r="598" spans="1:13" x14ac:dyDescent="0.3">
      <c r="A598" t="s">
        <v>1660</v>
      </c>
      <c r="B598" s="18">
        <v>45392</v>
      </c>
      <c r="C598" t="s">
        <v>46</v>
      </c>
      <c r="D598" t="s">
        <v>90</v>
      </c>
      <c r="E598">
        <v>3</v>
      </c>
      <c r="F598">
        <v>35840.29</v>
      </c>
      <c r="G598" s="18">
        <v>45420</v>
      </c>
      <c r="H598" s="18">
        <v>45420</v>
      </c>
      <c r="I598">
        <v>3</v>
      </c>
      <c r="J598">
        <v>107520.87</v>
      </c>
      <c r="K598">
        <f>IF(tblPO[[#This Row],[Actual_Delivery_Date]]&lt;=tblPO[[#This Row],[Expected_Delivery_Date]],1,0)</f>
        <v>1</v>
      </c>
      <c r="L598">
        <f>IF(tblPO[[#This Row],[Actual_Delivery_Date]]&gt;tblPO[[#This Row],[Expected_Delivery_Date]],1,0)</f>
        <v>0</v>
      </c>
      <c r="M598">
        <f>tblPO[[#This Row],[Actual_Delivery_Date]]-tblPO[[#This Row],[PO_Date]]</f>
        <v>28</v>
      </c>
    </row>
    <row r="599" spans="1:13" x14ac:dyDescent="0.3">
      <c r="A599" t="s">
        <v>1659</v>
      </c>
      <c r="B599" s="18">
        <v>45412</v>
      </c>
      <c r="C599" t="s">
        <v>51</v>
      </c>
      <c r="D599" t="s">
        <v>152</v>
      </c>
      <c r="E599">
        <v>628</v>
      </c>
      <c r="F599">
        <v>72.680000000000007</v>
      </c>
      <c r="G599" s="18">
        <v>45420</v>
      </c>
      <c r="H599" s="18">
        <v>45417</v>
      </c>
      <c r="I599">
        <v>628</v>
      </c>
      <c r="J599">
        <v>45643.040000000001</v>
      </c>
      <c r="K599">
        <f>IF(tblPO[[#This Row],[Actual_Delivery_Date]]&lt;=tblPO[[#This Row],[Expected_Delivery_Date]],1,0)</f>
        <v>1</v>
      </c>
      <c r="L599">
        <f>IF(tblPO[[#This Row],[Actual_Delivery_Date]]&gt;tblPO[[#This Row],[Expected_Delivery_Date]],1,0)</f>
        <v>0</v>
      </c>
      <c r="M599">
        <f>tblPO[[#This Row],[Actual_Delivery_Date]]-tblPO[[#This Row],[PO_Date]]</f>
        <v>5</v>
      </c>
    </row>
    <row r="600" spans="1:13" x14ac:dyDescent="0.3">
      <c r="A600" t="s">
        <v>1658</v>
      </c>
      <c r="B600" s="18">
        <v>45383</v>
      </c>
      <c r="C600" t="s">
        <v>42</v>
      </c>
      <c r="D600" t="s">
        <v>84</v>
      </c>
      <c r="E600">
        <v>196</v>
      </c>
      <c r="F600">
        <v>232.55</v>
      </c>
      <c r="G600" s="18">
        <v>45405</v>
      </c>
      <c r="H600" s="18">
        <v>45405</v>
      </c>
      <c r="I600">
        <v>196</v>
      </c>
      <c r="J600">
        <v>45579.8</v>
      </c>
      <c r="K600">
        <f>IF(tblPO[[#This Row],[Actual_Delivery_Date]]&lt;=tblPO[[#This Row],[Expected_Delivery_Date]],1,0)</f>
        <v>1</v>
      </c>
      <c r="L600">
        <f>IF(tblPO[[#This Row],[Actual_Delivery_Date]]&gt;tblPO[[#This Row],[Expected_Delivery_Date]],1,0)</f>
        <v>0</v>
      </c>
      <c r="M600">
        <f>tblPO[[#This Row],[Actual_Delivery_Date]]-tblPO[[#This Row],[PO_Date]]</f>
        <v>22</v>
      </c>
    </row>
    <row r="601" spans="1:13" x14ac:dyDescent="0.3">
      <c r="A601" t="s">
        <v>1657</v>
      </c>
      <c r="B601" s="18">
        <v>45412</v>
      </c>
      <c r="C601" t="s">
        <v>39</v>
      </c>
      <c r="D601" t="s">
        <v>168</v>
      </c>
      <c r="E601">
        <v>702</v>
      </c>
      <c r="F601">
        <v>76.349999999999994</v>
      </c>
      <c r="G601" s="18">
        <v>45432</v>
      </c>
      <c r="H601" s="18">
        <v>45430</v>
      </c>
      <c r="I601">
        <v>702</v>
      </c>
      <c r="J601">
        <v>53597.7</v>
      </c>
      <c r="K601">
        <f>IF(tblPO[[#This Row],[Actual_Delivery_Date]]&lt;=tblPO[[#This Row],[Expected_Delivery_Date]],1,0)</f>
        <v>1</v>
      </c>
      <c r="L601">
        <f>IF(tblPO[[#This Row],[Actual_Delivery_Date]]&gt;tblPO[[#This Row],[Expected_Delivery_Date]],1,0)</f>
        <v>0</v>
      </c>
      <c r="M601">
        <f>tblPO[[#This Row],[Actual_Delivery_Date]]-tblPO[[#This Row],[PO_Date]]</f>
        <v>18</v>
      </c>
    </row>
    <row r="602" spans="1:13" x14ac:dyDescent="0.3">
      <c r="A602" t="s">
        <v>1656</v>
      </c>
      <c r="B602" s="18">
        <v>45424</v>
      </c>
      <c r="C602" t="s">
        <v>40</v>
      </c>
      <c r="D602" t="s">
        <v>125</v>
      </c>
      <c r="E602">
        <v>169</v>
      </c>
      <c r="F602">
        <v>1003.5</v>
      </c>
      <c r="G602" s="18">
        <v>45431</v>
      </c>
      <c r="H602" s="18">
        <v>45431</v>
      </c>
      <c r="I602">
        <v>169</v>
      </c>
      <c r="J602">
        <v>169591.5</v>
      </c>
      <c r="K602">
        <f>IF(tblPO[[#This Row],[Actual_Delivery_Date]]&lt;=tblPO[[#This Row],[Expected_Delivery_Date]],1,0)</f>
        <v>1</v>
      </c>
      <c r="L602">
        <f>IF(tblPO[[#This Row],[Actual_Delivery_Date]]&gt;tblPO[[#This Row],[Expected_Delivery_Date]],1,0)</f>
        <v>0</v>
      </c>
      <c r="M602">
        <f>tblPO[[#This Row],[Actual_Delivery_Date]]-tblPO[[#This Row],[PO_Date]]</f>
        <v>7</v>
      </c>
    </row>
    <row r="603" spans="1:13" x14ac:dyDescent="0.3">
      <c r="A603" t="s">
        <v>1655</v>
      </c>
      <c r="B603" s="18">
        <v>45441</v>
      </c>
      <c r="C603" t="s">
        <v>54</v>
      </c>
      <c r="D603" t="s">
        <v>188</v>
      </c>
      <c r="E603">
        <v>234</v>
      </c>
      <c r="F603">
        <v>29.63</v>
      </c>
      <c r="G603" s="18">
        <v>45451</v>
      </c>
      <c r="H603" s="18">
        <v>45449</v>
      </c>
      <c r="I603">
        <v>206</v>
      </c>
      <c r="J603">
        <v>6933.42</v>
      </c>
      <c r="K603">
        <f>IF(tblPO[[#This Row],[Actual_Delivery_Date]]&lt;=tblPO[[#This Row],[Expected_Delivery_Date]],1,0)</f>
        <v>1</v>
      </c>
      <c r="L603">
        <f>IF(tblPO[[#This Row],[Actual_Delivery_Date]]&gt;tblPO[[#This Row],[Expected_Delivery_Date]],1,0)</f>
        <v>0</v>
      </c>
      <c r="M603">
        <f>tblPO[[#This Row],[Actual_Delivery_Date]]-tblPO[[#This Row],[PO_Date]]</f>
        <v>8</v>
      </c>
    </row>
    <row r="604" spans="1:13" x14ac:dyDescent="0.3">
      <c r="A604" t="s">
        <v>1654</v>
      </c>
      <c r="B604" s="18">
        <v>45438</v>
      </c>
      <c r="C604" t="s">
        <v>49</v>
      </c>
      <c r="D604" t="s">
        <v>188</v>
      </c>
      <c r="E604">
        <v>262</v>
      </c>
      <c r="F604">
        <v>34.229999999999997</v>
      </c>
      <c r="G604" s="18">
        <v>45454</v>
      </c>
      <c r="H604" s="18">
        <v>45453</v>
      </c>
      <c r="I604">
        <v>262</v>
      </c>
      <c r="J604">
        <v>8968.26</v>
      </c>
      <c r="K604">
        <f>IF(tblPO[[#This Row],[Actual_Delivery_Date]]&lt;=tblPO[[#This Row],[Expected_Delivery_Date]],1,0)</f>
        <v>1</v>
      </c>
      <c r="L604">
        <f>IF(tblPO[[#This Row],[Actual_Delivery_Date]]&gt;tblPO[[#This Row],[Expected_Delivery_Date]],1,0)</f>
        <v>0</v>
      </c>
      <c r="M604">
        <f>tblPO[[#This Row],[Actual_Delivery_Date]]-tblPO[[#This Row],[PO_Date]]</f>
        <v>15</v>
      </c>
    </row>
    <row r="605" spans="1:13" x14ac:dyDescent="0.3">
      <c r="A605" t="s">
        <v>1653</v>
      </c>
      <c r="B605" s="18">
        <v>45433</v>
      </c>
      <c r="C605" t="s">
        <v>41</v>
      </c>
      <c r="D605" t="s">
        <v>183</v>
      </c>
      <c r="E605">
        <v>61</v>
      </c>
      <c r="F605">
        <v>11.16</v>
      </c>
      <c r="G605" s="18">
        <v>45442</v>
      </c>
      <c r="H605" s="18">
        <v>45441</v>
      </c>
      <c r="I605">
        <v>61</v>
      </c>
      <c r="J605">
        <v>680.76</v>
      </c>
      <c r="K605">
        <f>IF(tblPO[[#This Row],[Actual_Delivery_Date]]&lt;=tblPO[[#This Row],[Expected_Delivery_Date]],1,0)</f>
        <v>1</v>
      </c>
      <c r="L605">
        <f>IF(tblPO[[#This Row],[Actual_Delivery_Date]]&gt;tblPO[[#This Row],[Expected_Delivery_Date]],1,0)</f>
        <v>0</v>
      </c>
      <c r="M605">
        <f>tblPO[[#This Row],[Actual_Delivery_Date]]-tblPO[[#This Row],[PO_Date]]</f>
        <v>8</v>
      </c>
    </row>
    <row r="606" spans="1:13" x14ac:dyDescent="0.3">
      <c r="A606" t="s">
        <v>1652</v>
      </c>
      <c r="B606" s="18">
        <v>45423</v>
      </c>
      <c r="C606" t="s">
        <v>47</v>
      </c>
      <c r="D606" t="s">
        <v>233</v>
      </c>
      <c r="E606">
        <v>150</v>
      </c>
      <c r="F606">
        <v>165.32</v>
      </c>
      <c r="G606" s="18">
        <v>45426</v>
      </c>
      <c r="H606" s="18">
        <v>45425</v>
      </c>
      <c r="I606">
        <v>150</v>
      </c>
      <c r="J606">
        <v>24798</v>
      </c>
      <c r="K606">
        <f>IF(tblPO[[#This Row],[Actual_Delivery_Date]]&lt;=tblPO[[#This Row],[Expected_Delivery_Date]],1,0)</f>
        <v>1</v>
      </c>
      <c r="L606">
        <f>IF(tblPO[[#This Row],[Actual_Delivery_Date]]&gt;tblPO[[#This Row],[Expected_Delivery_Date]],1,0)</f>
        <v>0</v>
      </c>
      <c r="M606">
        <f>tblPO[[#This Row],[Actual_Delivery_Date]]-tblPO[[#This Row],[PO_Date]]</f>
        <v>2</v>
      </c>
    </row>
    <row r="607" spans="1:13" x14ac:dyDescent="0.3">
      <c r="A607" t="s">
        <v>1651</v>
      </c>
      <c r="B607" s="18">
        <v>45439</v>
      </c>
      <c r="C607" t="s">
        <v>40</v>
      </c>
      <c r="D607" t="s">
        <v>119</v>
      </c>
      <c r="E607">
        <v>2</v>
      </c>
      <c r="F607">
        <v>8974.2099999999991</v>
      </c>
      <c r="G607" s="18">
        <v>45447</v>
      </c>
      <c r="H607" s="18">
        <v>45446</v>
      </c>
      <c r="I607">
        <v>2</v>
      </c>
      <c r="J607">
        <v>17948.419999999998</v>
      </c>
      <c r="K607">
        <f>IF(tblPO[[#This Row],[Actual_Delivery_Date]]&lt;=tblPO[[#This Row],[Expected_Delivery_Date]],1,0)</f>
        <v>1</v>
      </c>
      <c r="L607">
        <f>IF(tblPO[[#This Row],[Actual_Delivery_Date]]&gt;tblPO[[#This Row],[Expected_Delivery_Date]],1,0)</f>
        <v>0</v>
      </c>
      <c r="M607">
        <f>tblPO[[#This Row],[Actual_Delivery_Date]]-tblPO[[#This Row],[PO_Date]]</f>
        <v>7</v>
      </c>
    </row>
    <row r="608" spans="1:13" x14ac:dyDescent="0.3">
      <c r="A608" t="s">
        <v>1650</v>
      </c>
      <c r="B608" s="18">
        <v>45433</v>
      </c>
      <c r="C608" t="s">
        <v>40</v>
      </c>
      <c r="D608" t="s">
        <v>127</v>
      </c>
      <c r="E608">
        <v>3</v>
      </c>
      <c r="F608">
        <v>5967.27</v>
      </c>
      <c r="G608" s="18">
        <v>45440</v>
      </c>
      <c r="H608" s="18">
        <v>45440</v>
      </c>
      <c r="I608">
        <v>3</v>
      </c>
      <c r="J608">
        <v>17901.810000000001</v>
      </c>
      <c r="K608">
        <f>IF(tblPO[[#This Row],[Actual_Delivery_Date]]&lt;=tblPO[[#This Row],[Expected_Delivery_Date]],1,0)</f>
        <v>1</v>
      </c>
      <c r="L608">
        <f>IF(tblPO[[#This Row],[Actual_Delivery_Date]]&gt;tblPO[[#This Row],[Expected_Delivery_Date]],1,0)</f>
        <v>0</v>
      </c>
      <c r="M608">
        <f>tblPO[[#This Row],[Actual_Delivery_Date]]-tblPO[[#This Row],[PO_Date]]</f>
        <v>7</v>
      </c>
    </row>
    <row r="609" spans="1:13" x14ac:dyDescent="0.3">
      <c r="A609" t="s">
        <v>1649</v>
      </c>
      <c r="B609" s="18">
        <v>45438</v>
      </c>
      <c r="C609" t="s">
        <v>51</v>
      </c>
      <c r="D609" t="s">
        <v>160</v>
      </c>
      <c r="E609">
        <v>523</v>
      </c>
      <c r="F609">
        <v>83.31</v>
      </c>
      <c r="G609" s="18">
        <v>45454</v>
      </c>
      <c r="H609" s="18">
        <v>45460</v>
      </c>
      <c r="I609">
        <v>523</v>
      </c>
      <c r="J609">
        <v>43571.13</v>
      </c>
      <c r="K609">
        <f>IF(tblPO[[#This Row],[Actual_Delivery_Date]]&lt;=tblPO[[#This Row],[Expected_Delivery_Date]],1,0)</f>
        <v>0</v>
      </c>
      <c r="L609">
        <f>IF(tblPO[[#This Row],[Actual_Delivery_Date]]&gt;tblPO[[#This Row],[Expected_Delivery_Date]],1,0)</f>
        <v>1</v>
      </c>
      <c r="M609">
        <f>tblPO[[#This Row],[Actual_Delivery_Date]]-tblPO[[#This Row],[PO_Date]]</f>
        <v>22</v>
      </c>
    </row>
    <row r="610" spans="1:13" x14ac:dyDescent="0.3">
      <c r="A610" t="s">
        <v>1648</v>
      </c>
      <c r="B610" s="18">
        <v>45423</v>
      </c>
      <c r="C610" t="s">
        <v>43</v>
      </c>
      <c r="D610" t="s">
        <v>168</v>
      </c>
      <c r="E610">
        <v>744</v>
      </c>
      <c r="F610">
        <v>58.8</v>
      </c>
      <c r="G610" s="18">
        <v>45426</v>
      </c>
      <c r="H610" s="18">
        <v>45425</v>
      </c>
      <c r="I610">
        <v>744</v>
      </c>
      <c r="J610">
        <v>43747.199999999997</v>
      </c>
      <c r="K610">
        <f>IF(tblPO[[#This Row],[Actual_Delivery_Date]]&lt;=tblPO[[#This Row],[Expected_Delivery_Date]],1,0)</f>
        <v>1</v>
      </c>
      <c r="L610">
        <f>IF(tblPO[[#This Row],[Actual_Delivery_Date]]&gt;tblPO[[#This Row],[Expected_Delivery_Date]],1,0)</f>
        <v>0</v>
      </c>
      <c r="M610">
        <f>tblPO[[#This Row],[Actual_Delivery_Date]]-tblPO[[#This Row],[PO_Date]]</f>
        <v>2</v>
      </c>
    </row>
    <row r="611" spans="1:13" x14ac:dyDescent="0.3">
      <c r="A611" t="s">
        <v>1647</v>
      </c>
      <c r="B611" s="18">
        <v>45417</v>
      </c>
      <c r="C611" t="s">
        <v>51</v>
      </c>
      <c r="D611" t="s">
        <v>146</v>
      </c>
      <c r="E611">
        <v>4</v>
      </c>
      <c r="F611">
        <v>2436.3200000000002</v>
      </c>
      <c r="G611" s="18">
        <v>45428</v>
      </c>
      <c r="H611" s="18">
        <v>45431</v>
      </c>
      <c r="I611">
        <v>4</v>
      </c>
      <c r="J611">
        <v>9745.2800000000007</v>
      </c>
      <c r="K611">
        <f>IF(tblPO[[#This Row],[Actual_Delivery_Date]]&lt;=tblPO[[#This Row],[Expected_Delivery_Date]],1,0)</f>
        <v>0</v>
      </c>
      <c r="L611">
        <f>IF(tblPO[[#This Row],[Actual_Delivery_Date]]&gt;tblPO[[#This Row],[Expected_Delivery_Date]],1,0)</f>
        <v>1</v>
      </c>
      <c r="M611">
        <f>tblPO[[#This Row],[Actual_Delivery_Date]]-tblPO[[#This Row],[PO_Date]]</f>
        <v>14</v>
      </c>
    </row>
    <row r="612" spans="1:13" x14ac:dyDescent="0.3">
      <c r="A612" t="s">
        <v>1646</v>
      </c>
      <c r="B612" s="18">
        <v>45432</v>
      </c>
      <c r="C612" t="s">
        <v>45</v>
      </c>
      <c r="D612" t="s">
        <v>217</v>
      </c>
      <c r="E612">
        <v>634</v>
      </c>
      <c r="F612">
        <v>27.33</v>
      </c>
      <c r="G612" s="18">
        <v>45447</v>
      </c>
      <c r="H612" s="18">
        <v>45444</v>
      </c>
      <c r="I612">
        <v>634</v>
      </c>
      <c r="J612">
        <v>17327.22</v>
      </c>
      <c r="K612">
        <f>IF(tblPO[[#This Row],[Actual_Delivery_Date]]&lt;=tblPO[[#This Row],[Expected_Delivery_Date]],1,0)</f>
        <v>1</v>
      </c>
      <c r="L612">
        <f>IF(tblPO[[#This Row],[Actual_Delivery_Date]]&gt;tblPO[[#This Row],[Expected_Delivery_Date]],1,0)</f>
        <v>0</v>
      </c>
      <c r="M612">
        <f>tblPO[[#This Row],[Actual_Delivery_Date]]-tblPO[[#This Row],[PO_Date]]</f>
        <v>12</v>
      </c>
    </row>
    <row r="613" spans="1:13" x14ac:dyDescent="0.3">
      <c r="A613" t="s">
        <v>1645</v>
      </c>
      <c r="B613" s="18">
        <v>45435</v>
      </c>
      <c r="C613" t="s">
        <v>46</v>
      </c>
      <c r="D613" t="s">
        <v>86</v>
      </c>
      <c r="E613">
        <v>90</v>
      </c>
      <c r="F613">
        <v>344.63</v>
      </c>
      <c r="G613" s="18">
        <v>45448</v>
      </c>
      <c r="H613" s="18">
        <v>45445</v>
      </c>
      <c r="I613">
        <v>90</v>
      </c>
      <c r="J613">
        <v>31016.7</v>
      </c>
      <c r="K613">
        <f>IF(tblPO[[#This Row],[Actual_Delivery_Date]]&lt;=tblPO[[#This Row],[Expected_Delivery_Date]],1,0)</f>
        <v>1</v>
      </c>
      <c r="L613">
        <f>IF(tblPO[[#This Row],[Actual_Delivery_Date]]&gt;tblPO[[#This Row],[Expected_Delivery_Date]],1,0)</f>
        <v>0</v>
      </c>
      <c r="M613">
        <f>tblPO[[#This Row],[Actual_Delivery_Date]]-tblPO[[#This Row],[PO_Date]]</f>
        <v>10</v>
      </c>
    </row>
    <row r="614" spans="1:13" x14ac:dyDescent="0.3">
      <c r="A614" t="s">
        <v>1644</v>
      </c>
      <c r="B614" s="18">
        <v>45419</v>
      </c>
      <c r="C614" t="s">
        <v>48</v>
      </c>
      <c r="D614" t="s">
        <v>170</v>
      </c>
      <c r="E614">
        <v>359</v>
      </c>
      <c r="F614">
        <v>100.36</v>
      </c>
      <c r="G614" s="18">
        <v>45447</v>
      </c>
      <c r="H614" s="18">
        <v>45444</v>
      </c>
      <c r="I614">
        <v>359</v>
      </c>
      <c r="J614">
        <v>36029.24</v>
      </c>
      <c r="K614">
        <f>IF(tblPO[[#This Row],[Actual_Delivery_Date]]&lt;=tblPO[[#This Row],[Expected_Delivery_Date]],1,0)</f>
        <v>1</v>
      </c>
      <c r="L614">
        <f>IF(tblPO[[#This Row],[Actual_Delivery_Date]]&gt;tblPO[[#This Row],[Expected_Delivery_Date]],1,0)</f>
        <v>0</v>
      </c>
      <c r="M614">
        <f>tblPO[[#This Row],[Actual_Delivery_Date]]-tblPO[[#This Row],[PO_Date]]</f>
        <v>25</v>
      </c>
    </row>
    <row r="615" spans="1:13" x14ac:dyDescent="0.3">
      <c r="A615" t="s">
        <v>1643</v>
      </c>
      <c r="B615" s="18">
        <v>45427</v>
      </c>
      <c r="C615" t="s">
        <v>52</v>
      </c>
      <c r="D615" t="s">
        <v>249</v>
      </c>
      <c r="E615">
        <v>144</v>
      </c>
      <c r="F615">
        <v>71.39</v>
      </c>
      <c r="G615" s="18">
        <v>45430</v>
      </c>
      <c r="H615" s="18">
        <v>45428</v>
      </c>
      <c r="I615">
        <v>144</v>
      </c>
      <c r="J615">
        <v>10280.16</v>
      </c>
      <c r="K615">
        <f>IF(tblPO[[#This Row],[Actual_Delivery_Date]]&lt;=tblPO[[#This Row],[Expected_Delivery_Date]],1,0)</f>
        <v>1</v>
      </c>
      <c r="L615">
        <f>IF(tblPO[[#This Row],[Actual_Delivery_Date]]&gt;tblPO[[#This Row],[Expected_Delivery_Date]],1,0)</f>
        <v>0</v>
      </c>
      <c r="M615">
        <f>tblPO[[#This Row],[Actual_Delivery_Date]]-tblPO[[#This Row],[PO_Date]]</f>
        <v>1</v>
      </c>
    </row>
    <row r="616" spans="1:13" x14ac:dyDescent="0.3">
      <c r="A616" t="s">
        <v>1642</v>
      </c>
      <c r="B616" s="18">
        <v>45422</v>
      </c>
      <c r="C616" t="s">
        <v>43</v>
      </c>
      <c r="D616" t="s">
        <v>146</v>
      </c>
      <c r="E616">
        <v>18</v>
      </c>
      <c r="F616">
        <v>2516.67</v>
      </c>
      <c r="G616" s="18">
        <v>45435</v>
      </c>
      <c r="H616" s="18">
        <v>45432</v>
      </c>
      <c r="I616">
        <v>18</v>
      </c>
      <c r="J616">
        <v>45300.06</v>
      </c>
      <c r="K616">
        <f>IF(tblPO[[#This Row],[Actual_Delivery_Date]]&lt;=tblPO[[#This Row],[Expected_Delivery_Date]],1,0)</f>
        <v>1</v>
      </c>
      <c r="L616">
        <f>IF(tblPO[[#This Row],[Actual_Delivery_Date]]&gt;tblPO[[#This Row],[Expected_Delivery_Date]],1,0)</f>
        <v>0</v>
      </c>
      <c r="M616">
        <f>tblPO[[#This Row],[Actual_Delivery_Date]]-tblPO[[#This Row],[PO_Date]]</f>
        <v>10</v>
      </c>
    </row>
    <row r="617" spans="1:13" x14ac:dyDescent="0.3">
      <c r="A617" t="s">
        <v>1641</v>
      </c>
      <c r="B617" s="18">
        <v>45419</v>
      </c>
      <c r="C617" t="s">
        <v>59</v>
      </c>
      <c r="D617" t="s">
        <v>94</v>
      </c>
      <c r="E617">
        <v>43</v>
      </c>
      <c r="F617">
        <v>319.45</v>
      </c>
      <c r="G617" s="18">
        <v>45423</v>
      </c>
      <c r="H617" s="18">
        <v>45420</v>
      </c>
      <c r="I617">
        <v>42</v>
      </c>
      <c r="J617">
        <v>13736.35</v>
      </c>
      <c r="K617">
        <f>IF(tblPO[[#This Row],[Actual_Delivery_Date]]&lt;=tblPO[[#This Row],[Expected_Delivery_Date]],1,0)</f>
        <v>1</v>
      </c>
      <c r="L617">
        <f>IF(tblPO[[#This Row],[Actual_Delivery_Date]]&gt;tblPO[[#This Row],[Expected_Delivery_Date]],1,0)</f>
        <v>0</v>
      </c>
      <c r="M617">
        <f>tblPO[[#This Row],[Actual_Delivery_Date]]-tblPO[[#This Row],[PO_Date]]</f>
        <v>1</v>
      </c>
    </row>
    <row r="618" spans="1:13" x14ac:dyDescent="0.3">
      <c r="A618" t="s">
        <v>1640</v>
      </c>
      <c r="B618" s="18">
        <v>45427</v>
      </c>
      <c r="C618" t="s">
        <v>45</v>
      </c>
      <c r="D618" t="s">
        <v>212</v>
      </c>
      <c r="E618">
        <v>95</v>
      </c>
      <c r="F618">
        <v>313.04000000000002</v>
      </c>
      <c r="G618" s="18">
        <v>45431</v>
      </c>
      <c r="H618" s="18">
        <v>45430</v>
      </c>
      <c r="I618">
        <v>91</v>
      </c>
      <c r="J618">
        <v>29738.799999999999</v>
      </c>
      <c r="K618">
        <f>IF(tblPO[[#This Row],[Actual_Delivery_Date]]&lt;=tblPO[[#This Row],[Expected_Delivery_Date]],1,0)</f>
        <v>1</v>
      </c>
      <c r="L618">
        <f>IF(tblPO[[#This Row],[Actual_Delivery_Date]]&gt;tblPO[[#This Row],[Expected_Delivery_Date]],1,0)</f>
        <v>0</v>
      </c>
      <c r="M618">
        <f>tblPO[[#This Row],[Actual_Delivery_Date]]-tblPO[[#This Row],[PO_Date]]</f>
        <v>3</v>
      </c>
    </row>
    <row r="619" spans="1:13" x14ac:dyDescent="0.3">
      <c r="A619" t="s">
        <v>1639</v>
      </c>
      <c r="B619" s="18">
        <v>45419</v>
      </c>
      <c r="C619" t="s">
        <v>39</v>
      </c>
      <c r="D619" t="s">
        <v>156</v>
      </c>
      <c r="E619">
        <v>378</v>
      </c>
      <c r="F619">
        <v>66.94</v>
      </c>
      <c r="G619" s="18">
        <v>45437</v>
      </c>
      <c r="H619" s="18">
        <v>45436</v>
      </c>
      <c r="I619">
        <v>378</v>
      </c>
      <c r="J619">
        <v>25303.32</v>
      </c>
      <c r="K619">
        <f>IF(tblPO[[#This Row],[Actual_Delivery_Date]]&lt;=tblPO[[#This Row],[Expected_Delivery_Date]],1,0)</f>
        <v>1</v>
      </c>
      <c r="L619">
        <f>IF(tblPO[[#This Row],[Actual_Delivery_Date]]&gt;tblPO[[#This Row],[Expected_Delivery_Date]],1,0)</f>
        <v>0</v>
      </c>
      <c r="M619">
        <f>tblPO[[#This Row],[Actual_Delivery_Date]]-tblPO[[#This Row],[PO_Date]]</f>
        <v>17</v>
      </c>
    </row>
    <row r="620" spans="1:13" x14ac:dyDescent="0.3">
      <c r="A620" t="s">
        <v>1638</v>
      </c>
      <c r="B620" s="18">
        <v>45418</v>
      </c>
      <c r="C620" t="s">
        <v>40</v>
      </c>
      <c r="D620" t="s">
        <v>121</v>
      </c>
      <c r="E620">
        <v>48</v>
      </c>
      <c r="F620">
        <v>692.16</v>
      </c>
      <c r="G620" s="18">
        <v>45429</v>
      </c>
      <c r="H620" s="18">
        <v>45426</v>
      </c>
      <c r="I620">
        <v>48</v>
      </c>
      <c r="J620">
        <v>33223.68</v>
      </c>
      <c r="K620">
        <f>IF(tblPO[[#This Row],[Actual_Delivery_Date]]&lt;=tblPO[[#This Row],[Expected_Delivery_Date]],1,0)</f>
        <v>1</v>
      </c>
      <c r="L620">
        <f>IF(tblPO[[#This Row],[Actual_Delivery_Date]]&gt;tblPO[[#This Row],[Expected_Delivery_Date]],1,0)</f>
        <v>0</v>
      </c>
      <c r="M620">
        <f>tblPO[[#This Row],[Actual_Delivery_Date]]-tblPO[[#This Row],[PO_Date]]</f>
        <v>8</v>
      </c>
    </row>
    <row r="621" spans="1:13" x14ac:dyDescent="0.3">
      <c r="A621" t="s">
        <v>1637</v>
      </c>
      <c r="B621" s="18">
        <v>45417</v>
      </c>
      <c r="C621" t="s">
        <v>38</v>
      </c>
      <c r="D621" t="s">
        <v>229</v>
      </c>
      <c r="E621">
        <v>10</v>
      </c>
      <c r="F621">
        <v>1807.11</v>
      </c>
      <c r="G621" s="18">
        <v>45429</v>
      </c>
      <c r="H621" s="18">
        <v>45427</v>
      </c>
      <c r="I621">
        <v>9</v>
      </c>
      <c r="J621">
        <v>18071.099999999999</v>
      </c>
      <c r="K621">
        <f>IF(tblPO[[#This Row],[Actual_Delivery_Date]]&lt;=tblPO[[#This Row],[Expected_Delivery_Date]],1,0)</f>
        <v>1</v>
      </c>
      <c r="L621">
        <f>IF(tblPO[[#This Row],[Actual_Delivery_Date]]&gt;tblPO[[#This Row],[Expected_Delivery_Date]],1,0)</f>
        <v>0</v>
      </c>
      <c r="M621">
        <f>tblPO[[#This Row],[Actual_Delivery_Date]]-tblPO[[#This Row],[PO_Date]]</f>
        <v>10</v>
      </c>
    </row>
    <row r="622" spans="1:13" x14ac:dyDescent="0.3">
      <c r="A622" t="s">
        <v>1636</v>
      </c>
      <c r="B622" s="18">
        <v>45417</v>
      </c>
      <c r="C622" t="s">
        <v>54</v>
      </c>
      <c r="D622" t="s">
        <v>199</v>
      </c>
      <c r="E622">
        <v>22</v>
      </c>
      <c r="F622">
        <v>250.41</v>
      </c>
      <c r="G622" s="18">
        <v>45420</v>
      </c>
      <c r="H622" s="18">
        <v>45417</v>
      </c>
      <c r="I622">
        <v>22</v>
      </c>
      <c r="J622">
        <v>5509.02</v>
      </c>
      <c r="K622">
        <f>IF(tblPO[[#This Row],[Actual_Delivery_Date]]&lt;=tblPO[[#This Row],[Expected_Delivery_Date]],1,0)</f>
        <v>1</v>
      </c>
      <c r="L622">
        <f>IF(tblPO[[#This Row],[Actual_Delivery_Date]]&gt;tblPO[[#This Row],[Expected_Delivery_Date]],1,0)</f>
        <v>0</v>
      </c>
      <c r="M622">
        <f>tblPO[[#This Row],[Actual_Delivery_Date]]-tblPO[[#This Row],[PO_Date]]</f>
        <v>0</v>
      </c>
    </row>
    <row r="623" spans="1:13" x14ac:dyDescent="0.3">
      <c r="A623" t="s">
        <v>1635</v>
      </c>
      <c r="B623" s="18">
        <v>45418</v>
      </c>
      <c r="C623" t="s">
        <v>38</v>
      </c>
      <c r="D623" t="s">
        <v>249</v>
      </c>
      <c r="E623">
        <v>451</v>
      </c>
      <c r="F623">
        <v>69.62</v>
      </c>
      <c r="G623" s="18">
        <v>45435</v>
      </c>
      <c r="H623" s="18">
        <v>45434</v>
      </c>
      <c r="I623">
        <v>451</v>
      </c>
      <c r="J623">
        <v>31398.62</v>
      </c>
      <c r="K623">
        <f>IF(tblPO[[#This Row],[Actual_Delivery_Date]]&lt;=tblPO[[#This Row],[Expected_Delivery_Date]],1,0)</f>
        <v>1</v>
      </c>
      <c r="L623">
        <f>IF(tblPO[[#This Row],[Actual_Delivery_Date]]&gt;tblPO[[#This Row],[Expected_Delivery_Date]],1,0)</f>
        <v>0</v>
      </c>
      <c r="M623">
        <f>tblPO[[#This Row],[Actual_Delivery_Date]]-tblPO[[#This Row],[PO_Date]]</f>
        <v>16</v>
      </c>
    </row>
    <row r="624" spans="1:13" x14ac:dyDescent="0.3">
      <c r="A624" t="s">
        <v>1634</v>
      </c>
      <c r="B624" s="18">
        <v>45438</v>
      </c>
      <c r="C624" t="s">
        <v>41</v>
      </c>
      <c r="D624" t="s">
        <v>203</v>
      </c>
      <c r="E624">
        <v>181</v>
      </c>
      <c r="F624">
        <v>355.55</v>
      </c>
      <c r="G624" s="18">
        <v>45443</v>
      </c>
      <c r="H624" s="18">
        <v>45461</v>
      </c>
      <c r="I624">
        <v>181</v>
      </c>
      <c r="J624">
        <v>64354.55</v>
      </c>
      <c r="K624">
        <f>IF(tblPO[[#This Row],[Actual_Delivery_Date]]&lt;=tblPO[[#This Row],[Expected_Delivery_Date]],1,0)</f>
        <v>0</v>
      </c>
      <c r="L624">
        <f>IF(tblPO[[#This Row],[Actual_Delivery_Date]]&gt;tblPO[[#This Row],[Expected_Delivery_Date]],1,0)</f>
        <v>1</v>
      </c>
      <c r="M624">
        <f>tblPO[[#This Row],[Actual_Delivery_Date]]-tblPO[[#This Row],[PO_Date]]</f>
        <v>23</v>
      </c>
    </row>
    <row r="625" spans="1:13" x14ac:dyDescent="0.3">
      <c r="A625" t="s">
        <v>1633</v>
      </c>
      <c r="B625" s="18">
        <v>45427</v>
      </c>
      <c r="C625" t="s">
        <v>44</v>
      </c>
      <c r="D625" t="s">
        <v>190</v>
      </c>
      <c r="E625">
        <v>188</v>
      </c>
      <c r="F625">
        <v>95.5</v>
      </c>
      <c r="G625" s="18">
        <v>45442</v>
      </c>
      <c r="H625" s="18">
        <v>45442</v>
      </c>
      <c r="I625">
        <v>188</v>
      </c>
      <c r="J625">
        <v>17954</v>
      </c>
      <c r="K625">
        <f>IF(tblPO[[#This Row],[Actual_Delivery_Date]]&lt;=tblPO[[#This Row],[Expected_Delivery_Date]],1,0)</f>
        <v>1</v>
      </c>
      <c r="L625">
        <f>IF(tblPO[[#This Row],[Actual_Delivery_Date]]&gt;tblPO[[#This Row],[Expected_Delivery_Date]],1,0)</f>
        <v>0</v>
      </c>
      <c r="M625">
        <f>tblPO[[#This Row],[Actual_Delivery_Date]]-tblPO[[#This Row],[PO_Date]]</f>
        <v>15</v>
      </c>
    </row>
    <row r="626" spans="1:13" x14ac:dyDescent="0.3">
      <c r="A626" t="s">
        <v>1632</v>
      </c>
      <c r="B626" s="18">
        <v>45421</v>
      </c>
      <c r="C626" t="s">
        <v>53</v>
      </c>
      <c r="D626" t="s">
        <v>104</v>
      </c>
      <c r="E626">
        <v>167</v>
      </c>
      <c r="F626">
        <v>424.54</v>
      </c>
      <c r="G626" s="18">
        <v>45444</v>
      </c>
      <c r="H626" s="18">
        <v>45443</v>
      </c>
      <c r="I626">
        <v>167</v>
      </c>
      <c r="J626">
        <v>70898.179999999993</v>
      </c>
      <c r="K626">
        <f>IF(tblPO[[#This Row],[Actual_Delivery_Date]]&lt;=tblPO[[#This Row],[Expected_Delivery_Date]],1,0)</f>
        <v>1</v>
      </c>
      <c r="L626">
        <f>IF(tblPO[[#This Row],[Actual_Delivery_Date]]&gt;tblPO[[#This Row],[Expected_Delivery_Date]],1,0)</f>
        <v>0</v>
      </c>
      <c r="M626">
        <f>tblPO[[#This Row],[Actual_Delivery_Date]]-tblPO[[#This Row],[PO_Date]]</f>
        <v>22</v>
      </c>
    </row>
    <row r="627" spans="1:13" x14ac:dyDescent="0.3">
      <c r="A627" t="s">
        <v>1631</v>
      </c>
      <c r="B627" s="18">
        <v>45413</v>
      </c>
      <c r="C627" t="s">
        <v>70</v>
      </c>
      <c r="D627" t="s">
        <v>179</v>
      </c>
      <c r="E627">
        <v>549</v>
      </c>
      <c r="F627">
        <v>19.309999999999999</v>
      </c>
      <c r="G627" s="18">
        <v>45418</v>
      </c>
      <c r="H627" s="18">
        <v>45417</v>
      </c>
      <c r="I627">
        <v>549</v>
      </c>
      <c r="J627">
        <v>10601.19</v>
      </c>
      <c r="K627">
        <f>IF(tblPO[[#This Row],[Actual_Delivery_Date]]&lt;=tblPO[[#This Row],[Expected_Delivery_Date]],1,0)</f>
        <v>1</v>
      </c>
      <c r="L627">
        <f>IF(tblPO[[#This Row],[Actual_Delivery_Date]]&gt;tblPO[[#This Row],[Expected_Delivery_Date]],1,0)</f>
        <v>0</v>
      </c>
      <c r="M627">
        <f>tblPO[[#This Row],[Actual_Delivery_Date]]-tblPO[[#This Row],[PO_Date]]</f>
        <v>4</v>
      </c>
    </row>
    <row r="628" spans="1:13" x14ac:dyDescent="0.3">
      <c r="A628" t="s">
        <v>1630</v>
      </c>
      <c r="B628" s="18">
        <v>45424</v>
      </c>
      <c r="C628" t="s">
        <v>54</v>
      </c>
      <c r="D628" t="s">
        <v>181</v>
      </c>
      <c r="E628">
        <v>1672</v>
      </c>
      <c r="F628">
        <v>3.42</v>
      </c>
      <c r="G628" s="18">
        <v>45431</v>
      </c>
      <c r="H628" s="18">
        <v>45431</v>
      </c>
      <c r="I628">
        <v>1672</v>
      </c>
      <c r="J628">
        <v>5718.24</v>
      </c>
      <c r="K628">
        <f>IF(tblPO[[#This Row],[Actual_Delivery_Date]]&lt;=tblPO[[#This Row],[Expected_Delivery_Date]],1,0)</f>
        <v>1</v>
      </c>
      <c r="L628">
        <f>IF(tblPO[[#This Row],[Actual_Delivery_Date]]&gt;tblPO[[#This Row],[Expected_Delivery_Date]],1,0)</f>
        <v>0</v>
      </c>
      <c r="M628">
        <f>tblPO[[#This Row],[Actual_Delivery_Date]]-tblPO[[#This Row],[PO_Date]]</f>
        <v>7</v>
      </c>
    </row>
    <row r="629" spans="1:13" x14ac:dyDescent="0.3">
      <c r="A629" t="s">
        <v>1629</v>
      </c>
      <c r="B629" s="18">
        <v>45415</v>
      </c>
      <c r="C629" t="s">
        <v>38</v>
      </c>
      <c r="D629" t="s">
        <v>245</v>
      </c>
      <c r="E629">
        <v>22</v>
      </c>
      <c r="F629">
        <v>4141.49</v>
      </c>
      <c r="G629" s="18">
        <v>45427</v>
      </c>
      <c r="H629" s="18">
        <v>45427</v>
      </c>
      <c r="I629">
        <v>22</v>
      </c>
      <c r="J629">
        <v>91112.78</v>
      </c>
      <c r="K629">
        <f>IF(tblPO[[#This Row],[Actual_Delivery_Date]]&lt;=tblPO[[#This Row],[Expected_Delivery_Date]],1,0)</f>
        <v>1</v>
      </c>
      <c r="L629">
        <f>IF(tblPO[[#This Row],[Actual_Delivery_Date]]&gt;tblPO[[#This Row],[Expected_Delivery_Date]],1,0)</f>
        <v>0</v>
      </c>
      <c r="M629">
        <f>tblPO[[#This Row],[Actual_Delivery_Date]]-tblPO[[#This Row],[PO_Date]]</f>
        <v>12</v>
      </c>
    </row>
    <row r="630" spans="1:13" x14ac:dyDescent="0.3">
      <c r="A630" t="s">
        <v>1628</v>
      </c>
      <c r="B630" s="18">
        <v>45418</v>
      </c>
      <c r="C630" t="s">
        <v>64</v>
      </c>
      <c r="D630" t="s">
        <v>136</v>
      </c>
      <c r="E630">
        <v>150</v>
      </c>
      <c r="F630">
        <v>459.4</v>
      </c>
      <c r="G630" s="18">
        <v>45436</v>
      </c>
      <c r="H630" s="18">
        <v>45435</v>
      </c>
      <c r="I630">
        <v>150</v>
      </c>
      <c r="J630">
        <v>68910</v>
      </c>
      <c r="K630">
        <f>IF(tblPO[[#This Row],[Actual_Delivery_Date]]&lt;=tblPO[[#This Row],[Expected_Delivery_Date]],1,0)</f>
        <v>1</v>
      </c>
      <c r="L630">
        <f>IF(tblPO[[#This Row],[Actual_Delivery_Date]]&gt;tblPO[[#This Row],[Expected_Delivery_Date]],1,0)</f>
        <v>0</v>
      </c>
      <c r="M630">
        <f>tblPO[[#This Row],[Actual_Delivery_Date]]-tblPO[[#This Row],[PO_Date]]</f>
        <v>17</v>
      </c>
    </row>
    <row r="631" spans="1:13" x14ac:dyDescent="0.3">
      <c r="A631" t="s">
        <v>1627</v>
      </c>
      <c r="B631" s="18">
        <v>45426</v>
      </c>
      <c r="C631" t="s">
        <v>70</v>
      </c>
      <c r="D631" t="s">
        <v>185</v>
      </c>
      <c r="E631">
        <v>1706</v>
      </c>
      <c r="F631">
        <v>7.62</v>
      </c>
      <c r="G631" s="18">
        <v>45439</v>
      </c>
      <c r="H631" s="18">
        <v>45437</v>
      </c>
      <c r="I631">
        <v>1706</v>
      </c>
      <c r="J631">
        <v>12999.72</v>
      </c>
      <c r="K631">
        <f>IF(tblPO[[#This Row],[Actual_Delivery_Date]]&lt;=tblPO[[#This Row],[Expected_Delivery_Date]],1,0)</f>
        <v>1</v>
      </c>
      <c r="L631">
        <f>IF(tblPO[[#This Row],[Actual_Delivery_Date]]&gt;tblPO[[#This Row],[Expected_Delivery_Date]],1,0)</f>
        <v>0</v>
      </c>
      <c r="M631">
        <f>tblPO[[#This Row],[Actual_Delivery_Date]]-tblPO[[#This Row],[PO_Date]]</f>
        <v>11</v>
      </c>
    </row>
    <row r="632" spans="1:13" x14ac:dyDescent="0.3">
      <c r="A632" t="s">
        <v>1626</v>
      </c>
      <c r="B632" s="18">
        <v>45416</v>
      </c>
      <c r="C632" t="s">
        <v>59</v>
      </c>
      <c r="D632" t="s">
        <v>90</v>
      </c>
      <c r="E632">
        <v>8</v>
      </c>
      <c r="F632">
        <v>20290.86</v>
      </c>
      <c r="G632" s="18">
        <v>45433</v>
      </c>
      <c r="H632" s="18">
        <v>45430</v>
      </c>
      <c r="I632">
        <v>8</v>
      </c>
      <c r="J632">
        <v>162326.88</v>
      </c>
      <c r="K632">
        <f>IF(tblPO[[#This Row],[Actual_Delivery_Date]]&lt;=tblPO[[#This Row],[Expected_Delivery_Date]],1,0)</f>
        <v>1</v>
      </c>
      <c r="L632">
        <f>IF(tblPO[[#This Row],[Actual_Delivery_Date]]&gt;tblPO[[#This Row],[Expected_Delivery_Date]],1,0)</f>
        <v>0</v>
      </c>
      <c r="M632">
        <f>tblPO[[#This Row],[Actual_Delivery_Date]]-tblPO[[#This Row],[PO_Date]]</f>
        <v>14</v>
      </c>
    </row>
    <row r="633" spans="1:13" x14ac:dyDescent="0.3">
      <c r="A633" t="s">
        <v>1625</v>
      </c>
      <c r="B633" s="18">
        <v>45415</v>
      </c>
      <c r="C633" t="s">
        <v>45</v>
      </c>
      <c r="D633" t="s">
        <v>241</v>
      </c>
      <c r="E633">
        <v>14</v>
      </c>
      <c r="F633">
        <v>2993.31</v>
      </c>
      <c r="G633" s="18">
        <v>45421</v>
      </c>
      <c r="H633" s="18">
        <v>45421</v>
      </c>
      <c r="I633">
        <v>14</v>
      </c>
      <c r="J633">
        <v>41906.339999999997</v>
      </c>
      <c r="K633">
        <f>IF(tblPO[[#This Row],[Actual_Delivery_Date]]&lt;=tblPO[[#This Row],[Expected_Delivery_Date]],1,0)</f>
        <v>1</v>
      </c>
      <c r="L633">
        <f>IF(tblPO[[#This Row],[Actual_Delivery_Date]]&gt;tblPO[[#This Row],[Expected_Delivery_Date]],1,0)</f>
        <v>0</v>
      </c>
      <c r="M633">
        <f>tblPO[[#This Row],[Actual_Delivery_Date]]-tblPO[[#This Row],[PO_Date]]</f>
        <v>6</v>
      </c>
    </row>
    <row r="634" spans="1:13" x14ac:dyDescent="0.3">
      <c r="A634" t="s">
        <v>1624</v>
      </c>
      <c r="B634" s="18">
        <v>45419</v>
      </c>
      <c r="C634" t="s">
        <v>42</v>
      </c>
      <c r="D634" t="s">
        <v>90</v>
      </c>
      <c r="E634">
        <v>2</v>
      </c>
      <c r="F634">
        <v>34597.699999999997</v>
      </c>
      <c r="G634" s="18">
        <v>45435</v>
      </c>
      <c r="H634" s="18">
        <v>45432</v>
      </c>
      <c r="I634">
        <v>2</v>
      </c>
      <c r="J634">
        <v>69195.399999999994</v>
      </c>
      <c r="K634">
        <f>IF(tblPO[[#This Row],[Actual_Delivery_Date]]&lt;=tblPO[[#This Row],[Expected_Delivery_Date]],1,0)</f>
        <v>1</v>
      </c>
      <c r="L634">
        <f>IF(tblPO[[#This Row],[Actual_Delivery_Date]]&gt;tblPO[[#This Row],[Expected_Delivery_Date]],1,0)</f>
        <v>0</v>
      </c>
      <c r="M634">
        <f>tblPO[[#This Row],[Actual_Delivery_Date]]-tblPO[[#This Row],[PO_Date]]</f>
        <v>13</v>
      </c>
    </row>
    <row r="635" spans="1:13" x14ac:dyDescent="0.3">
      <c r="A635" t="s">
        <v>1623</v>
      </c>
      <c r="B635" s="18">
        <v>45425</v>
      </c>
      <c r="C635" t="s">
        <v>45</v>
      </c>
      <c r="D635" t="s">
        <v>243</v>
      </c>
      <c r="E635">
        <v>84</v>
      </c>
      <c r="F635">
        <v>170.36</v>
      </c>
      <c r="G635" s="18">
        <v>45442</v>
      </c>
      <c r="H635" s="18">
        <v>45441</v>
      </c>
      <c r="I635">
        <v>84</v>
      </c>
      <c r="J635">
        <v>14310.24</v>
      </c>
      <c r="K635">
        <f>IF(tblPO[[#This Row],[Actual_Delivery_Date]]&lt;=tblPO[[#This Row],[Expected_Delivery_Date]],1,0)</f>
        <v>1</v>
      </c>
      <c r="L635">
        <f>IF(tblPO[[#This Row],[Actual_Delivery_Date]]&gt;tblPO[[#This Row],[Expected_Delivery_Date]],1,0)</f>
        <v>0</v>
      </c>
      <c r="M635">
        <f>tblPO[[#This Row],[Actual_Delivery_Date]]-tblPO[[#This Row],[PO_Date]]</f>
        <v>16</v>
      </c>
    </row>
    <row r="636" spans="1:13" x14ac:dyDescent="0.3">
      <c r="A636" t="s">
        <v>1622</v>
      </c>
      <c r="B636" s="18">
        <v>45442</v>
      </c>
      <c r="C636" t="s">
        <v>41</v>
      </c>
      <c r="D636" t="s">
        <v>183</v>
      </c>
      <c r="E636">
        <v>361</v>
      </c>
      <c r="F636">
        <v>11.4</v>
      </c>
      <c r="G636" s="18">
        <v>45458</v>
      </c>
      <c r="H636" s="18">
        <v>45457</v>
      </c>
      <c r="I636">
        <v>361</v>
      </c>
      <c r="J636">
        <v>4115.3999999999996</v>
      </c>
      <c r="K636">
        <f>IF(tblPO[[#This Row],[Actual_Delivery_Date]]&lt;=tblPO[[#This Row],[Expected_Delivery_Date]],1,0)</f>
        <v>1</v>
      </c>
      <c r="L636">
        <f>IF(tblPO[[#This Row],[Actual_Delivery_Date]]&gt;tblPO[[#This Row],[Expected_Delivery_Date]],1,0)</f>
        <v>0</v>
      </c>
      <c r="M636">
        <f>tblPO[[#This Row],[Actual_Delivery_Date]]-tblPO[[#This Row],[PO_Date]]</f>
        <v>15</v>
      </c>
    </row>
    <row r="637" spans="1:13" x14ac:dyDescent="0.3">
      <c r="A637" t="s">
        <v>1621</v>
      </c>
      <c r="B637" s="18">
        <v>45425</v>
      </c>
      <c r="C637" t="s">
        <v>44</v>
      </c>
      <c r="D637" t="s">
        <v>190</v>
      </c>
      <c r="E637">
        <v>140</v>
      </c>
      <c r="F637">
        <v>94.53</v>
      </c>
      <c r="G637" s="18">
        <v>45441</v>
      </c>
      <c r="H637" s="18">
        <v>45442</v>
      </c>
      <c r="I637">
        <v>140</v>
      </c>
      <c r="J637">
        <v>13234.2</v>
      </c>
      <c r="K637">
        <f>IF(tblPO[[#This Row],[Actual_Delivery_Date]]&lt;=tblPO[[#This Row],[Expected_Delivery_Date]],1,0)</f>
        <v>0</v>
      </c>
      <c r="L637">
        <f>IF(tblPO[[#This Row],[Actual_Delivery_Date]]&gt;tblPO[[#This Row],[Expected_Delivery_Date]],1,0)</f>
        <v>1</v>
      </c>
      <c r="M637">
        <f>tblPO[[#This Row],[Actual_Delivery_Date]]-tblPO[[#This Row],[PO_Date]]</f>
        <v>17</v>
      </c>
    </row>
    <row r="638" spans="1:13" x14ac:dyDescent="0.3">
      <c r="A638" t="s">
        <v>1620</v>
      </c>
      <c r="B638" s="18">
        <v>45435</v>
      </c>
      <c r="C638" t="s">
        <v>38</v>
      </c>
      <c r="D638" t="s">
        <v>217</v>
      </c>
      <c r="E638">
        <v>50</v>
      </c>
      <c r="F638">
        <v>29.05</v>
      </c>
      <c r="G638" s="18">
        <v>45449</v>
      </c>
      <c r="H638" s="18">
        <v>45448</v>
      </c>
      <c r="I638">
        <v>50</v>
      </c>
      <c r="J638">
        <v>1452.5</v>
      </c>
      <c r="K638">
        <f>IF(tblPO[[#This Row],[Actual_Delivery_Date]]&lt;=tblPO[[#This Row],[Expected_Delivery_Date]],1,0)</f>
        <v>1</v>
      </c>
      <c r="L638">
        <f>IF(tblPO[[#This Row],[Actual_Delivery_Date]]&gt;tblPO[[#This Row],[Expected_Delivery_Date]],1,0)</f>
        <v>0</v>
      </c>
      <c r="M638">
        <f>tblPO[[#This Row],[Actual_Delivery_Date]]-tblPO[[#This Row],[PO_Date]]</f>
        <v>13</v>
      </c>
    </row>
    <row r="639" spans="1:13" x14ac:dyDescent="0.3">
      <c r="A639" t="s">
        <v>1619</v>
      </c>
      <c r="B639" s="18">
        <v>45425</v>
      </c>
      <c r="C639" t="s">
        <v>53</v>
      </c>
      <c r="D639" t="s">
        <v>104</v>
      </c>
      <c r="E639">
        <v>161</v>
      </c>
      <c r="F639">
        <v>434.61</v>
      </c>
      <c r="G639" s="18">
        <v>45447</v>
      </c>
      <c r="H639" s="18">
        <v>45447</v>
      </c>
      <c r="I639">
        <v>161</v>
      </c>
      <c r="J639">
        <v>69972.210000000006</v>
      </c>
      <c r="K639">
        <f>IF(tblPO[[#This Row],[Actual_Delivery_Date]]&lt;=tblPO[[#This Row],[Expected_Delivery_Date]],1,0)</f>
        <v>1</v>
      </c>
      <c r="L639">
        <f>IF(tblPO[[#This Row],[Actual_Delivery_Date]]&gt;tblPO[[#This Row],[Expected_Delivery_Date]],1,0)</f>
        <v>0</v>
      </c>
      <c r="M639">
        <f>tblPO[[#This Row],[Actual_Delivery_Date]]-tblPO[[#This Row],[PO_Date]]</f>
        <v>22</v>
      </c>
    </row>
    <row r="640" spans="1:13" x14ac:dyDescent="0.3">
      <c r="A640" t="s">
        <v>1618</v>
      </c>
      <c r="B640" s="18">
        <v>45428</v>
      </c>
      <c r="C640" t="s">
        <v>43</v>
      </c>
      <c r="D640" t="s">
        <v>160</v>
      </c>
      <c r="E640">
        <v>227</v>
      </c>
      <c r="F640">
        <v>83.52</v>
      </c>
      <c r="G640" s="18">
        <v>45435</v>
      </c>
      <c r="H640" s="18">
        <v>45435</v>
      </c>
      <c r="I640">
        <v>227</v>
      </c>
      <c r="J640">
        <v>18959.04</v>
      </c>
      <c r="K640">
        <f>IF(tblPO[[#This Row],[Actual_Delivery_Date]]&lt;=tblPO[[#This Row],[Expected_Delivery_Date]],1,0)</f>
        <v>1</v>
      </c>
      <c r="L640">
        <f>IF(tblPO[[#This Row],[Actual_Delivery_Date]]&gt;tblPO[[#This Row],[Expected_Delivery_Date]],1,0)</f>
        <v>0</v>
      </c>
      <c r="M640">
        <f>tblPO[[#This Row],[Actual_Delivery_Date]]-tblPO[[#This Row],[PO_Date]]</f>
        <v>7</v>
      </c>
    </row>
    <row r="641" spans="1:13" x14ac:dyDescent="0.3">
      <c r="A641" t="s">
        <v>1617</v>
      </c>
      <c r="B641" s="18">
        <v>45422</v>
      </c>
      <c r="C641" t="s">
        <v>42</v>
      </c>
      <c r="D641" t="s">
        <v>100</v>
      </c>
      <c r="E641">
        <v>3</v>
      </c>
      <c r="F641">
        <v>56393.120000000003</v>
      </c>
      <c r="G641" s="18">
        <v>45438</v>
      </c>
      <c r="H641" s="18">
        <v>45435</v>
      </c>
      <c r="I641">
        <v>3</v>
      </c>
      <c r="J641">
        <v>169179.36</v>
      </c>
      <c r="K641">
        <f>IF(tblPO[[#This Row],[Actual_Delivery_Date]]&lt;=tblPO[[#This Row],[Expected_Delivery_Date]],1,0)</f>
        <v>1</v>
      </c>
      <c r="L641">
        <f>IF(tblPO[[#This Row],[Actual_Delivery_Date]]&gt;tblPO[[#This Row],[Expected_Delivery_Date]],1,0)</f>
        <v>0</v>
      </c>
      <c r="M641">
        <f>tblPO[[#This Row],[Actual_Delivery_Date]]-tblPO[[#This Row],[PO_Date]]</f>
        <v>13</v>
      </c>
    </row>
    <row r="642" spans="1:13" x14ac:dyDescent="0.3">
      <c r="A642" t="s">
        <v>1616</v>
      </c>
      <c r="B642" s="18">
        <v>45434</v>
      </c>
      <c r="C642" t="s">
        <v>49</v>
      </c>
      <c r="D642" t="s">
        <v>205</v>
      </c>
      <c r="E642">
        <v>134</v>
      </c>
      <c r="F642">
        <v>403.01</v>
      </c>
      <c r="G642" s="18">
        <v>45450</v>
      </c>
      <c r="H642" s="18">
        <v>45458</v>
      </c>
      <c r="I642">
        <v>134</v>
      </c>
      <c r="J642">
        <v>54003.34</v>
      </c>
      <c r="K642">
        <f>IF(tblPO[[#This Row],[Actual_Delivery_Date]]&lt;=tblPO[[#This Row],[Expected_Delivery_Date]],1,0)</f>
        <v>0</v>
      </c>
      <c r="L642">
        <f>IF(tblPO[[#This Row],[Actual_Delivery_Date]]&gt;tblPO[[#This Row],[Expected_Delivery_Date]],1,0)</f>
        <v>1</v>
      </c>
      <c r="M642">
        <f>tblPO[[#This Row],[Actual_Delivery_Date]]-tblPO[[#This Row],[PO_Date]]</f>
        <v>24</v>
      </c>
    </row>
    <row r="643" spans="1:13" x14ac:dyDescent="0.3">
      <c r="A643" t="s">
        <v>1615</v>
      </c>
      <c r="B643" s="18">
        <v>45441</v>
      </c>
      <c r="C643" t="s">
        <v>53</v>
      </c>
      <c r="D643" t="s">
        <v>90</v>
      </c>
      <c r="E643">
        <v>8</v>
      </c>
      <c r="F643">
        <v>32988.11</v>
      </c>
      <c r="G643" s="18">
        <v>45466</v>
      </c>
      <c r="H643" s="18">
        <v>45466</v>
      </c>
      <c r="I643">
        <v>8</v>
      </c>
      <c r="J643">
        <v>263904.88</v>
      </c>
      <c r="K643">
        <f>IF(tblPO[[#This Row],[Actual_Delivery_Date]]&lt;=tblPO[[#This Row],[Expected_Delivery_Date]],1,0)</f>
        <v>1</v>
      </c>
      <c r="L643">
        <f>IF(tblPO[[#This Row],[Actual_Delivery_Date]]&gt;tblPO[[#This Row],[Expected_Delivery_Date]],1,0)</f>
        <v>0</v>
      </c>
      <c r="M643">
        <f>tblPO[[#This Row],[Actual_Delivery_Date]]-tblPO[[#This Row],[PO_Date]]</f>
        <v>25</v>
      </c>
    </row>
    <row r="644" spans="1:13" x14ac:dyDescent="0.3">
      <c r="A644" t="s">
        <v>1614</v>
      </c>
      <c r="B644" s="18">
        <v>45424</v>
      </c>
      <c r="C644" t="s">
        <v>48</v>
      </c>
      <c r="D644" t="s">
        <v>160</v>
      </c>
      <c r="E644">
        <v>443</v>
      </c>
      <c r="F644">
        <v>126.66</v>
      </c>
      <c r="G644" s="18">
        <v>45443</v>
      </c>
      <c r="H644" s="18">
        <v>45440</v>
      </c>
      <c r="I644">
        <v>443</v>
      </c>
      <c r="J644">
        <v>56110.38</v>
      </c>
      <c r="K644">
        <f>IF(tblPO[[#This Row],[Actual_Delivery_Date]]&lt;=tblPO[[#This Row],[Expected_Delivery_Date]],1,0)</f>
        <v>1</v>
      </c>
      <c r="L644">
        <f>IF(tblPO[[#This Row],[Actual_Delivery_Date]]&gt;tblPO[[#This Row],[Expected_Delivery_Date]],1,0)</f>
        <v>0</v>
      </c>
      <c r="M644">
        <f>tblPO[[#This Row],[Actual_Delivery_Date]]-tblPO[[#This Row],[PO_Date]]</f>
        <v>16</v>
      </c>
    </row>
    <row r="645" spans="1:13" x14ac:dyDescent="0.3">
      <c r="A645" t="s">
        <v>1613</v>
      </c>
      <c r="B645" s="18">
        <v>45429</v>
      </c>
      <c r="C645" t="s">
        <v>46</v>
      </c>
      <c r="D645" t="s">
        <v>84</v>
      </c>
      <c r="E645">
        <v>192</v>
      </c>
      <c r="F645">
        <v>235.52</v>
      </c>
      <c r="G645" s="18">
        <v>45449</v>
      </c>
      <c r="H645" s="18">
        <v>45448</v>
      </c>
      <c r="I645">
        <v>169</v>
      </c>
      <c r="J645">
        <v>45219.839999999997</v>
      </c>
      <c r="K645">
        <f>IF(tblPO[[#This Row],[Actual_Delivery_Date]]&lt;=tblPO[[#This Row],[Expected_Delivery_Date]],1,0)</f>
        <v>1</v>
      </c>
      <c r="L645">
        <f>IF(tblPO[[#This Row],[Actual_Delivery_Date]]&gt;tblPO[[#This Row],[Expected_Delivery_Date]],1,0)</f>
        <v>0</v>
      </c>
      <c r="M645">
        <f>tblPO[[#This Row],[Actual_Delivery_Date]]-tblPO[[#This Row],[PO_Date]]</f>
        <v>19</v>
      </c>
    </row>
    <row r="646" spans="1:13" x14ac:dyDescent="0.3">
      <c r="A646" t="s">
        <v>1612</v>
      </c>
      <c r="B646" s="18">
        <v>45431</v>
      </c>
      <c r="C646" t="s">
        <v>60</v>
      </c>
      <c r="D646" t="s">
        <v>127</v>
      </c>
      <c r="E646">
        <v>5</v>
      </c>
      <c r="F646">
        <v>4024.91</v>
      </c>
      <c r="G646" s="18">
        <v>45449</v>
      </c>
      <c r="H646" s="18">
        <v>45456</v>
      </c>
      <c r="I646">
        <v>5</v>
      </c>
      <c r="J646">
        <v>20124.55</v>
      </c>
      <c r="K646">
        <f>IF(tblPO[[#This Row],[Actual_Delivery_Date]]&lt;=tblPO[[#This Row],[Expected_Delivery_Date]],1,0)</f>
        <v>0</v>
      </c>
      <c r="L646">
        <f>IF(tblPO[[#This Row],[Actual_Delivery_Date]]&gt;tblPO[[#This Row],[Expected_Delivery_Date]],1,0)</f>
        <v>1</v>
      </c>
      <c r="M646">
        <f>tblPO[[#This Row],[Actual_Delivery_Date]]-tblPO[[#This Row],[PO_Date]]</f>
        <v>25</v>
      </c>
    </row>
    <row r="647" spans="1:13" x14ac:dyDescent="0.3">
      <c r="A647" t="s">
        <v>1611</v>
      </c>
      <c r="B647" s="18">
        <v>45427</v>
      </c>
      <c r="C647" t="s">
        <v>55</v>
      </c>
      <c r="D647" t="s">
        <v>219</v>
      </c>
      <c r="E647">
        <v>336</v>
      </c>
      <c r="F647">
        <v>110.52</v>
      </c>
      <c r="G647" s="18">
        <v>45455</v>
      </c>
      <c r="H647" s="18">
        <v>45452</v>
      </c>
      <c r="I647">
        <v>336</v>
      </c>
      <c r="J647">
        <v>37134.720000000001</v>
      </c>
      <c r="K647">
        <f>IF(tblPO[[#This Row],[Actual_Delivery_Date]]&lt;=tblPO[[#This Row],[Expected_Delivery_Date]],1,0)</f>
        <v>1</v>
      </c>
      <c r="L647">
        <f>IF(tblPO[[#This Row],[Actual_Delivery_Date]]&gt;tblPO[[#This Row],[Expected_Delivery_Date]],1,0)</f>
        <v>0</v>
      </c>
      <c r="M647">
        <f>tblPO[[#This Row],[Actual_Delivery_Date]]-tblPO[[#This Row],[PO_Date]]</f>
        <v>25</v>
      </c>
    </row>
    <row r="648" spans="1:13" x14ac:dyDescent="0.3">
      <c r="A648" t="s">
        <v>1610</v>
      </c>
      <c r="B648" s="18">
        <v>45434</v>
      </c>
      <c r="C648" t="s">
        <v>46</v>
      </c>
      <c r="D648" t="s">
        <v>90</v>
      </c>
      <c r="E648">
        <v>2</v>
      </c>
      <c r="F648">
        <v>35676.720000000001</v>
      </c>
      <c r="G648" s="18">
        <v>45463</v>
      </c>
      <c r="H648" s="18">
        <v>45462</v>
      </c>
      <c r="I648">
        <v>2</v>
      </c>
      <c r="J648">
        <v>71353.440000000002</v>
      </c>
      <c r="K648">
        <f>IF(tblPO[[#This Row],[Actual_Delivery_Date]]&lt;=tblPO[[#This Row],[Expected_Delivery_Date]],1,0)</f>
        <v>1</v>
      </c>
      <c r="L648">
        <f>IF(tblPO[[#This Row],[Actual_Delivery_Date]]&gt;tblPO[[#This Row],[Expected_Delivery_Date]],1,0)</f>
        <v>0</v>
      </c>
      <c r="M648">
        <f>tblPO[[#This Row],[Actual_Delivery_Date]]-tblPO[[#This Row],[PO_Date]]</f>
        <v>28</v>
      </c>
    </row>
    <row r="649" spans="1:13" x14ac:dyDescent="0.3">
      <c r="A649" t="s">
        <v>1609</v>
      </c>
      <c r="B649" s="18">
        <v>45428</v>
      </c>
      <c r="C649" t="s">
        <v>45</v>
      </c>
      <c r="D649" t="s">
        <v>231</v>
      </c>
      <c r="E649">
        <v>12</v>
      </c>
      <c r="F649">
        <v>138.13999999999999</v>
      </c>
      <c r="G649" s="18">
        <v>45445</v>
      </c>
      <c r="H649" s="18">
        <v>45445</v>
      </c>
      <c r="I649">
        <v>12</v>
      </c>
      <c r="J649">
        <v>1657.68</v>
      </c>
      <c r="K649">
        <f>IF(tblPO[[#This Row],[Actual_Delivery_Date]]&lt;=tblPO[[#This Row],[Expected_Delivery_Date]],1,0)</f>
        <v>1</v>
      </c>
      <c r="L649">
        <f>IF(tblPO[[#This Row],[Actual_Delivery_Date]]&gt;tblPO[[#This Row],[Expected_Delivery_Date]],1,0)</f>
        <v>0</v>
      </c>
      <c r="M649">
        <f>tblPO[[#This Row],[Actual_Delivery_Date]]-tblPO[[#This Row],[PO_Date]]</f>
        <v>17</v>
      </c>
    </row>
    <row r="650" spans="1:13" x14ac:dyDescent="0.3">
      <c r="A650" t="s">
        <v>1608</v>
      </c>
      <c r="B650" s="18">
        <v>45422</v>
      </c>
      <c r="C650" t="s">
        <v>57</v>
      </c>
      <c r="D650" t="s">
        <v>199</v>
      </c>
      <c r="E650">
        <v>85</v>
      </c>
      <c r="F650">
        <v>305.26</v>
      </c>
      <c r="G650" s="18">
        <v>45439</v>
      </c>
      <c r="H650" s="18">
        <v>45438</v>
      </c>
      <c r="I650">
        <v>85</v>
      </c>
      <c r="J650">
        <v>25947.1</v>
      </c>
      <c r="K650">
        <f>IF(tblPO[[#This Row],[Actual_Delivery_Date]]&lt;=tblPO[[#This Row],[Expected_Delivery_Date]],1,0)</f>
        <v>1</v>
      </c>
      <c r="L650">
        <f>IF(tblPO[[#This Row],[Actual_Delivery_Date]]&gt;tblPO[[#This Row],[Expected_Delivery_Date]],1,0)</f>
        <v>0</v>
      </c>
      <c r="M650">
        <f>tblPO[[#This Row],[Actual_Delivery_Date]]-tblPO[[#This Row],[PO_Date]]</f>
        <v>16</v>
      </c>
    </row>
    <row r="651" spans="1:13" x14ac:dyDescent="0.3">
      <c r="A651" t="s">
        <v>1607</v>
      </c>
      <c r="B651" s="18">
        <v>45428</v>
      </c>
      <c r="C651" t="s">
        <v>38</v>
      </c>
      <c r="D651" t="s">
        <v>215</v>
      </c>
      <c r="E651">
        <v>22</v>
      </c>
      <c r="F651">
        <v>3727.17</v>
      </c>
      <c r="G651" s="18">
        <v>45436</v>
      </c>
      <c r="H651" s="18">
        <v>45435</v>
      </c>
      <c r="I651">
        <v>22</v>
      </c>
      <c r="J651">
        <v>81997.740000000005</v>
      </c>
      <c r="K651">
        <f>IF(tblPO[[#This Row],[Actual_Delivery_Date]]&lt;=tblPO[[#This Row],[Expected_Delivery_Date]],1,0)</f>
        <v>1</v>
      </c>
      <c r="L651">
        <f>IF(tblPO[[#This Row],[Actual_Delivery_Date]]&gt;tblPO[[#This Row],[Expected_Delivery_Date]],1,0)</f>
        <v>0</v>
      </c>
      <c r="M651">
        <f>tblPO[[#This Row],[Actual_Delivery_Date]]-tblPO[[#This Row],[PO_Date]]</f>
        <v>7</v>
      </c>
    </row>
    <row r="652" spans="1:13" x14ac:dyDescent="0.3">
      <c r="A652" t="s">
        <v>1606</v>
      </c>
      <c r="B652" s="18">
        <v>45415</v>
      </c>
      <c r="C652" t="s">
        <v>72</v>
      </c>
      <c r="D652" t="s">
        <v>212</v>
      </c>
      <c r="E652">
        <v>134</v>
      </c>
      <c r="F652">
        <v>209.37</v>
      </c>
      <c r="G652" s="18">
        <v>45422</v>
      </c>
      <c r="H652" s="18">
        <v>45421</v>
      </c>
      <c r="I652">
        <v>134</v>
      </c>
      <c r="J652">
        <v>28055.58</v>
      </c>
      <c r="K652">
        <f>IF(tblPO[[#This Row],[Actual_Delivery_Date]]&lt;=tblPO[[#This Row],[Expected_Delivery_Date]],1,0)</f>
        <v>1</v>
      </c>
      <c r="L652">
        <f>IF(tblPO[[#This Row],[Actual_Delivery_Date]]&gt;tblPO[[#This Row],[Expected_Delivery_Date]],1,0)</f>
        <v>0</v>
      </c>
      <c r="M652">
        <f>tblPO[[#This Row],[Actual_Delivery_Date]]-tblPO[[#This Row],[PO_Date]]</f>
        <v>6</v>
      </c>
    </row>
    <row r="653" spans="1:13" x14ac:dyDescent="0.3">
      <c r="A653" t="s">
        <v>1605</v>
      </c>
      <c r="B653" s="18">
        <v>45413</v>
      </c>
      <c r="C653" t="s">
        <v>46</v>
      </c>
      <c r="D653" t="s">
        <v>92</v>
      </c>
      <c r="E653">
        <v>10</v>
      </c>
      <c r="F653">
        <v>4666.7700000000004</v>
      </c>
      <c r="G653" s="18">
        <v>45428</v>
      </c>
      <c r="H653" s="18">
        <v>45426</v>
      </c>
      <c r="I653">
        <v>10</v>
      </c>
      <c r="J653">
        <v>46667.7</v>
      </c>
      <c r="K653">
        <f>IF(tblPO[[#This Row],[Actual_Delivery_Date]]&lt;=tblPO[[#This Row],[Expected_Delivery_Date]],1,0)</f>
        <v>1</v>
      </c>
      <c r="L653">
        <f>IF(tblPO[[#This Row],[Actual_Delivery_Date]]&gt;tblPO[[#This Row],[Expected_Delivery_Date]],1,0)</f>
        <v>0</v>
      </c>
      <c r="M653">
        <f>tblPO[[#This Row],[Actual_Delivery_Date]]-tblPO[[#This Row],[PO_Date]]</f>
        <v>13</v>
      </c>
    </row>
    <row r="654" spans="1:13" x14ac:dyDescent="0.3">
      <c r="A654" t="s">
        <v>1604</v>
      </c>
      <c r="B654" s="18">
        <v>45438</v>
      </c>
      <c r="C654" t="s">
        <v>43</v>
      </c>
      <c r="D654" t="s">
        <v>166</v>
      </c>
      <c r="E654">
        <v>317</v>
      </c>
      <c r="F654">
        <v>75.62</v>
      </c>
      <c r="G654" s="18">
        <v>45448</v>
      </c>
      <c r="H654" s="18">
        <v>45445</v>
      </c>
      <c r="I654">
        <v>317</v>
      </c>
      <c r="J654">
        <v>23971.54</v>
      </c>
      <c r="K654">
        <f>IF(tblPO[[#This Row],[Actual_Delivery_Date]]&lt;=tblPO[[#This Row],[Expected_Delivery_Date]],1,0)</f>
        <v>1</v>
      </c>
      <c r="L654">
        <f>IF(tblPO[[#This Row],[Actual_Delivery_Date]]&gt;tblPO[[#This Row],[Expected_Delivery_Date]],1,0)</f>
        <v>0</v>
      </c>
      <c r="M654">
        <f>tblPO[[#This Row],[Actual_Delivery_Date]]-tblPO[[#This Row],[PO_Date]]</f>
        <v>7</v>
      </c>
    </row>
    <row r="655" spans="1:13" x14ac:dyDescent="0.3">
      <c r="A655" t="s">
        <v>1603</v>
      </c>
      <c r="B655" s="18">
        <v>45439</v>
      </c>
      <c r="C655" t="s">
        <v>53</v>
      </c>
      <c r="D655" t="s">
        <v>108</v>
      </c>
      <c r="E655">
        <v>3</v>
      </c>
      <c r="F655">
        <v>14315.95</v>
      </c>
      <c r="G655" s="18">
        <v>45466</v>
      </c>
      <c r="H655" s="18">
        <v>45466</v>
      </c>
      <c r="I655">
        <v>3</v>
      </c>
      <c r="J655">
        <v>42947.85</v>
      </c>
      <c r="K655">
        <f>IF(tblPO[[#This Row],[Actual_Delivery_Date]]&lt;=tblPO[[#This Row],[Expected_Delivery_Date]],1,0)</f>
        <v>1</v>
      </c>
      <c r="L655">
        <f>IF(tblPO[[#This Row],[Actual_Delivery_Date]]&gt;tblPO[[#This Row],[Expected_Delivery_Date]],1,0)</f>
        <v>0</v>
      </c>
      <c r="M655">
        <f>tblPO[[#This Row],[Actual_Delivery_Date]]-tblPO[[#This Row],[PO_Date]]</f>
        <v>27</v>
      </c>
    </row>
    <row r="656" spans="1:13" x14ac:dyDescent="0.3">
      <c r="A656" t="s">
        <v>1602</v>
      </c>
      <c r="B656" s="18">
        <v>45433</v>
      </c>
      <c r="C656" t="s">
        <v>47</v>
      </c>
      <c r="D656" t="s">
        <v>237</v>
      </c>
      <c r="E656">
        <v>793</v>
      </c>
      <c r="F656">
        <v>71.3</v>
      </c>
      <c r="G656" s="18">
        <v>45441</v>
      </c>
      <c r="H656" s="18">
        <v>45440</v>
      </c>
      <c r="I656">
        <v>720</v>
      </c>
      <c r="J656">
        <v>56540.9</v>
      </c>
      <c r="K656">
        <f>IF(tblPO[[#This Row],[Actual_Delivery_Date]]&lt;=tblPO[[#This Row],[Expected_Delivery_Date]],1,0)</f>
        <v>1</v>
      </c>
      <c r="L656">
        <f>IF(tblPO[[#This Row],[Actual_Delivery_Date]]&gt;tblPO[[#This Row],[Expected_Delivery_Date]],1,0)</f>
        <v>0</v>
      </c>
      <c r="M656">
        <f>tblPO[[#This Row],[Actual_Delivery_Date]]-tblPO[[#This Row],[PO_Date]]</f>
        <v>7</v>
      </c>
    </row>
    <row r="657" spans="1:13" x14ac:dyDescent="0.3">
      <c r="A657" t="s">
        <v>1601</v>
      </c>
      <c r="B657" s="18">
        <v>45427</v>
      </c>
      <c r="C657" t="s">
        <v>46</v>
      </c>
      <c r="D657" t="s">
        <v>84</v>
      </c>
      <c r="E657">
        <v>52</v>
      </c>
      <c r="F657">
        <v>224.15</v>
      </c>
      <c r="G657" s="18">
        <v>45451</v>
      </c>
      <c r="H657" s="18">
        <v>45451</v>
      </c>
      <c r="I657">
        <v>52</v>
      </c>
      <c r="J657">
        <v>11655.8</v>
      </c>
      <c r="K657">
        <f>IF(tblPO[[#This Row],[Actual_Delivery_Date]]&lt;=tblPO[[#This Row],[Expected_Delivery_Date]],1,0)</f>
        <v>1</v>
      </c>
      <c r="L657">
        <f>IF(tblPO[[#This Row],[Actual_Delivery_Date]]&gt;tblPO[[#This Row],[Expected_Delivery_Date]],1,0)</f>
        <v>0</v>
      </c>
      <c r="M657">
        <f>tblPO[[#This Row],[Actual_Delivery_Date]]-tblPO[[#This Row],[PO_Date]]</f>
        <v>24</v>
      </c>
    </row>
    <row r="658" spans="1:13" x14ac:dyDescent="0.3">
      <c r="A658" t="s">
        <v>1600</v>
      </c>
      <c r="B658" s="18">
        <v>45425</v>
      </c>
      <c r="C658" t="s">
        <v>49</v>
      </c>
      <c r="D658" t="s">
        <v>183</v>
      </c>
      <c r="E658">
        <v>289</v>
      </c>
      <c r="F658">
        <v>10.92</v>
      </c>
      <c r="G658" s="18">
        <v>45440</v>
      </c>
      <c r="H658" s="18">
        <v>45438</v>
      </c>
      <c r="I658">
        <v>289</v>
      </c>
      <c r="J658">
        <v>3155.88</v>
      </c>
      <c r="K658">
        <f>IF(tblPO[[#This Row],[Actual_Delivery_Date]]&lt;=tblPO[[#This Row],[Expected_Delivery_Date]],1,0)</f>
        <v>1</v>
      </c>
      <c r="L658">
        <f>IF(tblPO[[#This Row],[Actual_Delivery_Date]]&gt;tblPO[[#This Row],[Expected_Delivery_Date]],1,0)</f>
        <v>0</v>
      </c>
      <c r="M658">
        <f>tblPO[[#This Row],[Actual_Delivery_Date]]-tblPO[[#This Row],[PO_Date]]</f>
        <v>13</v>
      </c>
    </row>
    <row r="659" spans="1:13" x14ac:dyDescent="0.3">
      <c r="A659" t="s">
        <v>1599</v>
      </c>
      <c r="B659" s="18">
        <v>45425</v>
      </c>
      <c r="C659" t="s">
        <v>38</v>
      </c>
      <c r="D659" t="s">
        <v>225</v>
      </c>
      <c r="E659">
        <v>124</v>
      </c>
      <c r="F659">
        <v>211.41</v>
      </c>
      <c r="G659" s="18">
        <v>45438</v>
      </c>
      <c r="H659" s="18">
        <v>45435</v>
      </c>
      <c r="I659">
        <v>124</v>
      </c>
      <c r="J659">
        <v>26214.84</v>
      </c>
      <c r="K659">
        <f>IF(tblPO[[#This Row],[Actual_Delivery_Date]]&lt;=tblPO[[#This Row],[Expected_Delivery_Date]],1,0)</f>
        <v>1</v>
      </c>
      <c r="L659">
        <f>IF(tblPO[[#This Row],[Actual_Delivery_Date]]&gt;tblPO[[#This Row],[Expected_Delivery_Date]],1,0)</f>
        <v>0</v>
      </c>
      <c r="M659">
        <f>tblPO[[#This Row],[Actual_Delivery_Date]]-tblPO[[#This Row],[PO_Date]]</f>
        <v>10</v>
      </c>
    </row>
    <row r="660" spans="1:13" x14ac:dyDescent="0.3">
      <c r="A660" t="s">
        <v>1598</v>
      </c>
      <c r="B660" s="18">
        <v>45432</v>
      </c>
      <c r="C660" t="s">
        <v>41</v>
      </c>
      <c r="D660" t="s">
        <v>193</v>
      </c>
      <c r="E660">
        <v>492</v>
      </c>
      <c r="F660">
        <v>32.549999999999997</v>
      </c>
      <c r="G660" s="18">
        <v>45443</v>
      </c>
      <c r="H660" s="18">
        <v>45442</v>
      </c>
      <c r="I660">
        <v>492</v>
      </c>
      <c r="J660">
        <v>16014.6</v>
      </c>
      <c r="K660">
        <f>IF(tblPO[[#This Row],[Actual_Delivery_Date]]&lt;=tblPO[[#This Row],[Expected_Delivery_Date]],1,0)</f>
        <v>1</v>
      </c>
      <c r="L660">
        <f>IF(tblPO[[#This Row],[Actual_Delivery_Date]]&gt;tblPO[[#This Row],[Expected_Delivery_Date]],1,0)</f>
        <v>0</v>
      </c>
      <c r="M660">
        <f>tblPO[[#This Row],[Actual_Delivery_Date]]-tblPO[[#This Row],[PO_Date]]</f>
        <v>10</v>
      </c>
    </row>
    <row r="661" spans="1:13" x14ac:dyDescent="0.3">
      <c r="A661" t="s">
        <v>1597</v>
      </c>
      <c r="B661" s="18">
        <v>45427</v>
      </c>
      <c r="C661" t="s">
        <v>43</v>
      </c>
      <c r="D661" t="s">
        <v>168</v>
      </c>
      <c r="E661">
        <v>450</v>
      </c>
      <c r="F661">
        <v>59.22</v>
      </c>
      <c r="G661" s="18">
        <v>45437</v>
      </c>
      <c r="H661" s="18">
        <v>45435</v>
      </c>
      <c r="I661">
        <v>450</v>
      </c>
      <c r="J661">
        <v>26649</v>
      </c>
      <c r="K661">
        <f>IF(tblPO[[#This Row],[Actual_Delivery_Date]]&lt;=tblPO[[#This Row],[Expected_Delivery_Date]],1,0)</f>
        <v>1</v>
      </c>
      <c r="L661">
        <f>IF(tblPO[[#This Row],[Actual_Delivery_Date]]&gt;tblPO[[#This Row],[Expected_Delivery_Date]],1,0)</f>
        <v>0</v>
      </c>
      <c r="M661">
        <f>tblPO[[#This Row],[Actual_Delivery_Date]]-tblPO[[#This Row],[PO_Date]]</f>
        <v>8</v>
      </c>
    </row>
    <row r="662" spans="1:13" x14ac:dyDescent="0.3">
      <c r="A662" t="s">
        <v>1596</v>
      </c>
      <c r="B662" s="18">
        <v>45423</v>
      </c>
      <c r="C662" t="s">
        <v>42</v>
      </c>
      <c r="D662" t="s">
        <v>90</v>
      </c>
      <c r="E662">
        <v>3</v>
      </c>
      <c r="F662">
        <v>34679.99</v>
      </c>
      <c r="G662" s="18">
        <v>45452</v>
      </c>
      <c r="H662" s="18">
        <v>45449</v>
      </c>
      <c r="I662">
        <v>3</v>
      </c>
      <c r="J662">
        <v>104039.97</v>
      </c>
      <c r="K662">
        <f>IF(tblPO[[#This Row],[Actual_Delivery_Date]]&lt;=tblPO[[#This Row],[Expected_Delivery_Date]],1,0)</f>
        <v>1</v>
      </c>
      <c r="L662">
        <f>IF(tblPO[[#This Row],[Actual_Delivery_Date]]&gt;tblPO[[#This Row],[Expected_Delivery_Date]],1,0)</f>
        <v>0</v>
      </c>
      <c r="M662">
        <f>tblPO[[#This Row],[Actual_Delivery_Date]]-tblPO[[#This Row],[PO_Date]]</f>
        <v>26</v>
      </c>
    </row>
    <row r="663" spans="1:13" x14ac:dyDescent="0.3">
      <c r="A663" t="s">
        <v>1595</v>
      </c>
      <c r="B663" s="18">
        <v>45416</v>
      </c>
      <c r="C663" t="s">
        <v>57</v>
      </c>
      <c r="D663" t="s">
        <v>209</v>
      </c>
      <c r="E663">
        <v>587</v>
      </c>
      <c r="F663">
        <v>17.63</v>
      </c>
      <c r="G663" s="18">
        <v>45442</v>
      </c>
      <c r="H663" s="18">
        <v>45441</v>
      </c>
      <c r="I663">
        <v>587</v>
      </c>
      <c r="J663">
        <v>10348.81</v>
      </c>
      <c r="K663">
        <f>IF(tblPO[[#This Row],[Actual_Delivery_Date]]&lt;=tblPO[[#This Row],[Expected_Delivery_Date]],1,0)</f>
        <v>1</v>
      </c>
      <c r="L663">
        <f>IF(tblPO[[#This Row],[Actual_Delivery_Date]]&gt;tblPO[[#This Row],[Expected_Delivery_Date]],1,0)</f>
        <v>0</v>
      </c>
      <c r="M663">
        <f>tblPO[[#This Row],[Actual_Delivery_Date]]-tblPO[[#This Row],[PO_Date]]</f>
        <v>25</v>
      </c>
    </row>
    <row r="664" spans="1:13" x14ac:dyDescent="0.3">
      <c r="A664" t="s">
        <v>1594</v>
      </c>
      <c r="B664" s="18">
        <v>45414</v>
      </c>
      <c r="C664" t="s">
        <v>45</v>
      </c>
      <c r="D664" t="s">
        <v>249</v>
      </c>
      <c r="E664">
        <v>144</v>
      </c>
      <c r="F664">
        <v>65.790000000000006</v>
      </c>
      <c r="G664" s="18">
        <v>45423</v>
      </c>
      <c r="H664" s="18">
        <v>45439</v>
      </c>
      <c r="I664">
        <v>144</v>
      </c>
      <c r="J664">
        <v>9473.76</v>
      </c>
      <c r="K664">
        <f>IF(tblPO[[#This Row],[Actual_Delivery_Date]]&lt;=tblPO[[#This Row],[Expected_Delivery_Date]],1,0)</f>
        <v>0</v>
      </c>
      <c r="L664">
        <f>IF(tblPO[[#This Row],[Actual_Delivery_Date]]&gt;tblPO[[#This Row],[Expected_Delivery_Date]],1,0)</f>
        <v>1</v>
      </c>
      <c r="M664">
        <f>tblPO[[#This Row],[Actual_Delivery_Date]]-tblPO[[#This Row],[PO_Date]]</f>
        <v>25</v>
      </c>
    </row>
    <row r="665" spans="1:13" x14ac:dyDescent="0.3">
      <c r="A665" t="s">
        <v>1593</v>
      </c>
      <c r="B665" s="18">
        <v>45417</v>
      </c>
      <c r="C665" t="s">
        <v>44</v>
      </c>
      <c r="D665" t="s">
        <v>207</v>
      </c>
      <c r="E665">
        <v>669</v>
      </c>
      <c r="F665">
        <v>9.51</v>
      </c>
      <c r="G665" s="18">
        <v>45441</v>
      </c>
      <c r="H665" s="18">
        <v>45439</v>
      </c>
      <c r="I665">
        <v>669</v>
      </c>
      <c r="J665">
        <v>6362.19</v>
      </c>
      <c r="K665">
        <f>IF(tblPO[[#This Row],[Actual_Delivery_Date]]&lt;=tblPO[[#This Row],[Expected_Delivery_Date]],1,0)</f>
        <v>1</v>
      </c>
      <c r="L665">
        <f>IF(tblPO[[#This Row],[Actual_Delivery_Date]]&gt;tblPO[[#This Row],[Expected_Delivery_Date]],1,0)</f>
        <v>0</v>
      </c>
      <c r="M665">
        <f>tblPO[[#This Row],[Actual_Delivery_Date]]-tblPO[[#This Row],[PO_Date]]</f>
        <v>22</v>
      </c>
    </row>
    <row r="666" spans="1:13" x14ac:dyDescent="0.3">
      <c r="A666" t="s">
        <v>1592</v>
      </c>
      <c r="B666" s="18">
        <v>45427</v>
      </c>
      <c r="C666" t="s">
        <v>49</v>
      </c>
      <c r="D666" t="s">
        <v>185</v>
      </c>
      <c r="E666">
        <v>703</v>
      </c>
      <c r="F666">
        <v>7.29</v>
      </c>
      <c r="G666" s="18">
        <v>45432</v>
      </c>
      <c r="H666" s="18">
        <v>45431</v>
      </c>
      <c r="I666">
        <v>703</v>
      </c>
      <c r="J666">
        <v>5124.87</v>
      </c>
      <c r="K666">
        <f>IF(tblPO[[#This Row],[Actual_Delivery_Date]]&lt;=tblPO[[#This Row],[Expected_Delivery_Date]],1,0)</f>
        <v>1</v>
      </c>
      <c r="L666">
        <f>IF(tblPO[[#This Row],[Actual_Delivery_Date]]&gt;tblPO[[#This Row],[Expected_Delivery_Date]],1,0)</f>
        <v>0</v>
      </c>
      <c r="M666">
        <f>tblPO[[#This Row],[Actual_Delivery_Date]]-tblPO[[#This Row],[PO_Date]]</f>
        <v>4</v>
      </c>
    </row>
    <row r="667" spans="1:13" x14ac:dyDescent="0.3">
      <c r="A667" t="s">
        <v>1591</v>
      </c>
      <c r="B667" s="18">
        <v>45421</v>
      </c>
      <c r="C667" t="s">
        <v>38</v>
      </c>
      <c r="D667" t="s">
        <v>231</v>
      </c>
      <c r="E667">
        <v>28</v>
      </c>
      <c r="F667">
        <v>142.19</v>
      </c>
      <c r="G667" s="18">
        <v>45425</v>
      </c>
      <c r="H667" s="18">
        <v>45424</v>
      </c>
      <c r="I667">
        <v>28</v>
      </c>
      <c r="J667">
        <v>3981.32</v>
      </c>
      <c r="K667">
        <f>IF(tblPO[[#This Row],[Actual_Delivery_Date]]&lt;=tblPO[[#This Row],[Expected_Delivery_Date]],1,0)</f>
        <v>1</v>
      </c>
      <c r="L667">
        <f>IF(tblPO[[#This Row],[Actual_Delivery_Date]]&gt;tblPO[[#This Row],[Expected_Delivery_Date]],1,0)</f>
        <v>0</v>
      </c>
      <c r="M667">
        <f>tblPO[[#This Row],[Actual_Delivery_Date]]-tblPO[[#This Row],[PO_Date]]</f>
        <v>3</v>
      </c>
    </row>
    <row r="668" spans="1:13" x14ac:dyDescent="0.3">
      <c r="A668" t="s">
        <v>1590</v>
      </c>
      <c r="B668" s="18">
        <v>45418</v>
      </c>
      <c r="C668" t="s">
        <v>46</v>
      </c>
      <c r="D668" t="s">
        <v>102</v>
      </c>
      <c r="E668">
        <v>77</v>
      </c>
      <c r="F668">
        <v>673.69</v>
      </c>
      <c r="G668" s="18">
        <v>45444</v>
      </c>
      <c r="H668" s="18">
        <v>45442</v>
      </c>
      <c r="I668">
        <v>77</v>
      </c>
      <c r="J668">
        <v>51874.13</v>
      </c>
      <c r="K668">
        <f>IF(tblPO[[#This Row],[Actual_Delivery_Date]]&lt;=tblPO[[#This Row],[Expected_Delivery_Date]],1,0)</f>
        <v>1</v>
      </c>
      <c r="L668">
        <f>IF(tblPO[[#This Row],[Actual_Delivery_Date]]&gt;tblPO[[#This Row],[Expected_Delivery_Date]],1,0)</f>
        <v>0</v>
      </c>
      <c r="M668">
        <f>tblPO[[#This Row],[Actual_Delivery_Date]]-tblPO[[#This Row],[PO_Date]]</f>
        <v>24</v>
      </c>
    </row>
    <row r="669" spans="1:13" x14ac:dyDescent="0.3">
      <c r="A669" t="s">
        <v>1589</v>
      </c>
      <c r="B669" s="18">
        <v>45417</v>
      </c>
      <c r="C669" t="s">
        <v>39</v>
      </c>
      <c r="D669" t="s">
        <v>172</v>
      </c>
      <c r="E669">
        <v>161</v>
      </c>
      <c r="F669">
        <v>38.200000000000003</v>
      </c>
      <c r="G669" s="18">
        <v>45446</v>
      </c>
      <c r="H669" s="18">
        <v>45444</v>
      </c>
      <c r="I669">
        <v>161</v>
      </c>
      <c r="J669">
        <v>6150.2</v>
      </c>
      <c r="K669">
        <f>IF(tblPO[[#This Row],[Actual_Delivery_Date]]&lt;=tblPO[[#This Row],[Expected_Delivery_Date]],1,0)</f>
        <v>1</v>
      </c>
      <c r="L669">
        <f>IF(tblPO[[#This Row],[Actual_Delivery_Date]]&gt;tblPO[[#This Row],[Expected_Delivery_Date]],1,0)</f>
        <v>0</v>
      </c>
      <c r="M669">
        <f>tblPO[[#This Row],[Actual_Delivery_Date]]-tblPO[[#This Row],[PO_Date]]</f>
        <v>27</v>
      </c>
    </row>
    <row r="670" spans="1:13" x14ac:dyDescent="0.3">
      <c r="A670" t="s">
        <v>1588</v>
      </c>
      <c r="B670" s="18">
        <v>45421</v>
      </c>
      <c r="C670" t="s">
        <v>57</v>
      </c>
      <c r="D670" t="s">
        <v>207</v>
      </c>
      <c r="E670">
        <v>782</v>
      </c>
      <c r="F670">
        <v>11.9</v>
      </c>
      <c r="G670" s="18">
        <v>45436</v>
      </c>
      <c r="H670" s="18">
        <v>45433</v>
      </c>
      <c r="I670">
        <v>782</v>
      </c>
      <c r="J670">
        <v>9305.7999999999993</v>
      </c>
      <c r="K670">
        <f>IF(tblPO[[#This Row],[Actual_Delivery_Date]]&lt;=tblPO[[#This Row],[Expected_Delivery_Date]],1,0)</f>
        <v>1</v>
      </c>
      <c r="L670">
        <f>IF(tblPO[[#This Row],[Actual_Delivery_Date]]&gt;tblPO[[#This Row],[Expected_Delivery_Date]],1,0)</f>
        <v>0</v>
      </c>
      <c r="M670">
        <f>tblPO[[#This Row],[Actual_Delivery_Date]]-tblPO[[#This Row],[PO_Date]]</f>
        <v>12</v>
      </c>
    </row>
    <row r="671" spans="1:13" x14ac:dyDescent="0.3">
      <c r="A671" t="s">
        <v>1587</v>
      </c>
      <c r="B671" s="18">
        <v>45441</v>
      </c>
      <c r="C671" t="s">
        <v>45</v>
      </c>
      <c r="D671" t="s">
        <v>235</v>
      </c>
      <c r="E671">
        <v>69</v>
      </c>
      <c r="F671">
        <v>73.8</v>
      </c>
      <c r="G671" s="18">
        <v>45459</v>
      </c>
      <c r="H671" s="18">
        <v>45456</v>
      </c>
      <c r="I671">
        <v>69</v>
      </c>
      <c r="J671">
        <v>5092.2</v>
      </c>
      <c r="K671">
        <f>IF(tblPO[[#This Row],[Actual_Delivery_Date]]&lt;=tblPO[[#This Row],[Expected_Delivery_Date]],1,0)</f>
        <v>1</v>
      </c>
      <c r="L671">
        <f>IF(tblPO[[#This Row],[Actual_Delivery_Date]]&gt;tblPO[[#This Row],[Expected_Delivery_Date]],1,0)</f>
        <v>0</v>
      </c>
      <c r="M671">
        <f>tblPO[[#This Row],[Actual_Delivery_Date]]-tblPO[[#This Row],[PO_Date]]</f>
        <v>15</v>
      </c>
    </row>
    <row r="672" spans="1:13" x14ac:dyDescent="0.3">
      <c r="A672" t="s">
        <v>1586</v>
      </c>
      <c r="B672" s="18">
        <v>45423</v>
      </c>
      <c r="C672" t="s">
        <v>52</v>
      </c>
      <c r="D672" t="s">
        <v>227</v>
      </c>
      <c r="E672">
        <v>24</v>
      </c>
      <c r="F672">
        <v>1189.8399999999999</v>
      </c>
      <c r="G672" s="18">
        <v>45438</v>
      </c>
      <c r="H672" s="18">
        <v>45438</v>
      </c>
      <c r="I672">
        <v>24</v>
      </c>
      <c r="J672">
        <v>28556.16</v>
      </c>
      <c r="K672">
        <f>IF(tblPO[[#This Row],[Actual_Delivery_Date]]&lt;=tblPO[[#This Row],[Expected_Delivery_Date]],1,0)</f>
        <v>1</v>
      </c>
      <c r="L672">
        <f>IF(tblPO[[#This Row],[Actual_Delivery_Date]]&gt;tblPO[[#This Row],[Expected_Delivery_Date]],1,0)</f>
        <v>0</v>
      </c>
      <c r="M672">
        <f>tblPO[[#This Row],[Actual_Delivery_Date]]-tblPO[[#This Row],[PO_Date]]</f>
        <v>15</v>
      </c>
    </row>
    <row r="673" spans="1:13" x14ac:dyDescent="0.3">
      <c r="A673" t="s">
        <v>1585</v>
      </c>
      <c r="B673" s="18">
        <v>45430</v>
      </c>
      <c r="C673" t="s">
        <v>39</v>
      </c>
      <c r="D673" t="s">
        <v>164</v>
      </c>
      <c r="E673">
        <v>27</v>
      </c>
      <c r="F673">
        <v>151.56</v>
      </c>
      <c r="G673" s="18">
        <v>45449</v>
      </c>
      <c r="H673" s="18">
        <v>45449</v>
      </c>
      <c r="I673">
        <v>27</v>
      </c>
      <c r="J673">
        <v>4092.12</v>
      </c>
      <c r="K673">
        <f>IF(tblPO[[#This Row],[Actual_Delivery_Date]]&lt;=tblPO[[#This Row],[Expected_Delivery_Date]],1,0)</f>
        <v>1</v>
      </c>
      <c r="L673">
        <f>IF(tblPO[[#This Row],[Actual_Delivery_Date]]&gt;tblPO[[#This Row],[Expected_Delivery_Date]],1,0)</f>
        <v>0</v>
      </c>
      <c r="M673">
        <f>tblPO[[#This Row],[Actual_Delivery_Date]]-tblPO[[#This Row],[PO_Date]]</f>
        <v>19</v>
      </c>
    </row>
    <row r="674" spans="1:13" x14ac:dyDescent="0.3">
      <c r="A674" t="s">
        <v>1584</v>
      </c>
      <c r="B674" s="18">
        <v>45423</v>
      </c>
      <c r="C674" t="s">
        <v>55</v>
      </c>
      <c r="D674" t="s">
        <v>217</v>
      </c>
      <c r="E674">
        <v>417</v>
      </c>
      <c r="F674">
        <v>32.450000000000003</v>
      </c>
      <c r="G674" s="18">
        <v>45444</v>
      </c>
      <c r="H674" s="18">
        <v>45441</v>
      </c>
      <c r="I674">
        <v>417</v>
      </c>
      <c r="J674">
        <v>13531.65</v>
      </c>
      <c r="K674">
        <f>IF(tblPO[[#This Row],[Actual_Delivery_Date]]&lt;=tblPO[[#This Row],[Expected_Delivery_Date]],1,0)</f>
        <v>1</v>
      </c>
      <c r="L674">
        <f>IF(tblPO[[#This Row],[Actual_Delivery_Date]]&gt;tblPO[[#This Row],[Expected_Delivery_Date]],1,0)</f>
        <v>0</v>
      </c>
      <c r="M674">
        <f>tblPO[[#This Row],[Actual_Delivery_Date]]-tblPO[[#This Row],[PO_Date]]</f>
        <v>18</v>
      </c>
    </row>
    <row r="675" spans="1:13" x14ac:dyDescent="0.3">
      <c r="A675" t="s">
        <v>1583</v>
      </c>
      <c r="B675" s="18">
        <v>45439</v>
      </c>
      <c r="C675" t="s">
        <v>65</v>
      </c>
      <c r="D675" t="s">
        <v>181</v>
      </c>
      <c r="E675">
        <v>264</v>
      </c>
      <c r="F675">
        <v>4.25</v>
      </c>
      <c r="G675" s="18">
        <v>45456</v>
      </c>
      <c r="H675" s="18">
        <v>45455</v>
      </c>
      <c r="I675">
        <v>264</v>
      </c>
      <c r="J675">
        <v>1122</v>
      </c>
      <c r="K675">
        <f>IF(tblPO[[#This Row],[Actual_Delivery_Date]]&lt;=tblPO[[#This Row],[Expected_Delivery_Date]],1,0)</f>
        <v>1</v>
      </c>
      <c r="L675">
        <f>IF(tblPO[[#This Row],[Actual_Delivery_Date]]&gt;tblPO[[#This Row],[Expected_Delivery_Date]],1,0)</f>
        <v>0</v>
      </c>
      <c r="M675">
        <f>tblPO[[#This Row],[Actual_Delivery_Date]]-tblPO[[#This Row],[PO_Date]]</f>
        <v>16</v>
      </c>
    </row>
    <row r="676" spans="1:13" x14ac:dyDescent="0.3">
      <c r="A676" t="s">
        <v>1582</v>
      </c>
      <c r="B676" s="18">
        <v>45434</v>
      </c>
      <c r="C676" t="s">
        <v>51</v>
      </c>
      <c r="D676" t="s">
        <v>172</v>
      </c>
      <c r="E676">
        <v>443</v>
      </c>
      <c r="F676">
        <v>27.32</v>
      </c>
      <c r="G676" s="18">
        <v>45443</v>
      </c>
      <c r="H676" s="18">
        <v>45443</v>
      </c>
      <c r="I676">
        <v>443</v>
      </c>
      <c r="J676">
        <v>12102.76</v>
      </c>
      <c r="K676">
        <f>IF(tblPO[[#This Row],[Actual_Delivery_Date]]&lt;=tblPO[[#This Row],[Expected_Delivery_Date]],1,0)</f>
        <v>1</v>
      </c>
      <c r="L676">
        <f>IF(tblPO[[#This Row],[Actual_Delivery_Date]]&gt;tblPO[[#This Row],[Expected_Delivery_Date]],1,0)</f>
        <v>0</v>
      </c>
      <c r="M676">
        <f>tblPO[[#This Row],[Actual_Delivery_Date]]-tblPO[[#This Row],[PO_Date]]</f>
        <v>9</v>
      </c>
    </row>
    <row r="677" spans="1:13" x14ac:dyDescent="0.3">
      <c r="A677" t="s">
        <v>1581</v>
      </c>
      <c r="B677" s="18">
        <v>45415</v>
      </c>
      <c r="C677" t="s">
        <v>39</v>
      </c>
      <c r="D677" t="s">
        <v>156</v>
      </c>
      <c r="E677">
        <v>548</v>
      </c>
      <c r="F677">
        <v>65.88</v>
      </c>
      <c r="G677" s="18">
        <v>45441</v>
      </c>
      <c r="H677" s="18">
        <v>45439</v>
      </c>
      <c r="I677">
        <v>483</v>
      </c>
      <c r="J677">
        <v>36102.239999999998</v>
      </c>
      <c r="K677">
        <f>IF(tblPO[[#This Row],[Actual_Delivery_Date]]&lt;=tblPO[[#This Row],[Expected_Delivery_Date]],1,0)</f>
        <v>1</v>
      </c>
      <c r="L677">
        <f>IF(tblPO[[#This Row],[Actual_Delivery_Date]]&gt;tblPO[[#This Row],[Expected_Delivery_Date]],1,0)</f>
        <v>0</v>
      </c>
      <c r="M677">
        <f>tblPO[[#This Row],[Actual_Delivery_Date]]-tblPO[[#This Row],[PO_Date]]</f>
        <v>24</v>
      </c>
    </row>
    <row r="678" spans="1:13" x14ac:dyDescent="0.3">
      <c r="A678" t="s">
        <v>1580</v>
      </c>
      <c r="B678" s="18">
        <v>45415</v>
      </c>
      <c r="C678" t="s">
        <v>44</v>
      </c>
      <c r="D678" t="s">
        <v>190</v>
      </c>
      <c r="E678">
        <v>109</v>
      </c>
      <c r="F678">
        <v>96.34</v>
      </c>
      <c r="G678" s="18">
        <v>45444</v>
      </c>
      <c r="H678" s="18">
        <v>45444</v>
      </c>
      <c r="I678">
        <v>109</v>
      </c>
      <c r="J678">
        <v>10501.06</v>
      </c>
      <c r="K678">
        <f>IF(tblPO[[#This Row],[Actual_Delivery_Date]]&lt;=tblPO[[#This Row],[Expected_Delivery_Date]],1,0)</f>
        <v>1</v>
      </c>
      <c r="L678">
        <f>IF(tblPO[[#This Row],[Actual_Delivery_Date]]&gt;tblPO[[#This Row],[Expected_Delivery_Date]],1,0)</f>
        <v>0</v>
      </c>
      <c r="M678">
        <f>tblPO[[#This Row],[Actual_Delivery_Date]]-tblPO[[#This Row],[PO_Date]]</f>
        <v>29</v>
      </c>
    </row>
    <row r="679" spans="1:13" x14ac:dyDescent="0.3">
      <c r="A679" t="s">
        <v>1579</v>
      </c>
      <c r="B679" s="18">
        <v>45414</v>
      </c>
      <c r="C679" t="s">
        <v>45</v>
      </c>
      <c r="D679" t="s">
        <v>223</v>
      </c>
      <c r="E679">
        <v>14</v>
      </c>
      <c r="F679">
        <v>162.6</v>
      </c>
      <c r="G679" s="18">
        <v>45427</v>
      </c>
      <c r="H679" s="18">
        <v>45424</v>
      </c>
      <c r="I679">
        <v>14</v>
      </c>
      <c r="J679">
        <v>2276.4</v>
      </c>
      <c r="K679">
        <f>IF(tblPO[[#This Row],[Actual_Delivery_Date]]&lt;=tblPO[[#This Row],[Expected_Delivery_Date]],1,0)</f>
        <v>1</v>
      </c>
      <c r="L679">
        <f>IF(tblPO[[#This Row],[Actual_Delivery_Date]]&gt;tblPO[[#This Row],[Expected_Delivery_Date]],1,0)</f>
        <v>0</v>
      </c>
      <c r="M679">
        <f>tblPO[[#This Row],[Actual_Delivery_Date]]-tblPO[[#This Row],[PO_Date]]</f>
        <v>10</v>
      </c>
    </row>
    <row r="680" spans="1:13" x14ac:dyDescent="0.3">
      <c r="A680" t="s">
        <v>1578</v>
      </c>
      <c r="B680" s="18">
        <v>45429</v>
      </c>
      <c r="C680" t="s">
        <v>40</v>
      </c>
      <c r="D680" t="s">
        <v>136</v>
      </c>
      <c r="E680">
        <v>180</v>
      </c>
      <c r="F680">
        <v>699.27</v>
      </c>
      <c r="G680" s="18">
        <v>45446</v>
      </c>
      <c r="H680" s="18">
        <v>45444</v>
      </c>
      <c r="I680">
        <v>180</v>
      </c>
      <c r="J680">
        <v>125868.6</v>
      </c>
      <c r="K680">
        <f>IF(tblPO[[#This Row],[Actual_Delivery_Date]]&lt;=tblPO[[#This Row],[Expected_Delivery_Date]],1,0)</f>
        <v>1</v>
      </c>
      <c r="L680">
        <f>IF(tblPO[[#This Row],[Actual_Delivery_Date]]&gt;tblPO[[#This Row],[Expected_Delivery_Date]],1,0)</f>
        <v>0</v>
      </c>
      <c r="M680">
        <f>tblPO[[#This Row],[Actual_Delivery_Date]]-tblPO[[#This Row],[PO_Date]]</f>
        <v>15</v>
      </c>
    </row>
    <row r="681" spans="1:13" x14ac:dyDescent="0.3">
      <c r="A681" t="s">
        <v>1577</v>
      </c>
      <c r="B681" s="18">
        <v>45436</v>
      </c>
      <c r="C681" t="s">
        <v>48</v>
      </c>
      <c r="D681" t="s">
        <v>170</v>
      </c>
      <c r="E681">
        <v>87</v>
      </c>
      <c r="F681">
        <v>104.85</v>
      </c>
      <c r="G681" s="18">
        <v>45452</v>
      </c>
      <c r="H681" s="18">
        <v>45449</v>
      </c>
      <c r="I681">
        <v>87</v>
      </c>
      <c r="J681">
        <v>9121.9500000000007</v>
      </c>
      <c r="K681">
        <f>IF(tblPO[[#This Row],[Actual_Delivery_Date]]&lt;=tblPO[[#This Row],[Expected_Delivery_Date]],1,0)</f>
        <v>1</v>
      </c>
      <c r="L681">
        <f>IF(tblPO[[#This Row],[Actual_Delivery_Date]]&gt;tblPO[[#This Row],[Expected_Delivery_Date]],1,0)</f>
        <v>0</v>
      </c>
      <c r="M681">
        <f>tblPO[[#This Row],[Actual_Delivery_Date]]-tblPO[[#This Row],[PO_Date]]</f>
        <v>13</v>
      </c>
    </row>
    <row r="682" spans="1:13" x14ac:dyDescent="0.3">
      <c r="A682" t="s">
        <v>1576</v>
      </c>
      <c r="B682" s="18">
        <v>45433</v>
      </c>
      <c r="C682" t="s">
        <v>52</v>
      </c>
      <c r="D682" t="s">
        <v>212</v>
      </c>
      <c r="E682">
        <v>189</v>
      </c>
      <c r="F682">
        <v>299.12</v>
      </c>
      <c r="G682" s="18">
        <v>45440</v>
      </c>
      <c r="H682" s="18">
        <v>45437</v>
      </c>
      <c r="I682">
        <v>189</v>
      </c>
      <c r="J682">
        <v>56533.68</v>
      </c>
      <c r="K682">
        <f>IF(tblPO[[#This Row],[Actual_Delivery_Date]]&lt;=tblPO[[#This Row],[Expected_Delivery_Date]],1,0)</f>
        <v>1</v>
      </c>
      <c r="L682">
        <f>IF(tblPO[[#This Row],[Actual_Delivery_Date]]&gt;tblPO[[#This Row],[Expected_Delivery_Date]],1,0)</f>
        <v>0</v>
      </c>
      <c r="M682">
        <f>tblPO[[#This Row],[Actual_Delivery_Date]]-tblPO[[#This Row],[PO_Date]]</f>
        <v>4</v>
      </c>
    </row>
    <row r="683" spans="1:13" x14ac:dyDescent="0.3">
      <c r="A683" t="s">
        <v>1575</v>
      </c>
      <c r="B683" s="18">
        <v>45432</v>
      </c>
      <c r="C683" t="s">
        <v>40</v>
      </c>
      <c r="D683" t="s">
        <v>115</v>
      </c>
      <c r="E683">
        <v>16</v>
      </c>
      <c r="F683">
        <v>3438.95</v>
      </c>
      <c r="G683" s="18">
        <v>45440</v>
      </c>
      <c r="H683" s="18">
        <v>45437</v>
      </c>
      <c r="I683">
        <v>16</v>
      </c>
      <c r="J683">
        <v>55023.199999999997</v>
      </c>
      <c r="K683">
        <f>IF(tblPO[[#This Row],[Actual_Delivery_Date]]&lt;=tblPO[[#This Row],[Expected_Delivery_Date]],1,0)</f>
        <v>1</v>
      </c>
      <c r="L683">
        <f>IF(tblPO[[#This Row],[Actual_Delivery_Date]]&gt;tblPO[[#This Row],[Expected_Delivery_Date]],1,0)</f>
        <v>0</v>
      </c>
      <c r="M683">
        <f>tblPO[[#This Row],[Actual_Delivery_Date]]-tblPO[[#This Row],[PO_Date]]</f>
        <v>5</v>
      </c>
    </row>
    <row r="684" spans="1:13" x14ac:dyDescent="0.3">
      <c r="A684" t="s">
        <v>1574</v>
      </c>
      <c r="B684" s="18">
        <v>45438</v>
      </c>
      <c r="C684" t="s">
        <v>45</v>
      </c>
      <c r="D684" t="s">
        <v>245</v>
      </c>
      <c r="E684">
        <v>21</v>
      </c>
      <c r="F684">
        <v>3866.85</v>
      </c>
      <c r="G684" s="18">
        <v>45448</v>
      </c>
      <c r="H684" s="18">
        <v>45446</v>
      </c>
      <c r="I684">
        <v>21</v>
      </c>
      <c r="J684">
        <v>81203.850000000006</v>
      </c>
      <c r="K684">
        <f>IF(tblPO[[#This Row],[Actual_Delivery_Date]]&lt;=tblPO[[#This Row],[Expected_Delivery_Date]],1,0)</f>
        <v>1</v>
      </c>
      <c r="L684">
        <f>IF(tblPO[[#This Row],[Actual_Delivery_Date]]&gt;tblPO[[#This Row],[Expected_Delivery_Date]],1,0)</f>
        <v>0</v>
      </c>
      <c r="M684">
        <f>tblPO[[#This Row],[Actual_Delivery_Date]]-tblPO[[#This Row],[PO_Date]]</f>
        <v>8</v>
      </c>
    </row>
    <row r="685" spans="1:13" x14ac:dyDescent="0.3">
      <c r="A685" t="s">
        <v>1573</v>
      </c>
      <c r="B685" s="18">
        <v>45425</v>
      </c>
      <c r="C685" t="s">
        <v>41</v>
      </c>
      <c r="D685" t="s">
        <v>183</v>
      </c>
      <c r="E685">
        <v>744</v>
      </c>
      <c r="F685">
        <v>11.34</v>
      </c>
      <c r="G685" s="18">
        <v>45438</v>
      </c>
      <c r="H685" s="18">
        <v>45436</v>
      </c>
      <c r="I685">
        <v>744</v>
      </c>
      <c r="J685">
        <v>8436.9599999999991</v>
      </c>
      <c r="K685">
        <f>IF(tblPO[[#This Row],[Actual_Delivery_Date]]&lt;=tblPO[[#This Row],[Expected_Delivery_Date]],1,0)</f>
        <v>1</v>
      </c>
      <c r="L685">
        <f>IF(tblPO[[#This Row],[Actual_Delivery_Date]]&gt;tblPO[[#This Row],[Expected_Delivery_Date]],1,0)</f>
        <v>0</v>
      </c>
      <c r="M685">
        <f>tblPO[[#This Row],[Actual_Delivery_Date]]-tblPO[[#This Row],[PO_Date]]</f>
        <v>11</v>
      </c>
    </row>
    <row r="686" spans="1:13" x14ac:dyDescent="0.3">
      <c r="A686" t="s">
        <v>1572</v>
      </c>
      <c r="B686" s="18">
        <v>45431</v>
      </c>
      <c r="C686" t="s">
        <v>51</v>
      </c>
      <c r="D686" t="s">
        <v>152</v>
      </c>
      <c r="E686">
        <v>96</v>
      </c>
      <c r="F686">
        <v>73.08</v>
      </c>
      <c r="G686" s="18">
        <v>45439</v>
      </c>
      <c r="H686" s="18">
        <v>45436</v>
      </c>
      <c r="I686">
        <v>96</v>
      </c>
      <c r="J686">
        <v>7015.68</v>
      </c>
      <c r="K686">
        <f>IF(tblPO[[#This Row],[Actual_Delivery_Date]]&lt;=tblPO[[#This Row],[Expected_Delivery_Date]],1,0)</f>
        <v>1</v>
      </c>
      <c r="L686">
        <f>IF(tblPO[[#This Row],[Actual_Delivery_Date]]&gt;tblPO[[#This Row],[Expected_Delivery_Date]],1,0)</f>
        <v>0</v>
      </c>
      <c r="M686">
        <f>tblPO[[#This Row],[Actual_Delivery_Date]]-tblPO[[#This Row],[PO_Date]]</f>
        <v>5</v>
      </c>
    </row>
    <row r="687" spans="1:13" x14ac:dyDescent="0.3">
      <c r="A687" t="s">
        <v>1571</v>
      </c>
      <c r="B687" s="18">
        <v>45424</v>
      </c>
      <c r="C687" t="s">
        <v>62</v>
      </c>
      <c r="D687" t="s">
        <v>183</v>
      </c>
      <c r="E687">
        <v>763</v>
      </c>
      <c r="F687">
        <v>11.08</v>
      </c>
      <c r="G687" s="18">
        <v>45432</v>
      </c>
      <c r="H687" s="18">
        <v>45429</v>
      </c>
      <c r="I687">
        <v>763</v>
      </c>
      <c r="J687">
        <v>8454.0400000000009</v>
      </c>
      <c r="K687">
        <f>IF(tblPO[[#This Row],[Actual_Delivery_Date]]&lt;=tblPO[[#This Row],[Expected_Delivery_Date]],1,0)</f>
        <v>1</v>
      </c>
      <c r="L687">
        <f>IF(tblPO[[#This Row],[Actual_Delivery_Date]]&gt;tblPO[[#This Row],[Expected_Delivery_Date]],1,0)</f>
        <v>0</v>
      </c>
      <c r="M687">
        <f>tblPO[[#This Row],[Actual_Delivery_Date]]-tblPO[[#This Row],[PO_Date]]</f>
        <v>5</v>
      </c>
    </row>
    <row r="688" spans="1:13" x14ac:dyDescent="0.3">
      <c r="A688" t="s">
        <v>1570</v>
      </c>
      <c r="B688" s="18">
        <v>45425</v>
      </c>
      <c r="C688" t="s">
        <v>56</v>
      </c>
      <c r="D688" t="s">
        <v>117</v>
      </c>
      <c r="E688">
        <v>166</v>
      </c>
      <c r="F688">
        <v>296</v>
      </c>
      <c r="G688" s="18">
        <v>45433</v>
      </c>
      <c r="H688" s="18">
        <v>45433</v>
      </c>
      <c r="I688">
        <v>166</v>
      </c>
      <c r="J688">
        <v>49136</v>
      </c>
      <c r="K688">
        <f>IF(tblPO[[#This Row],[Actual_Delivery_Date]]&lt;=tblPO[[#This Row],[Expected_Delivery_Date]],1,0)</f>
        <v>1</v>
      </c>
      <c r="L688">
        <f>IF(tblPO[[#This Row],[Actual_Delivery_Date]]&gt;tblPO[[#This Row],[Expected_Delivery_Date]],1,0)</f>
        <v>0</v>
      </c>
      <c r="M688">
        <f>tblPO[[#This Row],[Actual_Delivery_Date]]-tblPO[[#This Row],[PO_Date]]</f>
        <v>8</v>
      </c>
    </row>
    <row r="689" spans="1:13" x14ac:dyDescent="0.3">
      <c r="A689" t="s">
        <v>1569</v>
      </c>
      <c r="B689" s="18">
        <v>45435</v>
      </c>
      <c r="C689" t="s">
        <v>52</v>
      </c>
      <c r="D689" t="s">
        <v>251</v>
      </c>
      <c r="E689">
        <v>141</v>
      </c>
      <c r="F689">
        <v>80.34</v>
      </c>
      <c r="G689" s="18">
        <v>45447</v>
      </c>
      <c r="H689" s="18">
        <v>45447</v>
      </c>
      <c r="I689">
        <v>141</v>
      </c>
      <c r="J689">
        <v>11327.94</v>
      </c>
      <c r="K689">
        <f>IF(tblPO[[#This Row],[Actual_Delivery_Date]]&lt;=tblPO[[#This Row],[Expected_Delivery_Date]],1,0)</f>
        <v>1</v>
      </c>
      <c r="L689">
        <f>IF(tblPO[[#This Row],[Actual_Delivery_Date]]&gt;tblPO[[#This Row],[Expected_Delivery_Date]],1,0)</f>
        <v>0</v>
      </c>
      <c r="M689">
        <f>tblPO[[#This Row],[Actual_Delivery_Date]]-tblPO[[#This Row],[PO_Date]]</f>
        <v>12</v>
      </c>
    </row>
    <row r="690" spans="1:13" x14ac:dyDescent="0.3">
      <c r="A690" t="s">
        <v>1568</v>
      </c>
      <c r="B690" s="18">
        <v>45429</v>
      </c>
      <c r="C690" t="s">
        <v>39</v>
      </c>
      <c r="D690" t="s">
        <v>170</v>
      </c>
      <c r="E690">
        <v>327</v>
      </c>
      <c r="F690">
        <v>89.41</v>
      </c>
      <c r="G690" s="18">
        <v>45455</v>
      </c>
      <c r="H690" s="18">
        <v>45453</v>
      </c>
      <c r="I690">
        <v>327</v>
      </c>
      <c r="J690">
        <v>29237.07</v>
      </c>
      <c r="K690">
        <f>IF(tblPO[[#This Row],[Actual_Delivery_Date]]&lt;=tblPO[[#This Row],[Expected_Delivery_Date]],1,0)</f>
        <v>1</v>
      </c>
      <c r="L690">
        <f>IF(tblPO[[#This Row],[Actual_Delivery_Date]]&gt;tblPO[[#This Row],[Expected_Delivery_Date]],1,0)</f>
        <v>0</v>
      </c>
      <c r="M690">
        <f>tblPO[[#This Row],[Actual_Delivery_Date]]-tblPO[[#This Row],[PO_Date]]</f>
        <v>24</v>
      </c>
    </row>
    <row r="691" spans="1:13" x14ac:dyDescent="0.3">
      <c r="A691" t="s">
        <v>1567</v>
      </c>
      <c r="B691" s="18">
        <v>45428</v>
      </c>
      <c r="C691" t="s">
        <v>39</v>
      </c>
      <c r="D691" t="s">
        <v>176</v>
      </c>
      <c r="E691">
        <v>784</v>
      </c>
      <c r="F691">
        <v>49.94</v>
      </c>
      <c r="G691" s="18">
        <v>45442</v>
      </c>
      <c r="H691" s="18">
        <v>45441</v>
      </c>
      <c r="I691">
        <v>784</v>
      </c>
      <c r="J691">
        <v>39152.959999999999</v>
      </c>
      <c r="K691">
        <f>IF(tblPO[[#This Row],[Actual_Delivery_Date]]&lt;=tblPO[[#This Row],[Expected_Delivery_Date]],1,0)</f>
        <v>1</v>
      </c>
      <c r="L691">
        <f>IF(tblPO[[#This Row],[Actual_Delivery_Date]]&gt;tblPO[[#This Row],[Expected_Delivery_Date]],1,0)</f>
        <v>0</v>
      </c>
      <c r="M691">
        <f>tblPO[[#This Row],[Actual_Delivery_Date]]-tblPO[[#This Row],[PO_Date]]</f>
        <v>13</v>
      </c>
    </row>
    <row r="692" spans="1:13" x14ac:dyDescent="0.3">
      <c r="A692" t="s">
        <v>1566</v>
      </c>
      <c r="B692" s="18">
        <v>45416</v>
      </c>
      <c r="C692" t="s">
        <v>44</v>
      </c>
      <c r="D692" t="s">
        <v>209</v>
      </c>
      <c r="E692">
        <v>246</v>
      </c>
      <c r="F692">
        <v>15.24</v>
      </c>
      <c r="G692" s="18">
        <v>45444</v>
      </c>
      <c r="H692" s="18">
        <v>45459</v>
      </c>
      <c r="I692">
        <v>246</v>
      </c>
      <c r="J692">
        <v>3749.04</v>
      </c>
      <c r="K692">
        <f>IF(tblPO[[#This Row],[Actual_Delivery_Date]]&lt;=tblPO[[#This Row],[Expected_Delivery_Date]],1,0)</f>
        <v>0</v>
      </c>
      <c r="L692">
        <f>IF(tblPO[[#This Row],[Actual_Delivery_Date]]&gt;tblPO[[#This Row],[Expected_Delivery_Date]],1,0)</f>
        <v>1</v>
      </c>
      <c r="M692">
        <f>tblPO[[#This Row],[Actual_Delivery_Date]]-tblPO[[#This Row],[PO_Date]]</f>
        <v>43</v>
      </c>
    </row>
    <row r="693" spans="1:13" x14ac:dyDescent="0.3">
      <c r="A693" t="s">
        <v>1565</v>
      </c>
      <c r="B693" s="18">
        <v>45420</v>
      </c>
      <c r="C693" t="s">
        <v>43</v>
      </c>
      <c r="D693" t="s">
        <v>152</v>
      </c>
      <c r="E693">
        <v>569</v>
      </c>
      <c r="F693">
        <v>82.28</v>
      </c>
      <c r="G693" s="18">
        <v>45437</v>
      </c>
      <c r="H693" s="18">
        <v>45435</v>
      </c>
      <c r="I693">
        <v>569</v>
      </c>
      <c r="J693">
        <v>46817.32</v>
      </c>
      <c r="K693">
        <f>IF(tblPO[[#This Row],[Actual_Delivery_Date]]&lt;=tblPO[[#This Row],[Expected_Delivery_Date]],1,0)</f>
        <v>1</v>
      </c>
      <c r="L693">
        <f>IF(tblPO[[#This Row],[Actual_Delivery_Date]]&gt;tblPO[[#This Row],[Expected_Delivery_Date]],1,0)</f>
        <v>0</v>
      </c>
      <c r="M693">
        <f>tblPO[[#This Row],[Actual_Delivery_Date]]-tblPO[[#This Row],[PO_Date]]</f>
        <v>15</v>
      </c>
    </row>
    <row r="694" spans="1:13" x14ac:dyDescent="0.3">
      <c r="A694" t="s">
        <v>1564</v>
      </c>
      <c r="B694" s="18">
        <v>45434</v>
      </c>
      <c r="C694" t="s">
        <v>46</v>
      </c>
      <c r="D694" t="s">
        <v>104</v>
      </c>
      <c r="E694">
        <v>48</v>
      </c>
      <c r="F694">
        <v>460.28</v>
      </c>
      <c r="G694" s="18">
        <v>45461</v>
      </c>
      <c r="H694" s="18">
        <v>45459</v>
      </c>
      <c r="I694">
        <v>48</v>
      </c>
      <c r="J694">
        <v>22093.439999999999</v>
      </c>
      <c r="K694">
        <f>IF(tblPO[[#This Row],[Actual_Delivery_Date]]&lt;=tblPO[[#This Row],[Expected_Delivery_Date]],1,0)</f>
        <v>1</v>
      </c>
      <c r="L694">
        <f>IF(tblPO[[#This Row],[Actual_Delivery_Date]]&gt;tblPO[[#This Row],[Expected_Delivery_Date]],1,0)</f>
        <v>0</v>
      </c>
      <c r="M694">
        <f>tblPO[[#This Row],[Actual_Delivery_Date]]-tblPO[[#This Row],[PO_Date]]</f>
        <v>25</v>
      </c>
    </row>
    <row r="695" spans="1:13" x14ac:dyDescent="0.3">
      <c r="A695" t="s">
        <v>1563</v>
      </c>
      <c r="B695" s="18">
        <v>45422</v>
      </c>
      <c r="C695" t="s">
        <v>43</v>
      </c>
      <c r="D695" t="s">
        <v>176</v>
      </c>
      <c r="E695">
        <v>422</v>
      </c>
      <c r="F695">
        <v>36.450000000000003</v>
      </c>
      <c r="G695" s="18">
        <v>45431</v>
      </c>
      <c r="H695" s="18">
        <v>45430</v>
      </c>
      <c r="I695">
        <v>422</v>
      </c>
      <c r="J695">
        <v>15381.9</v>
      </c>
      <c r="K695">
        <f>IF(tblPO[[#This Row],[Actual_Delivery_Date]]&lt;=tblPO[[#This Row],[Expected_Delivery_Date]],1,0)</f>
        <v>1</v>
      </c>
      <c r="L695">
        <f>IF(tblPO[[#This Row],[Actual_Delivery_Date]]&gt;tblPO[[#This Row],[Expected_Delivery_Date]],1,0)</f>
        <v>0</v>
      </c>
      <c r="M695">
        <f>tblPO[[#This Row],[Actual_Delivery_Date]]-tblPO[[#This Row],[PO_Date]]</f>
        <v>8</v>
      </c>
    </row>
    <row r="696" spans="1:13" x14ac:dyDescent="0.3">
      <c r="A696" t="s">
        <v>1562</v>
      </c>
      <c r="B696" s="18">
        <v>45414</v>
      </c>
      <c r="C696" t="s">
        <v>55</v>
      </c>
      <c r="D696" t="s">
        <v>223</v>
      </c>
      <c r="E696">
        <v>199</v>
      </c>
      <c r="F696">
        <v>178.05</v>
      </c>
      <c r="G696" s="18">
        <v>45443</v>
      </c>
      <c r="H696" s="18">
        <v>45440</v>
      </c>
      <c r="I696">
        <v>199</v>
      </c>
      <c r="J696">
        <v>35431.949999999997</v>
      </c>
      <c r="K696">
        <f>IF(tblPO[[#This Row],[Actual_Delivery_Date]]&lt;=tblPO[[#This Row],[Expected_Delivery_Date]],1,0)</f>
        <v>1</v>
      </c>
      <c r="L696">
        <f>IF(tblPO[[#This Row],[Actual_Delivery_Date]]&gt;tblPO[[#This Row],[Expected_Delivery_Date]],1,0)</f>
        <v>0</v>
      </c>
      <c r="M696">
        <f>tblPO[[#This Row],[Actual_Delivery_Date]]-tblPO[[#This Row],[PO_Date]]</f>
        <v>26</v>
      </c>
    </row>
    <row r="697" spans="1:13" x14ac:dyDescent="0.3">
      <c r="A697" t="s">
        <v>1561</v>
      </c>
      <c r="B697" s="18">
        <v>45436</v>
      </c>
      <c r="C697" t="s">
        <v>46</v>
      </c>
      <c r="D697" t="s">
        <v>108</v>
      </c>
      <c r="E697">
        <v>4</v>
      </c>
      <c r="F697">
        <v>14485.03</v>
      </c>
      <c r="G697" s="18">
        <v>45462</v>
      </c>
      <c r="H697" s="18">
        <v>45461</v>
      </c>
      <c r="I697">
        <v>4</v>
      </c>
      <c r="J697">
        <v>57940.12</v>
      </c>
      <c r="K697">
        <f>IF(tblPO[[#This Row],[Actual_Delivery_Date]]&lt;=tblPO[[#This Row],[Expected_Delivery_Date]],1,0)</f>
        <v>1</v>
      </c>
      <c r="L697">
        <f>IF(tblPO[[#This Row],[Actual_Delivery_Date]]&gt;tblPO[[#This Row],[Expected_Delivery_Date]],1,0)</f>
        <v>0</v>
      </c>
      <c r="M697">
        <f>tblPO[[#This Row],[Actual_Delivery_Date]]-tblPO[[#This Row],[PO_Date]]</f>
        <v>25</v>
      </c>
    </row>
    <row r="698" spans="1:13" x14ac:dyDescent="0.3">
      <c r="A698" t="s">
        <v>1560</v>
      </c>
      <c r="B698" s="18">
        <v>45423</v>
      </c>
      <c r="C698" t="s">
        <v>66</v>
      </c>
      <c r="D698" t="s">
        <v>231</v>
      </c>
      <c r="E698">
        <v>38</v>
      </c>
      <c r="F698">
        <v>120.59</v>
      </c>
      <c r="G698" s="18">
        <v>45433</v>
      </c>
      <c r="H698" s="18">
        <v>45433</v>
      </c>
      <c r="I698">
        <v>38</v>
      </c>
      <c r="J698">
        <v>4582.42</v>
      </c>
      <c r="K698">
        <f>IF(tblPO[[#This Row],[Actual_Delivery_Date]]&lt;=tblPO[[#This Row],[Expected_Delivery_Date]],1,0)</f>
        <v>1</v>
      </c>
      <c r="L698">
        <f>IF(tblPO[[#This Row],[Actual_Delivery_Date]]&gt;tblPO[[#This Row],[Expected_Delivery_Date]],1,0)</f>
        <v>0</v>
      </c>
      <c r="M698">
        <f>tblPO[[#This Row],[Actual_Delivery_Date]]-tblPO[[#This Row],[PO_Date]]</f>
        <v>10</v>
      </c>
    </row>
    <row r="699" spans="1:13" x14ac:dyDescent="0.3">
      <c r="A699" t="s">
        <v>1559</v>
      </c>
      <c r="B699" s="18">
        <v>45428</v>
      </c>
      <c r="C699" t="s">
        <v>43</v>
      </c>
      <c r="D699" t="s">
        <v>164</v>
      </c>
      <c r="E699">
        <v>28</v>
      </c>
      <c r="F699">
        <v>116.02</v>
      </c>
      <c r="G699" s="18">
        <v>45446</v>
      </c>
      <c r="H699" s="18">
        <v>45446</v>
      </c>
      <c r="I699">
        <v>28</v>
      </c>
      <c r="J699">
        <v>3248.56</v>
      </c>
      <c r="K699">
        <f>IF(tblPO[[#This Row],[Actual_Delivery_Date]]&lt;=tblPO[[#This Row],[Expected_Delivery_Date]],1,0)</f>
        <v>1</v>
      </c>
      <c r="L699">
        <f>IF(tblPO[[#This Row],[Actual_Delivery_Date]]&gt;tblPO[[#This Row],[Expected_Delivery_Date]],1,0)</f>
        <v>0</v>
      </c>
      <c r="M699">
        <f>tblPO[[#This Row],[Actual_Delivery_Date]]-tblPO[[#This Row],[PO_Date]]</f>
        <v>18</v>
      </c>
    </row>
    <row r="700" spans="1:13" x14ac:dyDescent="0.3">
      <c r="A700" t="s">
        <v>1558</v>
      </c>
      <c r="B700" s="18">
        <v>45425</v>
      </c>
      <c r="C700" t="s">
        <v>43</v>
      </c>
      <c r="D700" t="s">
        <v>146</v>
      </c>
      <c r="E700">
        <v>7</v>
      </c>
      <c r="F700">
        <v>2542.06</v>
      </c>
      <c r="G700" s="18">
        <v>45439</v>
      </c>
      <c r="H700" s="18">
        <v>45437</v>
      </c>
      <c r="I700">
        <v>7</v>
      </c>
      <c r="J700">
        <v>17794.419999999998</v>
      </c>
      <c r="K700">
        <f>IF(tblPO[[#This Row],[Actual_Delivery_Date]]&lt;=tblPO[[#This Row],[Expected_Delivery_Date]],1,0)</f>
        <v>1</v>
      </c>
      <c r="L700">
        <f>IF(tblPO[[#This Row],[Actual_Delivery_Date]]&gt;tblPO[[#This Row],[Expected_Delivery_Date]],1,0)</f>
        <v>0</v>
      </c>
      <c r="M700">
        <f>tblPO[[#This Row],[Actual_Delivery_Date]]-tblPO[[#This Row],[PO_Date]]</f>
        <v>12</v>
      </c>
    </row>
    <row r="701" spans="1:13" x14ac:dyDescent="0.3">
      <c r="A701" t="s">
        <v>1557</v>
      </c>
      <c r="B701" s="18">
        <v>45414</v>
      </c>
      <c r="C701" t="s">
        <v>54</v>
      </c>
      <c r="D701" t="s">
        <v>201</v>
      </c>
      <c r="E701">
        <v>180</v>
      </c>
      <c r="F701">
        <v>34.26</v>
      </c>
      <c r="G701" s="18">
        <v>45418</v>
      </c>
      <c r="H701" s="18">
        <v>45415</v>
      </c>
      <c r="I701">
        <v>180</v>
      </c>
      <c r="J701">
        <v>6166.8</v>
      </c>
      <c r="K701">
        <f>IF(tblPO[[#This Row],[Actual_Delivery_Date]]&lt;=tblPO[[#This Row],[Expected_Delivery_Date]],1,0)</f>
        <v>1</v>
      </c>
      <c r="L701">
        <f>IF(tblPO[[#This Row],[Actual_Delivery_Date]]&gt;tblPO[[#This Row],[Expected_Delivery_Date]],1,0)</f>
        <v>0</v>
      </c>
      <c r="M701">
        <f>tblPO[[#This Row],[Actual_Delivery_Date]]-tblPO[[#This Row],[PO_Date]]</f>
        <v>1</v>
      </c>
    </row>
    <row r="702" spans="1:13" x14ac:dyDescent="0.3">
      <c r="A702" t="s">
        <v>1556</v>
      </c>
      <c r="B702" s="18">
        <v>45420</v>
      </c>
      <c r="C702" t="s">
        <v>62</v>
      </c>
      <c r="D702" t="s">
        <v>195</v>
      </c>
      <c r="E702">
        <v>97</v>
      </c>
      <c r="F702">
        <v>600.54999999999995</v>
      </c>
      <c r="G702" s="18">
        <v>45432</v>
      </c>
      <c r="H702" s="18">
        <v>45430</v>
      </c>
      <c r="I702">
        <v>97</v>
      </c>
      <c r="J702">
        <v>58253.35</v>
      </c>
      <c r="K702">
        <f>IF(tblPO[[#This Row],[Actual_Delivery_Date]]&lt;=tblPO[[#This Row],[Expected_Delivery_Date]],1,0)</f>
        <v>1</v>
      </c>
      <c r="L702">
        <f>IF(tblPO[[#This Row],[Actual_Delivery_Date]]&gt;tblPO[[#This Row],[Expected_Delivery_Date]],1,0)</f>
        <v>0</v>
      </c>
      <c r="M702">
        <f>tblPO[[#This Row],[Actual_Delivery_Date]]-tblPO[[#This Row],[PO_Date]]</f>
        <v>10</v>
      </c>
    </row>
    <row r="703" spans="1:13" x14ac:dyDescent="0.3">
      <c r="A703" t="s">
        <v>1555</v>
      </c>
      <c r="B703" s="18">
        <v>45426</v>
      </c>
      <c r="C703" t="s">
        <v>47</v>
      </c>
      <c r="D703" t="s">
        <v>217</v>
      </c>
      <c r="E703">
        <v>138</v>
      </c>
      <c r="F703">
        <v>23.04</v>
      </c>
      <c r="G703" s="18">
        <v>45444</v>
      </c>
      <c r="H703" s="18">
        <v>45453</v>
      </c>
      <c r="I703">
        <v>138</v>
      </c>
      <c r="J703">
        <v>3179.52</v>
      </c>
      <c r="K703">
        <f>IF(tblPO[[#This Row],[Actual_Delivery_Date]]&lt;=tblPO[[#This Row],[Expected_Delivery_Date]],1,0)</f>
        <v>0</v>
      </c>
      <c r="L703">
        <f>IF(tblPO[[#This Row],[Actual_Delivery_Date]]&gt;tblPO[[#This Row],[Expected_Delivery_Date]],1,0)</f>
        <v>1</v>
      </c>
      <c r="M703">
        <f>tblPO[[#This Row],[Actual_Delivery_Date]]-tblPO[[#This Row],[PO_Date]]</f>
        <v>27</v>
      </c>
    </row>
    <row r="704" spans="1:13" x14ac:dyDescent="0.3">
      <c r="A704" t="s">
        <v>1554</v>
      </c>
      <c r="B704" s="18">
        <v>45436</v>
      </c>
      <c r="C704" t="s">
        <v>50</v>
      </c>
      <c r="D704" t="s">
        <v>115</v>
      </c>
      <c r="E704">
        <v>2</v>
      </c>
      <c r="F704">
        <v>3254.28</v>
      </c>
      <c r="G704" s="18">
        <v>45452</v>
      </c>
      <c r="H704" s="18">
        <v>45450</v>
      </c>
      <c r="I704">
        <v>2</v>
      </c>
      <c r="J704">
        <v>6508.56</v>
      </c>
      <c r="K704">
        <f>IF(tblPO[[#This Row],[Actual_Delivery_Date]]&lt;=tblPO[[#This Row],[Expected_Delivery_Date]],1,0)</f>
        <v>1</v>
      </c>
      <c r="L704">
        <f>IF(tblPO[[#This Row],[Actual_Delivery_Date]]&gt;tblPO[[#This Row],[Expected_Delivery_Date]],1,0)</f>
        <v>0</v>
      </c>
      <c r="M704">
        <f>tblPO[[#This Row],[Actual_Delivery_Date]]-tblPO[[#This Row],[PO_Date]]</f>
        <v>14</v>
      </c>
    </row>
    <row r="705" spans="1:13" x14ac:dyDescent="0.3">
      <c r="A705" t="s">
        <v>1553</v>
      </c>
      <c r="B705" s="18">
        <v>45443</v>
      </c>
      <c r="C705" t="s">
        <v>39</v>
      </c>
      <c r="D705" t="s">
        <v>164</v>
      </c>
      <c r="E705">
        <v>161</v>
      </c>
      <c r="F705">
        <v>148.44</v>
      </c>
      <c r="G705" s="18">
        <v>45459</v>
      </c>
      <c r="H705" s="18">
        <v>45456</v>
      </c>
      <c r="I705">
        <v>161</v>
      </c>
      <c r="J705">
        <v>23898.84</v>
      </c>
      <c r="K705">
        <f>IF(tblPO[[#This Row],[Actual_Delivery_Date]]&lt;=tblPO[[#This Row],[Expected_Delivery_Date]],1,0)</f>
        <v>1</v>
      </c>
      <c r="L705">
        <f>IF(tblPO[[#This Row],[Actual_Delivery_Date]]&gt;tblPO[[#This Row],[Expected_Delivery_Date]],1,0)</f>
        <v>0</v>
      </c>
      <c r="M705">
        <f>tblPO[[#This Row],[Actual_Delivery_Date]]-tblPO[[#This Row],[PO_Date]]</f>
        <v>13</v>
      </c>
    </row>
    <row r="706" spans="1:13" x14ac:dyDescent="0.3">
      <c r="A706" t="s">
        <v>1552</v>
      </c>
      <c r="B706" s="18">
        <v>45436</v>
      </c>
      <c r="C706" t="s">
        <v>60</v>
      </c>
      <c r="D706" t="s">
        <v>142</v>
      </c>
      <c r="E706">
        <v>130</v>
      </c>
      <c r="F706">
        <v>124.83</v>
      </c>
      <c r="G706" s="18">
        <v>45440</v>
      </c>
      <c r="H706" s="18">
        <v>45440</v>
      </c>
      <c r="I706">
        <v>130</v>
      </c>
      <c r="J706">
        <v>16227.9</v>
      </c>
      <c r="K706">
        <f>IF(tblPO[[#This Row],[Actual_Delivery_Date]]&lt;=tblPO[[#This Row],[Expected_Delivery_Date]],1,0)</f>
        <v>1</v>
      </c>
      <c r="L706">
        <f>IF(tblPO[[#This Row],[Actual_Delivery_Date]]&gt;tblPO[[#This Row],[Expected_Delivery_Date]],1,0)</f>
        <v>0</v>
      </c>
      <c r="M706">
        <f>tblPO[[#This Row],[Actual_Delivery_Date]]-tblPO[[#This Row],[PO_Date]]</f>
        <v>4</v>
      </c>
    </row>
    <row r="707" spans="1:13" x14ac:dyDescent="0.3">
      <c r="A707" t="s">
        <v>1551</v>
      </c>
      <c r="B707" s="18">
        <v>45427</v>
      </c>
      <c r="C707" t="s">
        <v>40</v>
      </c>
      <c r="D707" t="s">
        <v>117</v>
      </c>
      <c r="E707">
        <v>35</v>
      </c>
      <c r="F707">
        <v>341.29</v>
      </c>
      <c r="G707" s="18">
        <v>45445</v>
      </c>
      <c r="H707" s="18">
        <v>45442</v>
      </c>
      <c r="I707">
        <v>35</v>
      </c>
      <c r="J707">
        <v>11945.15</v>
      </c>
      <c r="K707">
        <f>IF(tblPO[[#This Row],[Actual_Delivery_Date]]&lt;=tblPO[[#This Row],[Expected_Delivery_Date]],1,0)</f>
        <v>1</v>
      </c>
      <c r="L707">
        <f>IF(tblPO[[#This Row],[Actual_Delivery_Date]]&gt;tblPO[[#This Row],[Expected_Delivery_Date]],1,0)</f>
        <v>0</v>
      </c>
      <c r="M707">
        <f>tblPO[[#This Row],[Actual_Delivery_Date]]-tblPO[[#This Row],[PO_Date]]</f>
        <v>15</v>
      </c>
    </row>
    <row r="708" spans="1:13" x14ac:dyDescent="0.3">
      <c r="A708" t="s">
        <v>1550</v>
      </c>
      <c r="B708" s="18">
        <v>45424</v>
      </c>
      <c r="C708" t="s">
        <v>52</v>
      </c>
      <c r="D708" t="s">
        <v>225</v>
      </c>
      <c r="E708">
        <v>43</v>
      </c>
      <c r="F708">
        <v>221.08</v>
      </c>
      <c r="G708" s="18">
        <v>45436</v>
      </c>
      <c r="H708" s="18">
        <v>45433</v>
      </c>
      <c r="I708">
        <v>41</v>
      </c>
      <c r="J708">
        <v>9506.44</v>
      </c>
      <c r="K708">
        <f>IF(tblPO[[#This Row],[Actual_Delivery_Date]]&lt;=tblPO[[#This Row],[Expected_Delivery_Date]],1,0)</f>
        <v>1</v>
      </c>
      <c r="L708">
        <f>IF(tblPO[[#This Row],[Actual_Delivery_Date]]&gt;tblPO[[#This Row],[Expected_Delivery_Date]],1,0)</f>
        <v>0</v>
      </c>
      <c r="M708">
        <f>tblPO[[#This Row],[Actual_Delivery_Date]]-tblPO[[#This Row],[PO_Date]]</f>
        <v>9</v>
      </c>
    </row>
    <row r="709" spans="1:13" x14ac:dyDescent="0.3">
      <c r="A709" t="s">
        <v>1549</v>
      </c>
      <c r="B709" s="18">
        <v>45436</v>
      </c>
      <c r="C709" t="s">
        <v>44</v>
      </c>
      <c r="D709" t="s">
        <v>205</v>
      </c>
      <c r="E709">
        <v>156</v>
      </c>
      <c r="F709">
        <v>375</v>
      </c>
      <c r="G709" s="18">
        <v>45466</v>
      </c>
      <c r="H709" s="18">
        <v>45466</v>
      </c>
      <c r="I709">
        <v>156</v>
      </c>
      <c r="J709">
        <v>58500</v>
      </c>
      <c r="K709">
        <f>IF(tblPO[[#This Row],[Actual_Delivery_Date]]&lt;=tblPO[[#This Row],[Expected_Delivery_Date]],1,0)</f>
        <v>1</v>
      </c>
      <c r="L709">
        <f>IF(tblPO[[#This Row],[Actual_Delivery_Date]]&gt;tblPO[[#This Row],[Expected_Delivery_Date]],1,0)</f>
        <v>0</v>
      </c>
      <c r="M709">
        <f>tblPO[[#This Row],[Actual_Delivery_Date]]-tblPO[[#This Row],[PO_Date]]</f>
        <v>30</v>
      </c>
    </row>
    <row r="710" spans="1:13" x14ac:dyDescent="0.3">
      <c r="A710" t="s">
        <v>1548</v>
      </c>
      <c r="B710" s="18">
        <v>45418</v>
      </c>
      <c r="C710" t="s">
        <v>42</v>
      </c>
      <c r="D710" t="s">
        <v>106</v>
      </c>
      <c r="E710">
        <v>7</v>
      </c>
      <c r="F710">
        <v>23245.65</v>
      </c>
      <c r="G710" s="18">
        <v>45441</v>
      </c>
      <c r="H710" s="18">
        <v>45438</v>
      </c>
      <c r="I710">
        <v>7</v>
      </c>
      <c r="J710">
        <v>162719.54999999999</v>
      </c>
      <c r="K710">
        <f>IF(tblPO[[#This Row],[Actual_Delivery_Date]]&lt;=tblPO[[#This Row],[Expected_Delivery_Date]],1,0)</f>
        <v>1</v>
      </c>
      <c r="L710">
        <f>IF(tblPO[[#This Row],[Actual_Delivery_Date]]&gt;tblPO[[#This Row],[Expected_Delivery_Date]],1,0)</f>
        <v>0</v>
      </c>
      <c r="M710">
        <f>tblPO[[#This Row],[Actual_Delivery_Date]]-tblPO[[#This Row],[PO_Date]]</f>
        <v>20</v>
      </c>
    </row>
    <row r="711" spans="1:13" x14ac:dyDescent="0.3">
      <c r="A711" t="s">
        <v>1547</v>
      </c>
      <c r="B711" s="18">
        <v>45423</v>
      </c>
      <c r="C711" t="s">
        <v>54</v>
      </c>
      <c r="D711" t="s">
        <v>207</v>
      </c>
      <c r="E711">
        <v>757</v>
      </c>
      <c r="F711">
        <v>9.27</v>
      </c>
      <c r="G711" s="18">
        <v>45427</v>
      </c>
      <c r="H711" s="18">
        <v>45426</v>
      </c>
      <c r="I711">
        <v>757</v>
      </c>
      <c r="J711">
        <v>7017.39</v>
      </c>
      <c r="K711">
        <f>IF(tblPO[[#This Row],[Actual_Delivery_Date]]&lt;=tblPO[[#This Row],[Expected_Delivery_Date]],1,0)</f>
        <v>1</v>
      </c>
      <c r="L711">
        <f>IF(tblPO[[#This Row],[Actual_Delivery_Date]]&gt;tblPO[[#This Row],[Expected_Delivery_Date]],1,0)</f>
        <v>0</v>
      </c>
      <c r="M711">
        <f>tblPO[[#This Row],[Actual_Delivery_Date]]-tblPO[[#This Row],[PO_Date]]</f>
        <v>3</v>
      </c>
    </row>
    <row r="712" spans="1:13" x14ac:dyDescent="0.3">
      <c r="A712" t="s">
        <v>1546</v>
      </c>
      <c r="B712" s="18">
        <v>45438</v>
      </c>
      <c r="C712" t="s">
        <v>44</v>
      </c>
      <c r="D712" t="s">
        <v>190</v>
      </c>
      <c r="E712">
        <v>63</v>
      </c>
      <c r="F712">
        <v>98.73</v>
      </c>
      <c r="G712" s="18">
        <v>45452</v>
      </c>
      <c r="H712" s="18">
        <v>45451</v>
      </c>
      <c r="I712">
        <v>63</v>
      </c>
      <c r="J712">
        <v>6219.99</v>
      </c>
      <c r="K712">
        <f>IF(tblPO[[#This Row],[Actual_Delivery_Date]]&lt;=tblPO[[#This Row],[Expected_Delivery_Date]],1,0)</f>
        <v>1</v>
      </c>
      <c r="L712">
        <f>IF(tblPO[[#This Row],[Actual_Delivery_Date]]&gt;tblPO[[#This Row],[Expected_Delivery_Date]],1,0)</f>
        <v>0</v>
      </c>
      <c r="M712">
        <f>tblPO[[#This Row],[Actual_Delivery_Date]]-tblPO[[#This Row],[PO_Date]]</f>
        <v>13</v>
      </c>
    </row>
    <row r="713" spans="1:13" x14ac:dyDescent="0.3">
      <c r="A713" t="s">
        <v>1545</v>
      </c>
      <c r="B713" s="18">
        <v>45424</v>
      </c>
      <c r="C713" t="s">
        <v>49</v>
      </c>
      <c r="D713" t="s">
        <v>209</v>
      </c>
      <c r="E713">
        <v>740</v>
      </c>
      <c r="F713">
        <v>16.3</v>
      </c>
      <c r="G713" s="18">
        <v>45428</v>
      </c>
      <c r="H713" s="18">
        <v>45427</v>
      </c>
      <c r="I713">
        <v>740</v>
      </c>
      <c r="J713">
        <v>12062</v>
      </c>
      <c r="K713">
        <f>IF(tblPO[[#This Row],[Actual_Delivery_Date]]&lt;=tblPO[[#This Row],[Expected_Delivery_Date]],1,0)</f>
        <v>1</v>
      </c>
      <c r="L713">
        <f>IF(tblPO[[#This Row],[Actual_Delivery_Date]]&gt;tblPO[[#This Row],[Expected_Delivery_Date]],1,0)</f>
        <v>0</v>
      </c>
      <c r="M713">
        <f>tblPO[[#This Row],[Actual_Delivery_Date]]-tblPO[[#This Row],[PO_Date]]</f>
        <v>3</v>
      </c>
    </row>
    <row r="714" spans="1:13" x14ac:dyDescent="0.3">
      <c r="A714" t="s">
        <v>1544</v>
      </c>
      <c r="B714" s="18">
        <v>45433</v>
      </c>
      <c r="C714" t="s">
        <v>39</v>
      </c>
      <c r="D714" t="s">
        <v>176</v>
      </c>
      <c r="E714">
        <v>229</v>
      </c>
      <c r="F714">
        <v>49.03</v>
      </c>
      <c r="G714" s="18">
        <v>45462</v>
      </c>
      <c r="H714" s="18">
        <v>45460</v>
      </c>
      <c r="I714">
        <v>229</v>
      </c>
      <c r="J714">
        <v>11227.87</v>
      </c>
      <c r="K714">
        <f>IF(tblPO[[#This Row],[Actual_Delivery_Date]]&lt;=tblPO[[#This Row],[Expected_Delivery_Date]],1,0)</f>
        <v>1</v>
      </c>
      <c r="L714">
        <f>IF(tblPO[[#This Row],[Actual_Delivery_Date]]&gt;tblPO[[#This Row],[Expected_Delivery_Date]],1,0)</f>
        <v>0</v>
      </c>
      <c r="M714">
        <f>tblPO[[#This Row],[Actual_Delivery_Date]]-tblPO[[#This Row],[PO_Date]]</f>
        <v>27</v>
      </c>
    </row>
    <row r="715" spans="1:13" x14ac:dyDescent="0.3">
      <c r="A715" t="s">
        <v>1543</v>
      </c>
      <c r="B715" s="18">
        <v>45433</v>
      </c>
      <c r="C715" t="s">
        <v>39</v>
      </c>
      <c r="D715" t="s">
        <v>166</v>
      </c>
      <c r="E715">
        <v>166</v>
      </c>
      <c r="F715">
        <v>94.74</v>
      </c>
      <c r="G715" s="18">
        <v>45460</v>
      </c>
      <c r="H715" s="18">
        <v>45458</v>
      </c>
      <c r="I715">
        <v>166</v>
      </c>
      <c r="J715">
        <v>15726.84</v>
      </c>
      <c r="K715">
        <f>IF(tblPO[[#This Row],[Actual_Delivery_Date]]&lt;=tblPO[[#This Row],[Expected_Delivery_Date]],1,0)</f>
        <v>1</v>
      </c>
      <c r="L715">
        <f>IF(tblPO[[#This Row],[Actual_Delivery_Date]]&gt;tblPO[[#This Row],[Expected_Delivery_Date]],1,0)</f>
        <v>0</v>
      </c>
      <c r="M715">
        <f>tblPO[[#This Row],[Actual_Delivery_Date]]-tblPO[[#This Row],[PO_Date]]</f>
        <v>25</v>
      </c>
    </row>
    <row r="716" spans="1:13" x14ac:dyDescent="0.3">
      <c r="A716" t="s">
        <v>1542</v>
      </c>
      <c r="B716" s="18">
        <v>45441</v>
      </c>
      <c r="C716" t="s">
        <v>40</v>
      </c>
      <c r="D716" t="s">
        <v>117</v>
      </c>
      <c r="E716">
        <v>100</v>
      </c>
      <c r="F716">
        <v>328.62</v>
      </c>
      <c r="G716" s="18">
        <v>45452</v>
      </c>
      <c r="H716" s="18">
        <v>45452</v>
      </c>
      <c r="I716">
        <v>100</v>
      </c>
      <c r="J716">
        <v>32862</v>
      </c>
      <c r="K716">
        <f>IF(tblPO[[#This Row],[Actual_Delivery_Date]]&lt;=tblPO[[#This Row],[Expected_Delivery_Date]],1,0)</f>
        <v>1</v>
      </c>
      <c r="L716">
        <f>IF(tblPO[[#This Row],[Actual_Delivery_Date]]&gt;tblPO[[#This Row],[Expected_Delivery_Date]],1,0)</f>
        <v>0</v>
      </c>
      <c r="M716">
        <f>tblPO[[#This Row],[Actual_Delivery_Date]]-tblPO[[#This Row],[PO_Date]]</f>
        <v>11</v>
      </c>
    </row>
    <row r="717" spans="1:13" x14ac:dyDescent="0.3">
      <c r="A717" t="s">
        <v>1541</v>
      </c>
      <c r="B717" s="18">
        <v>45428</v>
      </c>
      <c r="C717" t="s">
        <v>49</v>
      </c>
      <c r="D717" t="s">
        <v>207</v>
      </c>
      <c r="E717">
        <v>513</v>
      </c>
      <c r="F717">
        <v>10.45</v>
      </c>
      <c r="G717" s="18">
        <v>45434</v>
      </c>
      <c r="H717" s="18">
        <v>45433</v>
      </c>
      <c r="I717">
        <v>513</v>
      </c>
      <c r="J717">
        <v>5360.85</v>
      </c>
      <c r="K717">
        <f>IF(tblPO[[#This Row],[Actual_Delivery_Date]]&lt;=tblPO[[#This Row],[Expected_Delivery_Date]],1,0)</f>
        <v>1</v>
      </c>
      <c r="L717">
        <f>IF(tblPO[[#This Row],[Actual_Delivery_Date]]&gt;tblPO[[#This Row],[Expected_Delivery_Date]],1,0)</f>
        <v>0</v>
      </c>
      <c r="M717">
        <f>tblPO[[#This Row],[Actual_Delivery_Date]]-tblPO[[#This Row],[PO_Date]]</f>
        <v>5</v>
      </c>
    </row>
    <row r="718" spans="1:13" x14ac:dyDescent="0.3">
      <c r="A718" t="s">
        <v>1540</v>
      </c>
      <c r="B718" s="18">
        <v>45438</v>
      </c>
      <c r="C718" t="s">
        <v>41</v>
      </c>
      <c r="D718" t="s">
        <v>199</v>
      </c>
      <c r="E718">
        <v>187</v>
      </c>
      <c r="F718">
        <v>301.45999999999998</v>
      </c>
      <c r="G718" s="18">
        <v>45443</v>
      </c>
      <c r="H718" s="18">
        <v>45443</v>
      </c>
      <c r="I718">
        <v>187</v>
      </c>
      <c r="J718">
        <v>56373.02</v>
      </c>
      <c r="K718">
        <f>IF(tblPO[[#This Row],[Actual_Delivery_Date]]&lt;=tblPO[[#This Row],[Expected_Delivery_Date]],1,0)</f>
        <v>1</v>
      </c>
      <c r="L718">
        <f>IF(tblPO[[#This Row],[Actual_Delivery_Date]]&gt;tblPO[[#This Row],[Expected_Delivery_Date]],1,0)</f>
        <v>0</v>
      </c>
      <c r="M718">
        <f>tblPO[[#This Row],[Actual_Delivery_Date]]-tblPO[[#This Row],[PO_Date]]</f>
        <v>5</v>
      </c>
    </row>
    <row r="719" spans="1:13" x14ac:dyDescent="0.3">
      <c r="A719" t="s">
        <v>1539</v>
      </c>
      <c r="B719" s="18">
        <v>45443</v>
      </c>
      <c r="C719" t="s">
        <v>45</v>
      </c>
      <c r="D719" t="s">
        <v>227</v>
      </c>
      <c r="E719">
        <v>11</v>
      </c>
      <c r="F719">
        <v>1225.3</v>
      </c>
      <c r="G719" s="18">
        <v>45448</v>
      </c>
      <c r="H719" s="18">
        <v>45447</v>
      </c>
      <c r="I719">
        <v>11</v>
      </c>
      <c r="J719">
        <v>13478.3</v>
      </c>
      <c r="K719">
        <f>IF(tblPO[[#This Row],[Actual_Delivery_Date]]&lt;=tblPO[[#This Row],[Expected_Delivery_Date]],1,0)</f>
        <v>1</v>
      </c>
      <c r="L719">
        <f>IF(tblPO[[#This Row],[Actual_Delivery_Date]]&gt;tblPO[[#This Row],[Expected_Delivery_Date]],1,0)</f>
        <v>0</v>
      </c>
      <c r="M719">
        <f>tblPO[[#This Row],[Actual_Delivery_Date]]-tblPO[[#This Row],[PO_Date]]</f>
        <v>4</v>
      </c>
    </row>
    <row r="720" spans="1:13" x14ac:dyDescent="0.3">
      <c r="A720" t="s">
        <v>1538</v>
      </c>
      <c r="B720" s="18">
        <v>45429</v>
      </c>
      <c r="C720" t="s">
        <v>59</v>
      </c>
      <c r="D720" t="s">
        <v>106</v>
      </c>
      <c r="E720">
        <v>4</v>
      </c>
      <c r="F720">
        <v>13870.92</v>
      </c>
      <c r="G720" s="18">
        <v>45432</v>
      </c>
      <c r="H720" s="18">
        <v>45430</v>
      </c>
      <c r="I720">
        <v>4</v>
      </c>
      <c r="J720">
        <v>55483.68</v>
      </c>
      <c r="K720">
        <f>IF(tblPO[[#This Row],[Actual_Delivery_Date]]&lt;=tblPO[[#This Row],[Expected_Delivery_Date]],1,0)</f>
        <v>1</v>
      </c>
      <c r="L720">
        <f>IF(tblPO[[#This Row],[Actual_Delivery_Date]]&gt;tblPO[[#This Row],[Expected_Delivery_Date]],1,0)</f>
        <v>0</v>
      </c>
      <c r="M720">
        <f>tblPO[[#This Row],[Actual_Delivery_Date]]-tblPO[[#This Row],[PO_Date]]</f>
        <v>1</v>
      </c>
    </row>
    <row r="721" spans="1:13" x14ac:dyDescent="0.3">
      <c r="A721" t="s">
        <v>1537</v>
      </c>
      <c r="B721" s="18">
        <v>45413</v>
      </c>
      <c r="C721" t="s">
        <v>47</v>
      </c>
      <c r="D721" t="s">
        <v>225</v>
      </c>
      <c r="E721">
        <v>175</v>
      </c>
      <c r="F721">
        <v>175.21</v>
      </c>
      <c r="G721" s="18">
        <v>45425</v>
      </c>
      <c r="H721" s="18">
        <v>45422</v>
      </c>
      <c r="I721">
        <v>175</v>
      </c>
      <c r="J721">
        <v>30661.75</v>
      </c>
      <c r="K721">
        <f>IF(tblPO[[#This Row],[Actual_Delivery_Date]]&lt;=tblPO[[#This Row],[Expected_Delivery_Date]],1,0)</f>
        <v>1</v>
      </c>
      <c r="L721">
        <f>IF(tblPO[[#This Row],[Actual_Delivery_Date]]&gt;tblPO[[#This Row],[Expected_Delivery_Date]],1,0)</f>
        <v>0</v>
      </c>
      <c r="M721">
        <f>tblPO[[#This Row],[Actual_Delivery_Date]]-tblPO[[#This Row],[PO_Date]]</f>
        <v>9</v>
      </c>
    </row>
    <row r="722" spans="1:13" x14ac:dyDescent="0.3">
      <c r="A722" t="s">
        <v>1536</v>
      </c>
      <c r="B722" s="18">
        <v>45433</v>
      </c>
      <c r="C722" t="s">
        <v>38</v>
      </c>
      <c r="D722" t="s">
        <v>237</v>
      </c>
      <c r="E722">
        <v>582</v>
      </c>
      <c r="F722">
        <v>90.36</v>
      </c>
      <c r="G722" s="18">
        <v>45446</v>
      </c>
      <c r="H722" s="18">
        <v>45445</v>
      </c>
      <c r="I722">
        <v>582</v>
      </c>
      <c r="J722">
        <v>52589.52</v>
      </c>
      <c r="K722">
        <f>IF(tblPO[[#This Row],[Actual_Delivery_Date]]&lt;=tblPO[[#This Row],[Expected_Delivery_Date]],1,0)</f>
        <v>1</v>
      </c>
      <c r="L722">
        <f>IF(tblPO[[#This Row],[Actual_Delivery_Date]]&gt;tblPO[[#This Row],[Expected_Delivery_Date]],1,0)</f>
        <v>0</v>
      </c>
      <c r="M722">
        <f>tblPO[[#This Row],[Actual_Delivery_Date]]-tblPO[[#This Row],[PO_Date]]</f>
        <v>12</v>
      </c>
    </row>
    <row r="723" spans="1:13" x14ac:dyDescent="0.3">
      <c r="A723" t="s">
        <v>1535</v>
      </c>
      <c r="B723" s="18">
        <v>45434</v>
      </c>
      <c r="C723" t="s">
        <v>60</v>
      </c>
      <c r="D723" t="s">
        <v>117</v>
      </c>
      <c r="E723">
        <v>161</v>
      </c>
      <c r="F723">
        <v>227.2</v>
      </c>
      <c r="G723" s="18">
        <v>45451</v>
      </c>
      <c r="H723" s="18">
        <v>45449</v>
      </c>
      <c r="I723">
        <v>161</v>
      </c>
      <c r="J723">
        <v>36579.199999999997</v>
      </c>
      <c r="K723">
        <f>IF(tblPO[[#This Row],[Actual_Delivery_Date]]&lt;=tblPO[[#This Row],[Expected_Delivery_Date]],1,0)</f>
        <v>1</v>
      </c>
      <c r="L723">
        <f>IF(tblPO[[#This Row],[Actual_Delivery_Date]]&gt;tblPO[[#This Row],[Expected_Delivery_Date]],1,0)</f>
        <v>0</v>
      </c>
      <c r="M723">
        <f>tblPO[[#This Row],[Actual_Delivery_Date]]-tblPO[[#This Row],[PO_Date]]</f>
        <v>15</v>
      </c>
    </row>
    <row r="724" spans="1:13" x14ac:dyDescent="0.3">
      <c r="A724" t="s">
        <v>1534</v>
      </c>
      <c r="B724" s="18">
        <v>45420</v>
      </c>
      <c r="C724" t="s">
        <v>41</v>
      </c>
      <c r="D724" t="s">
        <v>201</v>
      </c>
      <c r="E724">
        <v>316</v>
      </c>
      <c r="F724">
        <v>40.31</v>
      </c>
      <c r="G724" s="18">
        <v>45438</v>
      </c>
      <c r="H724" s="18">
        <v>45437</v>
      </c>
      <c r="I724">
        <v>316</v>
      </c>
      <c r="J724">
        <v>12737.96</v>
      </c>
      <c r="K724">
        <f>IF(tblPO[[#This Row],[Actual_Delivery_Date]]&lt;=tblPO[[#This Row],[Expected_Delivery_Date]],1,0)</f>
        <v>1</v>
      </c>
      <c r="L724">
        <f>IF(tblPO[[#This Row],[Actual_Delivery_Date]]&gt;tblPO[[#This Row],[Expected_Delivery_Date]],1,0)</f>
        <v>0</v>
      </c>
      <c r="M724">
        <f>tblPO[[#This Row],[Actual_Delivery_Date]]-tblPO[[#This Row],[PO_Date]]</f>
        <v>17</v>
      </c>
    </row>
    <row r="725" spans="1:13" x14ac:dyDescent="0.3">
      <c r="A725" t="s">
        <v>1533</v>
      </c>
      <c r="B725" s="18">
        <v>45427</v>
      </c>
      <c r="C725" t="s">
        <v>48</v>
      </c>
      <c r="D725" t="s">
        <v>176</v>
      </c>
      <c r="E725">
        <v>341</v>
      </c>
      <c r="F725">
        <v>53.06</v>
      </c>
      <c r="G725" s="18">
        <v>45444</v>
      </c>
      <c r="H725" s="18">
        <v>45442</v>
      </c>
      <c r="I725">
        <v>341</v>
      </c>
      <c r="J725">
        <v>18093.46</v>
      </c>
      <c r="K725">
        <f>IF(tblPO[[#This Row],[Actual_Delivery_Date]]&lt;=tblPO[[#This Row],[Expected_Delivery_Date]],1,0)</f>
        <v>1</v>
      </c>
      <c r="L725">
        <f>IF(tblPO[[#This Row],[Actual_Delivery_Date]]&gt;tblPO[[#This Row],[Expected_Delivery_Date]],1,0)</f>
        <v>0</v>
      </c>
      <c r="M725">
        <f>tblPO[[#This Row],[Actual_Delivery_Date]]-tblPO[[#This Row],[PO_Date]]</f>
        <v>15</v>
      </c>
    </row>
    <row r="726" spans="1:13" x14ac:dyDescent="0.3">
      <c r="A726" t="s">
        <v>1532</v>
      </c>
      <c r="B726" s="18">
        <v>45439</v>
      </c>
      <c r="C726" t="s">
        <v>45</v>
      </c>
      <c r="D726" t="s">
        <v>233</v>
      </c>
      <c r="E726">
        <v>54</v>
      </c>
      <c r="F726">
        <v>194.43</v>
      </c>
      <c r="G726" s="18">
        <v>45446</v>
      </c>
      <c r="H726" s="18">
        <v>45443</v>
      </c>
      <c r="I726">
        <v>49</v>
      </c>
      <c r="J726">
        <v>10499.22</v>
      </c>
      <c r="K726">
        <f>IF(tblPO[[#This Row],[Actual_Delivery_Date]]&lt;=tblPO[[#This Row],[Expected_Delivery_Date]],1,0)</f>
        <v>1</v>
      </c>
      <c r="L726">
        <f>IF(tblPO[[#This Row],[Actual_Delivery_Date]]&gt;tblPO[[#This Row],[Expected_Delivery_Date]],1,0)</f>
        <v>0</v>
      </c>
      <c r="M726">
        <f>tblPO[[#This Row],[Actual_Delivery_Date]]-tblPO[[#This Row],[PO_Date]]</f>
        <v>4</v>
      </c>
    </row>
    <row r="727" spans="1:13" x14ac:dyDescent="0.3">
      <c r="A727" t="s">
        <v>1531</v>
      </c>
      <c r="B727" s="18">
        <v>45418</v>
      </c>
      <c r="C727" t="s">
        <v>44</v>
      </c>
      <c r="D727" t="s">
        <v>205</v>
      </c>
      <c r="E727">
        <v>104</v>
      </c>
      <c r="F727">
        <v>367.26</v>
      </c>
      <c r="G727" s="18">
        <v>45436</v>
      </c>
      <c r="H727" s="18">
        <v>45433</v>
      </c>
      <c r="I727">
        <v>104</v>
      </c>
      <c r="J727">
        <v>38195.040000000001</v>
      </c>
      <c r="K727">
        <f>IF(tblPO[[#This Row],[Actual_Delivery_Date]]&lt;=tblPO[[#This Row],[Expected_Delivery_Date]],1,0)</f>
        <v>1</v>
      </c>
      <c r="L727">
        <f>IF(tblPO[[#This Row],[Actual_Delivery_Date]]&gt;tblPO[[#This Row],[Expected_Delivery_Date]],1,0)</f>
        <v>0</v>
      </c>
      <c r="M727">
        <f>tblPO[[#This Row],[Actual_Delivery_Date]]-tblPO[[#This Row],[PO_Date]]</f>
        <v>15</v>
      </c>
    </row>
    <row r="728" spans="1:13" x14ac:dyDescent="0.3">
      <c r="A728" t="s">
        <v>1530</v>
      </c>
      <c r="B728" s="18">
        <v>45430</v>
      </c>
      <c r="C728" t="s">
        <v>38</v>
      </c>
      <c r="D728" t="s">
        <v>229</v>
      </c>
      <c r="E728">
        <v>16</v>
      </c>
      <c r="F728">
        <v>1749.3</v>
      </c>
      <c r="G728" s="18">
        <v>45438</v>
      </c>
      <c r="H728" s="18">
        <v>45435</v>
      </c>
      <c r="I728">
        <v>16</v>
      </c>
      <c r="J728">
        <v>27988.799999999999</v>
      </c>
      <c r="K728">
        <f>IF(tblPO[[#This Row],[Actual_Delivery_Date]]&lt;=tblPO[[#This Row],[Expected_Delivery_Date]],1,0)</f>
        <v>1</v>
      </c>
      <c r="L728">
        <f>IF(tblPO[[#This Row],[Actual_Delivery_Date]]&gt;tblPO[[#This Row],[Expected_Delivery_Date]],1,0)</f>
        <v>0</v>
      </c>
      <c r="M728">
        <f>tblPO[[#This Row],[Actual_Delivery_Date]]-tblPO[[#This Row],[PO_Date]]</f>
        <v>5</v>
      </c>
    </row>
    <row r="729" spans="1:13" x14ac:dyDescent="0.3">
      <c r="A729" t="s">
        <v>1529</v>
      </c>
      <c r="B729" s="18">
        <v>45443</v>
      </c>
      <c r="C729" t="s">
        <v>48</v>
      </c>
      <c r="D729" t="s">
        <v>164</v>
      </c>
      <c r="E729">
        <v>47</v>
      </c>
      <c r="F729">
        <v>168.1</v>
      </c>
      <c r="G729" s="18">
        <v>45469</v>
      </c>
      <c r="H729" s="18">
        <v>45467</v>
      </c>
      <c r="I729">
        <v>45</v>
      </c>
      <c r="J729">
        <v>7900.7</v>
      </c>
      <c r="K729">
        <f>IF(tblPO[[#This Row],[Actual_Delivery_Date]]&lt;=tblPO[[#This Row],[Expected_Delivery_Date]],1,0)</f>
        <v>1</v>
      </c>
      <c r="L729">
        <f>IF(tblPO[[#This Row],[Actual_Delivery_Date]]&gt;tblPO[[#This Row],[Expected_Delivery_Date]],1,0)</f>
        <v>0</v>
      </c>
      <c r="M729">
        <f>tblPO[[#This Row],[Actual_Delivery_Date]]-tblPO[[#This Row],[PO_Date]]</f>
        <v>24</v>
      </c>
    </row>
    <row r="730" spans="1:13" x14ac:dyDescent="0.3">
      <c r="A730" t="s">
        <v>1528</v>
      </c>
      <c r="B730" s="18">
        <v>45422</v>
      </c>
      <c r="C730" t="s">
        <v>41</v>
      </c>
      <c r="D730" t="s">
        <v>193</v>
      </c>
      <c r="E730">
        <v>772</v>
      </c>
      <c r="F730">
        <v>31.77</v>
      </c>
      <c r="G730" s="18">
        <v>45440</v>
      </c>
      <c r="H730" s="18">
        <v>45438</v>
      </c>
      <c r="I730">
        <v>772</v>
      </c>
      <c r="J730">
        <v>24526.44</v>
      </c>
      <c r="K730">
        <f>IF(tblPO[[#This Row],[Actual_Delivery_Date]]&lt;=tblPO[[#This Row],[Expected_Delivery_Date]],1,0)</f>
        <v>1</v>
      </c>
      <c r="L730">
        <f>IF(tblPO[[#This Row],[Actual_Delivery_Date]]&gt;tblPO[[#This Row],[Expected_Delivery_Date]],1,0)</f>
        <v>0</v>
      </c>
      <c r="M730">
        <f>tblPO[[#This Row],[Actual_Delivery_Date]]-tblPO[[#This Row],[PO_Date]]</f>
        <v>16</v>
      </c>
    </row>
    <row r="731" spans="1:13" x14ac:dyDescent="0.3">
      <c r="A731" t="s">
        <v>1527</v>
      </c>
      <c r="B731" s="18">
        <v>45436</v>
      </c>
      <c r="C731" t="s">
        <v>47</v>
      </c>
      <c r="D731" t="s">
        <v>223</v>
      </c>
      <c r="E731">
        <v>38</v>
      </c>
      <c r="F731">
        <v>130.30000000000001</v>
      </c>
      <c r="G731" s="18">
        <v>45454</v>
      </c>
      <c r="H731" s="18">
        <v>45462</v>
      </c>
      <c r="I731">
        <v>38</v>
      </c>
      <c r="J731">
        <v>4951.3999999999996</v>
      </c>
      <c r="K731">
        <f>IF(tblPO[[#This Row],[Actual_Delivery_Date]]&lt;=tblPO[[#This Row],[Expected_Delivery_Date]],1,0)</f>
        <v>0</v>
      </c>
      <c r="L731">
        <f>IF(tblPO[[#This Row],[Actual_Delivery_Date]]&gt;tblPO[[#This Row],[Expected_Delivery_Date]],1,0)</f>
        <v>1</v>
      </c>
      <c r="M731">
        <f>tblPO[[#This Row],[Actual_Delivery_Date]]-tblPO[[#This Row],[PO_Date]]</f>
        <v>26</v>
      </c>
    </row>
    <row r="732" spans="1:13" x14ac:dyDescent="0.3">
      <c r="A732" t="s">
        <v>1526</v>
      </c>
      <c r="B732" s="18">
        <v>45432</v>
      </c>
      <c r="C732" t="s">
        <v>49</v>
      </c>
      <c r="D732" t="s">
        <v>207</v>
      </c>
      <c r="E732">
        <v>461</v>
      </c>
      <c r="F732">
        <v>10.4</v>
      </c>
      <c r="G732" s="18">
        <v>45442</v>
      </c>
      <c r="H732" s="18">
        <v>45439</v>
      </c>
      <c r="I732">
        <v>461</v>
      </c>
      <c r="J732">
        <v>4794.3999999999996</v>
      </c>
      <c r="K732">
        <f>IF(tblPO[[#This Row],[Actual_Delivery_Date]]&lt;=tblPO[[#This Row],[Expected_Delivery_Date]],1,0)</f>
        <v>1</v>
      </c>
      <c r="L732">
        <f>IF(tblPO[[#This Row],[Actual_Delivery_Date]]&gt;tblPO[[#This Row],[Expected_Delivery_Date]],1,0)</f>
        <v>0</v>
      </c>
      <c r="M732">
        <f>tblPO[[#This Row],[Actual_Delivery_Date]]-tblPO[[#This Row],[PO_Date]]</f>
        <v>7</v>
      </c>
    </row>
    <row r="733" spans="1:13" x14ac:dyDescent="0.3">
      <c r="A733" t="s">
        <v>1525</v>
      </c>
      <c r="B733" s="18">
        <v>45429</v>
      </c>
      <c r="C733" t="s">
        <v>47</v>
      </c>
      <c r="D733" t="s">
        <v>212</v>
      </c>
      <c r="E733">
        <v>159</v>
      </c>
      <c r="F733">
        <v>258.89</v>
      </c>
      <c r="G733" s="18">
        <v>45439</v>
      </c>
      <c r="H733" s="18">
        <v>45442</v>
      </c>
      <c r="I733">
        <v>159</v>
      </c>
      <c r="J733">
        <v>41163.51</v>
      </c>
      <c r="K733">
        <f>IF(tblPO[[#This Row],[Actual_Delivery_Date]]&lt;=tblPO[[#This Row],[Expected_Delivery_Date]],1,0)</f>
        <v>0</v>
      </c>
      <c r="L733">
        <f>IF(tblPO[[#This Row],[Actual_Delivery_Date]]&gt;tblPO[[#This Row],[Expected_Delivery_Date]],1,0)</f>
        <v>1</v>
      </c>
      <c r="M733">
        <f>tblPO[[#This Row],[Actual_Delivery_Date]]-tblPO[[#This Row],[PO_Date]]</f>
        <v>13</v>
      </c>
    </row>
    <row r="734" spans="1:13" x14ac:dyDescent="0.3">
      <c r="A734" t="s">
        <v>1524</v>
      </c>
      <c r="B734" s="18">
        <v>45434</v>
      </c>
      <c r="C734" t="s">
        <v>57</v>
      </c>
      <c r="D734" t="s">
        <v>207</v>
      </c>
      <c r="E734">
        <v>506</v>
      </c>
      <c r="F734">
        <v>11.56</v>
      </c>
      <c r="G734" s="18">
        <v>45448</v>
      </c>
      <c r="H734" s="18">
        <v>45460</v>
      </c>
      <c r="I734">
        <v>506</v>
      </c>
      <c r="J734">
        <v>5849.36</v>
      </c>
      <c r="K734">
        <f>IF(tblPO[[#This Row],[Actual_Delivery_Date]]&lt;=tblPO[[#This Row],[Expected_Delivery_Date]],1,0)</f>
        <v>0</v>
      </c>
      <c r="L734">
        <f>IF(tblPO[[#This Row],[Actual_Delivery_Date]]&gt;tblPO[[#This Row],[Expected_Delivery_Date]],1,0)</f>
        <v>1</v>
      </c>
      <c r="M734">
        <f>tblPO[[#This Row],[Actual_Delivery_Date]]-tblPO[[#This Row],[PO_Date]]</f>
        <v>26</v>
      </c>
    </row>
    <row r="735" spans="1:13" x14ac:dyDescent="0.3">
      <c r="A735" t="s">
        <v>1523</v>
      </c>
      <c r="B735" s="18">
        <v>45443</v>
      </c>
      <c r="C735" t="s">
        <v>38</v>
      </c>
      <c r="D735" t="s">
        <v>231</v>
      </c>
      <c r="E735">
        <v>140</v>
      </c>
      <c r="F735">
        <v>146.19999999999999</v>
      </c>
      <c r="G735" s="18">
        <v>45447</v>
      </c>
      <c r="H735" s="18">
        <v>45446</v>
      </c>
      <c r="I735">
        <v>140</v>
      </c>
      <c r="J735">
        <v>20468</v>
      </c>
      <c r="K735">
        <f>IF(tblPO[[#This Row],[Actual_Delivery_Date]]&lt;=tblPO[[#This Row],[Expected_Delivery_Date]],1,0)</f>
        <v>1</v>
      </c>
      <c r="L735">
        <f>IF(tblPO[[#This Row],[Actual_Delivery_Date]]&gt;tblPO[[#This Row],[Expected_Delivery_Date]],1,0)</f>
        <v>0</v>
      </c>
      <c r="M735">
        <f>tblPO[[#This Row],[Actual_Delivery_Date]]-tblPO[[#This Row],[PO_Date]]</f>
        <v>3</v>
      </c>
    </row>
    <row r="736" spans="1:13" x14ac:dyDescent="0.3">
      <c r="A736" t="s">
        <v>1522</v>
      </c>
      <c r="B736" s="18">
        <v>45425</v>
      </c>
      <c r="C736" t="s">
        <v>39</v>
      </c>
      <c r="D736" t="s">
        <v>154</v>
      </c>
      <c r="E736">
        <v>428</v>
      </c>
      <c r="F736">
        <v>82.51</v>
      </c>
      <c r="G736" s="18">
        <v>45448</v>
      </c>
      <c r="H736" s="18">
        <v>45447</v>
      </c>
      <c r="I736">
        <v>428</v>
      </c>
      <c r="J736">
        <v>35314.28</v>
      </c>
      <c r="K736">
        <f>IF(tblPO[[#This Row],[Actual_Delivery_Date]]&lt;=tblPO[[#This Row],[Expected_Delivery_Date]],1,0)</f>
        <v>1</v>
      </c>
      <c r="L736">
        <f>IF(tblPO[[#This Row],[Actual_Delivery_Date]]&gt;tblPO[[#This Row],[Expected_Delivery_Date]],1,0)</f>
        <v>0</v>
      </c>
      <c r="M736">
        <f>tblPO[[#This Row],[Actual_Delivery_Date]]-tblPO[[#This Row],[PO_Date]]</f>
        <v>22</v>
      </c>
    </row>
    <row r="737" spans="1:13" x14ac:dyDescent="0.3">
      <c r="A737" t="s">
        <v>1521</v>
      </c>
      <c r="B737" s="18">
        <v>45419</v>
      </c>
      <c r="C737" t="s">
        <v>50</v>
      </c>
      <c r="D737" t="s">
        <v>127</v>
      </c>
      <c r="E737">
        <v>4</v>
      </c>
      <c r="F737">
        <v>5777.99</v>
      </c>
      <c r="G737" s="18">
        <v>45436</v>
      </c>
      <c r="H737" s="18">
        <v>45436</v>
      </c>
      <c r="I737">
        <v>4</v>
      </c>
      <c r="J737">
        <v>23111.96</v>
      </c>
      <c r="K737">
        <f>IF(tblPO[[#This Row],[Actual_Delivery_Date]]&lt;=tblPO[[#This Row],[Expected_Delivery_Date]],1,0)</f>
        <v>1</v>
      </c>
      <c r="L737">
        <f>IF(tblPO[[#This Row],[Actual_Delivery_Date]]&gt;tblPO[[#This Row],[Expected_Delivery_Date]],1,0)</f>
        <v>0</v>
      </c>
      <c r="M737">
        <f>tblPO[[#This Row],[Actual_Delivery_Date]]-tblPO[[#This Row],[PO_Date]]</f>
        <v>17</v>
      </c>
    </row>
    <row r="738" spans="1:13" x14ac:dyDescent="0.3">
      <c r="A738" t="s">
        <v>1520</v>
      </c>
      <c r="B738" s="18">
        <v>45441</v>
      </c>
      <c r="C738" t="s">
        <v>38</v>
      </c>
      <c r="D738" t="s">
        <v>233</v>
      </c>
      <c r="E738">
        <v>196</v>
      </c>
      <c r="F738">
        <v>204.35</v>
      </c>
      <c r="G738" s="18">
        <v>45457</v>
      </c>
      <c r="H738" s="18">
        <v>45457</v>
      </c>
      <c r="I738">
        <v>196</v>
      </c>
      <c r="J738">
        <v>40052.6</v>
      </c>
      <c r="K738">
        <f>IF(tblPO[[#This Row],[Actual_Delivery_Date]]&lt;=tblPO[[#This Row],[Expected_Delivery_Date]],1,0)</f>
        <v>1</v>
      </c>
      <c r="L738">
        <f>IF(tblPO[[#This Row],[Actual_Delivery_Date]]&gt;tblPO[[#This Row],[Expected_Delivery_Date]],1,0)</f>
        <v>0</v>
      </c>
      <c r="M738">
        <f>tblPO[[#This Row],[Actual_Delivery_Date]]-tblPO[[#This Row],[PO_Date]]</f>
        <v>16</v>
      </c>
    </row>
    <row r="739" spans="1:13" x14ac:dyDescent="0.3">
      <c r="A739" t="s">
        <v>1519</v>
      </c>
      <c r="B739" s="18">
        <v>45419</v>
      </c>
      <c r="C739" t="s">
        <v>59</v>
      </c>
      <c r="D739" t="s">
        <v>92</v>
      </c>
      <c r="E739">
        <v>6</v>
      </c>
      <c r="F739">
        <v>2872.33</v>
      </c>
      <c r="G739" s="18">
        <v>45431</v>
      </c>
      <c r="H739" s="18">
        <v>45430</v>
      </c>
      <c r="I739">
        <v>5</v>
      </c>
      <c r="J739">
        <v>17233.98</v>
      </c>
      <c r="K739">
        <f>IF(tblPO[[#This Row],[Actual_Delivery_Date]]&lt;=tblPO[[#This Row],[Expected_Delivery_Date]],1,0)</f>
        <v>1</v>
      </c>
      <c r="L739">
        <f>IF(tblPO[[#This Row],[Actual_Delivery_Date]]&gt;tblPO[[#This Row],[Expected_Delivery_Date]],1,0)</f>
        <v>0</v>
      </c>
      <c r="M739">
        <f>tblPO[[#This Row],[Actual_Delivery_Date]]-tblPO[[#This Row],[PO_Date]]</f>
        <v>11</v>
      </c>
    </row>
    <row r="740" spans="1:13" x14ac:dyDescent="0.3">
      <c r="A740" t="s">
        <v>1518</v>
      </c>
      <c r="B740" s="18">
        <v>45426</v>
      </c>
      <c r="C740" t="s">
        <v>50</v>
      </c>
      <c r="D740" t="s">
        <v>117</v>
      </c>
      <c r="E740">
        <v>11</v>
      </c>
      <c r="F740">
        <v>323.16000000000003</v>
      </c>
      <c r="G740" s="18">
        <v>45437</v>
      </c>
      <c r="H740" s="18">
        <v>45437</v>
      </c>
      <c r="I740">
        <v>11</v>
      </c>
      <c r="J740">
        <v>3554.76</v>
      </c>
      <c r="K740">
        <f>IF(tblPO[[#This Row],[Actual_Delivery_Date]]&lt;=tblPO[[#This Row],[Expected_Delivery_Date]],1,0)</f>
        <v>1</v>
      </c>
      <c r="L740">
        <f>IF(tblPO[[#This Row],[Actual_Delivery_Date]]&gt;tblPO[[#This Row],[Expected_Delivery_Date]],1,0)</f>
        <v>0</v>
      </c>
      <c r="M740">
        <f>tblPO[[#This Row],[Actual_Delivery_Date]]-tblPO[[#This Row],[PO_Date]]</f>
        <v>11</v>
      </c>
    </row>
    <row r="741" spans="1:13" x14ac:dyDescent="0.3">
      <c r="A741" t="s">
        <v>1517</v>
      </c>
      <c r="B741" s="18">
        <v>45418</v>
      </c>
      <c r="C741" t="s">
        <v>58</v>
      </c>
      <c r="D741" t="s">
        <v>152</v>
      </c>
      <c r="E741">
        <v>254</v>
      </c>
      <c r="F741">
        <v>109.1</v>
      </c>
      <c r="G741" s="18">
        <v>45442</v>
      </c>
      <c r="H741" s="18">
        <v>45442</v>
      </c>
      <c r="I741">
        <v>246</v>
      </c>
      <c r="J741">
        <v>27711.4</v>
      </c>
      <c r="K741">
        <f>IF(tblPO[[#This Row],[Actual_Delivery_Date]]&lt;=tblPO[[#This Row],[Expected_Delivery_Date]],1,0)</f>
        <v>1</v>
      </c>
      <c r="L741">
        <f>IF(tblPO[[#This Row],[Actual_Delivery_Date]]&gt;tblPO[[#This Row],[Expected_Delivery_Date]],1,0)</f>
        <v>0</v>
      </c>
      <c r="M741">
        <f>tblPO[[#This Row],[Actual_Delivery_Date]]-tblPO[[#This Row],[PO_Date]]</f>
        <v>24</v>
      </c>
    </row>
    <row r="742" spans="1:13" x14ac:dyDescent="0.3">
      <c r="A742" t="s">
        <v>1516</v>
      </c>
      <c r="B742" s="18">
        <v>45430</v>
      </c>
      <c r="C742" t="s">
        <v>42</v>
      </c>
      <c r="D742" t="s">
        <v>84</v>
      </c>
      <c r="E742">
        <v>136</v>
      </c>
      <c r="F742">
        <v>227.24</v>
      </c>
      <c r="G742" s="18">
        <v>45456</v>
      </c>
      <c r="H742" s="18">
        <v>45453</v>
      </c>
      <c r="I742">
        <v>136</v>
      </c>
      <c r="J742">
        <v>30904.639999999999</v>
      </c>
      <c r="K742">
        <f>IF(tblPO[[#This Row],[Actual_Delivery_Date]]&lt;=tblPO[[#This Row],[Expected_Delivery_Date]],1,0)</f>
        <v>1</v>
      </c>
      <c r="L742">
        <f>IF(tblPO[[#This Row],[Actual_Delivery_Date]]&gt;tblPO[[#This Row],[Expected_Delivery_Date]],1,0)</f>
        <v>0</v>
      </c>
      <c r="M742">
        <f>tblPO[[#This Row],[Actual_Delivery_Date]]-tblPO[[#This Row],[PO_Date]]</f>
        <v>23</v>
      </c>
    </row>
    <row r="743" spans="1:13" x14ac:dyDescent="0.3">
      <c r="A743" t="s">
        <v>1515</v>
      </c>
      <c r="B743" s="18">
        <v>45428</v>
      </c>
      <c r="C743" t="s">
        <v>63</v>
      </c>
      <c r="D743" t="s">
        <v>168</v>
      </c>
      <c r="E743">
        <v>701</v>
      </c>
      <c r="F743">
        <v>86.24</v>
      </c>
      <c r="G743" s="18">
        <v>45443</v>
      </c>
      <c r="H743" s="18">
        <v>45442</v>
      </c>
      <c r="I743">
        <v>701</v>
      </c>
      <c r="J743">
        <v>60454.239999999998</v>
      </c>
      <c r="K743">
        <f>IF(tblPO[[#This Row],[Actual_Delivery_Date]]&lt;=tblPO[[#This Row],[Expected_Delivery_Date]],1,0)</f>
        <v>1</v>
      </c>
      <c r="L743">
        <f>IF(tblPO[[#This Row],[Actual_Delivery_Date]]&gt;tblPO[[#This Row],[Expected_Delivery_Date]],1,0)</f>
        <v>0</v>
      </c>
      <c r="M743">
        <f>tblPO[[#This Row],[Actual_Delivery_Date]]-tblPO[[#This Row],[PO_Date]]</f>
        <v>14</v>
      </c>
    </row>
    <row r="744" spans="1:13" x14ac:dyDescent="0.3">
      <c r="A744" t="s">
        <v>1514</v>
      </c>
      <c r="B744" s="18">
        <v>45420</v>
      </c>
      <c r="C744" t="s">
        <v>38</v>
      </c>
      <c r="D744" t="s">
        <v>221</v>
      </c>
      <c r="E744">
        <v>22</v>
      </c>
      <c r="F744">
        <v>2013.46</v>
      </c>
      <c r="G744" s="18">
        <v>45423</v>
      </c>
      <c r="H744" s="18">
        <v>45422</v>
      </c>
      <c r="I744">
        <v>22</v>
      </c>
      <c r="J744">
        <v>44296.12</v>
      </c>
      <c r="K744">
        <f>IF(tblPO[[#This Row],[Actual_Delivery_Date]]&lt;=tblPO[[#This Row],[Expected_Delivery_Date]],1,0)</f>
        <v>1</v>
      </c>
      <c r="L744">
        <f>IF(tblPO[[#This Row],[Actual_Delivery_Date]]&gt;tblPO[[#This Row],[Expected_Delivery_Date]],1,0)</f>
        <v>0</v>
      </c>
      <c r="M744">
        <f>tblPO[[#This Row],[Actual_Delivery_Date]]-tblPO[[#This Row],[PO_Date]]</f>
        <v>2</v>
      </c>
    </row>
    <row r="745" spans="1:13" x14ac:dyDescent="0.3">
      <c r="A745" t="s">
        <v>1513</v>
      </c>
      <c r="B745" s="18">
        <v>45431</v>
      </c>
      <c r="C745" t="s">
        <v>44</v>
      </c>
      <c r="D745" t="s">
        <v>207</v>
      </c>
      <c r="E745">
        <v>420</v>
      </c>
      <c r="F745">
        <v>9.92</v>
      </c>
      <c r="G745" s="18">
        <v>45458</v>
      </c>
      <c r="H745" s="18">
        <v>45457</v>
      </c>
      <c r="I745">
        <v>420</v>
      </c>
      <c r="J745">
        <v>4166.3999999999996</v>
      </c>
      <c r="K745">
        <f>IF(tblPO[[#This Row],[Actual_Delivery_Date]]&lt;=tblPO[[#This Row],[Expected_Delivery_Date]],1,0)</f>
        <v>1</v>
      </c>
      <c r="L745">
        <f>IF(tblPO[[#This Row],[Actual_Delivery_Date]]&gt;tblPO[[#This Row],[Expected_Delivery_Date]],1,0)</f>
        <v>0</v>
      </c>
      <c r="M745">
        <f>tblPO[[#This Row],[Actual_Delivery_Date]]-tblPO[[#This Row],[PO_Date]]</f>
        <v>26</v>
      </c>
    </row>
    <row r="746" spans="1:13" x14ac:dyDescent="0.3">
      <c r="A746" t="s">
        <v>1512</v>
      </c>
      <c r="B746" s="18">
        <v>45424</v>
      </c>
      <c r="C746" t="s">
        <v>40</v>
      </c>
      <c r="D746" t="s">
        <v>127</v>
      </c>
      <c r="E746">
        <v>5</v>
      </c>
      <c r="F746">
        <v>5994.11</v>
      </c>
      <c r="G746" s="18">
        <v>45427</v>
      </c>
      <c r="H746" s="18">
        <v>45425</v>
      </c>
      <c r="I746">
        <v>5</v>
      </c>
      <c r="J746">
        <v>29970.55</v>
      </c>
      <c r="K746">
        <f>IF(tblPO[[#This Row],[Actual_Delivery_Date]]&lt;=tblPO[[#This Row],[Expected_Delivery_Date]],1,0)</f>
        <v>1</v>
      </c>
      <c r="L746">
        <f>IF(tblPO[[#This Row],[Actual_Delivery_Date]]&gt;tblPO[[#This Row],[Expected_Delivery_Date]],1,0)</f>
        <v>0</v>
      </c>
      <c r="M746">
        <f>tblPO[[#This Row],[Actual_Delivery_Date]]-tblPO[[#This Row],[PO_Date]]</f>
        <v>1</v>
      </c>
    </row>
    <row r="747" spans="1:13" x14ac:dyDescent="0.3">
      <c r="A747" t="s">
        <v>1511</v>
      </c>
      <c r="B747" s="18">
        <v>45417</v>
      </c>
      <c r="C747" t="s">
        <v>51</v>
      </c>
      <c r="D747" t="s">
        <v>172</v>
      </c>
      <c r="E747">
        <v>759</v>
      </c>
      <c r="F747">
        <v>26.81</v>
      </c>
      <c r="G747" s="18">
        <v>45431</v>
      </c>
      <c r="H747" s="18">
        <v>45430</v>
      </c>
      <c r="I747">
        <v>759</v>
      </c>
      <c r="J747">
        <v>20348.79</v>
      </c>
      <c r="K747">
        <f>IF(tblPO[[#This Row],[Actual_Delivery_Date]]&lt;=tblPO[[#This Row],[Expected_Delivery_Date]],1,0)</f>
        <v>1</v>
      </c>
      <c r="L747">
        <f>IF(tblPO[[#This Row],[Actual_Delivery_Date]]&gt;tblPO[[#This Row],[Expected_Delivery_Date]],1,0)</f>
        <v>0</v>
      </c>
      <c r="M747">
        <f>tblPO[[#This Row],[Actual_Delivery_Date]]-tblPO[[#This Row],[PO_Date]]</f>
        <v>13</v>
      </c>
    </row>
    <row r="748" spans="1:13" x14ac:dyDescent="0.3">
      <c r="A748" t="s">
        <v>1510</v>
      </c>
      <c r="B748" s="18">
        <v>45414</v>
      </c>
      <c r="C748" t="s">
        <v>49</v>
      </c>
      <c r="D748" t="s">
        <v>188</v>
      </c>
      <c r="E748">
        <v>414</v>
      </c>
      <c r="F748">
        <v>34.54</v>
      </c>
      <c r="G748" s="18">
        <v>45426</v>
      </c>
      <c r="H748" s="18">
        <v>45423</v>
      </c>
      <c r="I748">
        <v>414</v>
      </c>
      <c r="J748">
        <v>14299.56</v>
      </c>
      <c r="K748">
        <f>IF(tblPO[[#This Row],[Actual_Delivery_Date]]&lt;=tblPO[[#This Row],[Expected_Delivery_Date]],1,0)</f>
        <v>1</v>
      </c>
      <c r="L748">
        <f>IF(tblPO[[#This Row],[Actual_Delivery_Date]]&gt;tblPO[[#This Row],[Expected_Delivery_Date]],1,0)</f>
        <v>0</v>
      </c>
      <c r="M748">
        <f>tblPO[[#This Row],[Actual_Delivery_Date]]-tblPO[[#This Row],[PO_Date]]</f>
        <v>9</v>
      </c>
    </row>
    <row r="749" spans="1:13" x14ac:dyDescent="0.3">
      <c r="A749" t="s">
        <v>1509</v>
      </c>
      <c r="B749" s="18">
        <v>45432</v>
      </c>
      <c r="C749" t="s">
        <v>51</v>
      </c>
      <c r="D749" t="s">
        <v>152</v>
      </c>
      <c r="E749">
        <v>146</v>
      </c>
      <c r="F749">
        <v>75.569999999999993</v>
      </c>
      <c r="G749" s="18">
        <v>45440</v>
      </c>
      <c r="H749" s="18">
        <v>45439</v>
      </c>
      <c r="I749">
        <v>146</v>
      </c>
      <c r="J749">
        <v>11033.22</v>
      </c>
      <c r="K749">
        <f>IF(tblPO[[#This Row],[Actual_Delivery_Date]]&lt;=tblPO[[#This Row],[Expected_Delivery_Date]],1,0)</f>
        <v>1</v>
      </c>
      <c r="L749">
        <f>IF(tblPO[[#This Row],[Actual_Delivery_Date]]&gt;tblPO[[#This Row],[Expected_Delivery_Date]],1,0)</f>
        <v>0</v>
      </c>
      <c r="M749">
        <f>tblPO[[#This Row],[Actual_Delivery_Date]]-tblPO[[#This Row],[PO_Date]]</f>
        <v>7</v>
      </c>
    </row>
    <row r="750" spans="1:13" x14ac:dyDescent="0.3">
      <c r="A750" t="s">
        <v>1508</v>
      </c>
      <c r="B750" s="18">
        <v>45434</v>
      </c>
      <c r="C750" t="s">
        <v>48</v>
      </c>
      <c r="D750" t="s">
        <v>156</v>
      </c>
      <c r="E750">
        <v>327</v>
      </c>
      <c r="F750">
        <v>73.22</v>
      </c>
      <c r="G750" s="18">
        <v>45457</v>
      </c>
      <c r="H750" s="18">
        <v>45456</v>
      </c>
      <c r="I750">
        <v>327</v>
      </c>
      <c r="J750">
        <v>23942.94</v>
      </c>
      <c r="K750">
        <f>IF(tblPO[[#This Row],[Actual_Delivery_Date]]&lt;=tblPO[[#This Row],[Expected_Delivery_Date]],1,0)</f>
        <v>1</v>
      </c>
      <c r="L750">
        <f>IF(tblPO[[#This Row],[Actual_Delivery_Date]]&gt;tblPO[[#This Row],[Expected_Delivery_Date]],1,0)</f>
        <v>0</v>
      </c>
      <c r="M750">
        <f>tblPO[[#This Row],[Actual_Delivery_Date]]-tblPO[[#This Row],[PO_Date]]</f>
        <v>22</v>
      </c>
    </row>
    <row r="751" spans="1:13" x14ac:dyDescent="0.3">
      <c r="A751" t="s">
        <v>1507</v>
      </c>
      <c r="B751" s="18">
        <v>45424</v>
      </c>
      <c r="C751" t="s">
        <v>55</v>
      </c>
      <c r="D751" t="s">
        <v>251</v>
      </c>
      <c r="E751">
        <v>338</v>
      </c>
      <c r="F751">
        <v>92.44</v>
      </c>
      <c r="G751" s="18">
        <v>45451</v>
      </c>
      <c r="H751" s="18">
        <v>45449</v>
      </c>
      <c r="I751">
        <v>338</v>
      </c>
      <c r="J751">
        <v>31244.720000000001</v>
      </c>
      <c r="K751">
        <f>IF(tblPO[[#This Row],[Actual_Delivery_Date]]&lt;=tblPO[[#This Row],[Expected_Delivery_Date]],1,0)</f>
        <v>1</v>
      </c>
      <c r="L751">
        <f>IF(tblPO[[#This Row],[Actual_Delivery_Date]]&gt;tblPO[[#This Row],[Expected_Delivery_Date]],1,0)</f>
        <v>0</v>
      </c>
      <c r="M751">
        <f>tblPO[[#This Row],[Actual_Delivery_Date]]-tblPO[[#This Row],[PO_Date]]</f>
        <v>25</v>
      </c>
    </row>
    <row r="752" spans="1:13" x14ac:dyDescent="0.3">
      <c r="A752" t="s">
        <v>1506</v>
      </c>
      <c r="B752" s="18">
        <v>45438</v>
      </c>
      <c r="C752" t="s">
        <v>40</v>
      </c>
      <c r="D752" t="s">
        <v>138</v>
      </c>
      <c r="E752">
        <v>8</v>
      </c>
      <c r="F752">
        <v>3991.08</v>
      </c>
      <c r="G752" s="18">
        <v>45444</v>
      </c>
      <c r="H752" s="18">
        <v>45441</v>
      </c>
      <c r="I752">
        <v>8</v>
      </c>
      <c r="J752">
        <v>31928.639999999999</v>
      </c>
      <c r="K752">
        <f>IF(tblPO[[#This Row],[Actual_Delivery_Date]]&lt;=tblPO[[#This Row],[Expected_Delivery_Date]],1,0)</f>
        <v>1</v>
      </c>
      <c r="L752">
        <f>IF(tblPO[[#This Row],[Actual_Delivery_Date]]&gt;tblPO[[#This Row],[Expected_Delivery_Date]],1,0)</f>
        <v>0</v>
      </c>
      <c r="M752">
        <f>tblPO[[#This Row],[Actual_Delivery_Date]]-tblPO[[#This Row],[PO_Date]]</f>
        <v>3</v>
      </c>
    </row>
    <row r="753" spans="1:13" x14ac:dyDescent="0.3">
      <c r="A753" t="s">
        <v>1505</v>
      </c>
      <c r="B753" s="18">
        <v>45424</v>
      </c>
      <c r="C753" t="s">
        <v>45</v>
      </c>
      <c r="D753" t="s">
        <v>243</v>
      </c>
      <c r="E753">
        <v>132</v>
      </c>
      <c r="F753">
        <v>176.79</v>
      </c>
      <c r="G753" s="18">
        <v>45436</v>
      </c>
      <c r="H753" s="18">
        <v>45434</v>
      </c>
      <c r="I753">
        <v>132</v>
      </c>
      <c r="J753">
        <v>23336.28</v>
      </c>
      <c r="K753">
        <f>IF(tblPO[[#This Row],[Actual_Delivery_Date]]&lt;=tblPO[[#This Row],[Expected_Delivery_Date]],1,0)</f>
        <v>1</v>
      </c>
      <c r="L753">
        <f>IF(tblPO[[#This Row],[Actual_Delivery_Date]]&gt;tblPO[[#This Row],[Expected_Delivery_Date]],1,0)</f>
        <v>0</v>
      </c>
      <c r="M753">
        <f>tblPO[[#This Row],[Actual_Delivery_Date]]-tblPO[[#This Row],[PO_Date]]</f>
        <v>10</v>
      </c>
    </row>
    <row r="754" spans="1:13" x14ac:dyDescent="0.3">
      <c r="A754" t="s">
        <v>1504</v>
      </c>
      <c r="B754" s="18">
        <v>45437</v>
      </c>
      <c r="C754" t="s">
        <v>48</v>
      </c>
      <c r="D754" t="s">
        <v>146</v>
      </c>
      <c r="E754">
        <v>18</v>
      </c>
      <c r="F754">
        <v>3781.98</v>
      </c>
      <c r="G754" s="18">
        <v>45459</v>
      </c>
      <c r="H754" s="18">
        <v>45458</v>
      </c>
      <c r="I754">
        <v>17</v>
      </c>
      <c r="J754">
        <v>68075.64</v>
      </c>
      <c r="K754">
        <f>IF(tblPO[[#This Row],[Actual_Delivery_Date]]&lt;=tblPO[[#This Row],[Expected_Delivery_Date]],1,0)</f>
        <v>1</v>
      </c>
      <c r="L754">
        <f>IF(tblPO[[#This Row],[Actual_Delivery_Date]]&gt;tblPO[[#This Row],[Expected_Delivery_Date]],1,0)</f>
        <v>0</v>
      </c>
      <c r="M754">
        <f>tblPO[[#This Row],[Actual_Delivery_Date]]-tblPO[[#This Row],[PO_Date]]</f>
        <v>21</v>
      </c>
    </row>
    <row r="755" spans="1:13" x14ac:dyDescent="0.3">
      <c r="A755" t="s">
        <v>1503</v>
      </c>
      <c r="B755" s="18">
        <v>45417</v>
      </c>
      <c r="C755" t="s">
        <v>64</v>
      </c>
      <c r="D755" t="s">
        <v>136</v>
      </c>
      <c r="E755">
        <v>187</v>
      </c>
      <c r="F755">
        <v>441.49</v>
      </c>
      <c r="G755" s="18">
        <v>45427</v>
      </c>
      <c r="H755" s="18">
        <v>45425</v>
      </c>
      <c r="I755">
        <v>187</v>
      </c>
      <c r="J755">
        <v>82558.63</v>
      </c>
      <c r="K755">
        <f>IF(tblPO[[#This Row],[Actual_Delivery_Date]]&lt;=tblPO[[#This Row],[Expected_Delivery_Date]],1,0)</f>
        <v>1</v>
      </c>
      <c r="L755">
        <f>IF(tblPO[[#This Row],[Actual_Delivery_Date]]&gt;tblPO[[#This Row],[Expected_Delivery_Date]],1,0)</f>
        <v>0</v>
      </c>
      <c r="M755">
        <f>tblPO[[#This Row],[Actual_Delivery_Date]]-tblPO[[#This Row],[PO_Date]]</f>
        <v>8</v>
      </c>
    </row>
    <row r="756" spans="1:13" x14ac:dyDescent="0.3">
      <c r="A756" t="s">
        <v>1502</v>
      </c>
      <c r="B756" s="18">
        <v>45415</v>
      </c>
      <c r="C756" t="s">
        <v>39</v>
      </c>
      <c r="D756" t="s">
        <v>174</v>
      </c>
      <c r="E756">
        <v>164</v>
      </c>
      <c r="F756">
        <v>44.57</v>
      </c>
      <c r="G756" s="18">
        <v>45427</v>
      </c>
      <c r="H756" s="18">
        <v>45427</v>
      </c>
      <c r="I756">
        <v>146</v>
      </c>
      <c r="J756">
        <v>7309.48</v>
      </c>
      <c r="K756">
        <f>IF(tblPO[[#This Row],[Actual_Delivery_Date]]&lt;=tblPO[[#This Row],[Expected_Delivery_Date]],1,0)</f>
        <v>1</v>
      </c>
      <c r="L756">
        <f>IF(tblPO[[#This Row],[Actual_Delivery_Date]]&gt;tblPO[[#This Row],[Expected_Delivery_Date]],1,0)</f>
        <v>0</v>
      </c>
      <c r="M756">
        <f>tblPO[[#This Row],[Actual_Delivery_Date]]-tblPO[[#This Row],[PO_Date]]</f>
        <v>12</v>
      </c>
    </row>
    <row r="757" spans="1:13" x14ac:dyDescent="0.3">
      <c r="A757" t="s">
        <v>1501</v>
      </c>
      <c r="B757" s="18">
        <v>45414</v>
      </c>
      <c r="C757" t="s">
        <v>42</v>
      </c>
      <c r="D757" t="s">
        <v>86</v>
      </c>
      <c r="E757">
        <v>161</v>
      </c>
      <c r="F757">
        <v>345.97</v>
      </c>
      <c r="G757" s="18">
        <v>45441</v>
      </c>
      <c r="H757" s="18">
        <v>45440</v>
      </c>
      <c r="I757">
        <v>147</v>
      </c>
      <c r="J757">
        <v>55701.17</v>
      </c>
      <c r="K757">
        <f>IF(tblPO[[#This Row],[Actual_Delivery_Date]]&lt;=tblPO[[#This Row],[Expected_Delivery_Date]],1,0)</f>
        <v>1</v>
      </c>
      <c r="L757">
        <f>IF(tblPO[[#This Row],[Actual_Delivery_Date]]&gt;tblPO[[#This Row],[Expected_Delivery_Date]],1,0)</f>
        <v>0</v>
      </c>
      <c r="M757">
        <f>tblPO[[#This Row],[Actual_Delivery_Date]]-tblPO[[#This Row],[PO_Date]]</f>
        <v>26</v>
      </c>
    </row>
    <row r="758" spans="1:13" x14ac:dyDescent="0.3">
      <c r="A758" t="s">
        <v>1500</v>
      </c>
      <c r="B758" s="18">
        <v>45442</v>
      </c>
      <c r="C758" t="s">
        <v>43</v>
      </c>
      <c r="D758" t="s">
        <v>176</v>
      </c>
      <c r="E758">
        <v>176</v>
      </c>
      <c r="F758">
        <v>38.57</v>
      </c>
      <c r="G758" s="18">
        <v>45451</v>
      </c>
      <c r="H758" s="18">
        <v>45449</v>
      </c>
      <c r="I758">
        <v>176</v>
      </c>
      <c r="J758">
        <v>6788.32</v>
      </c>
      <c r="K758">
        <f>IF(tblPO[[#This Row],[Actual_Delivery_Date]]&lt;=tblPO[[#This Row],[Expected_Delivery_Date]],1,0)</f>
        <v>1</v>
      </c>
      <c r="L758">
        <f>IF(tblPO[[#This Row],[Actual_Delivery_Date]]&gt;tblPO[[#This Row],[Expected_Delivery_Date]],1,0)</f>
        <v>0</v>
      </c>
      <c r="M758">
        <f>tblPO[[#This Row],[Actual_Delivery_Date]]-tblPO[[#This Row],[PO_Date]]</f>
        <v>7</v>
      </c>
    </row>
    <row r="759" spans="1:13" x14ac:dyDescent="0.3">
      <c r="A759" t="s">
        <v>1499</v>
      </c>
      <c r="B759" s="18">
        <v>45440</v>
      </c>
      <c r="C759" t="s">
        <v>43</v>
      </c>
      <c r="D759" t="s">
        <v>166</v>
      </c>
      <c r="E759">
        <v>199</v>
      </c>
      <c r="F759">
        <v>71.02</v>
      </c>
      <c r="G759" s="18">
        <v>45451</v>
      </c>
      <c r="H759" s="18">
        <v>45462</v>
      </c>
      <c r="I759">
        <v>199</v>
      </c>
      <c r="J759">
        <v>14132.98</v>
      </c>
      <c r="K759">
        <f>IF(tblPO[[#This Row],[Actual_Delivery_Date]]&lt;=tblPO[[#This Row],[Expected_Delivery_Date]],1,0)</f>
        <v>0</v>
      </c>
      <c r="L759">
        <f>IF(tblPO[[#This Row],[Actual_Delivery_Date]]&gt;tblPO[[#This Row],[Expected_Delivery_Date]],1,0)</f>
        <v>1</v>
      </c>
      <c r="M759">
        <f>tblPO[[#This Row],[Actual_Delivery_Date]]-tblPO[[#This Row],[PO_Date]]</f>
        <v>22</v>
      </c>
    </row>
    <row r="760" spans="1:13" x14ac:dyDescent="0.3">
      <c r="A760" t="s">
        <v>1498</v>
      </c>
      <c r="B760" s="18">
        <v>45420</v>
      </c>
      <c r="C760" t="s">
        <v>38</v>
      </c>
      <c r="D760" t="s">
        <v>219</v>
      </c>
      <c r="E760">
        <v>677</v>
      </c>
      <c r="F760">
        <v>97.13</v>
      </c>
      <c r="G760" s="18">
        <v>45425</v>
      </c>
      <c r="H760" s="18">
        <v>45422</v>
      </c>
      <c r="I760">
        <v>677</v>
      </c>
      <c r="J760">
        <v>65757.009999999995</v>
      </c>
      <c r="K760">
        <f>IF(tblPO[[#This Row],[Actual_Delivery_Date]]&lt;=tblPO[[#This Row],[Expected_Delivery_Date]],1,0)</f>
        <v>1</v>
      </c>
      <c r="L760">
        <f>IF(tblPO[[#This Row],[Actual_Delivery_Date]]&gt;tblPO[[#This Row],[Expected_Delivery_Date]],1,0)</f>
        <v>0</v>
      </c>
      <c r="M760">
        <f>tblPO[[#This Row],[Actual_Delivery_Date]]-tblPO[[#This Row],[PO_Date]]</f>
        <v>2</v>
      </c>
    </row>
    <row r="761" spans="1:13" x14ac:dyDescent="0.3">
      <c r="A761" t="s">
        <v>1497</v>
      </c>
      <c r="B761" s="18">
        <v>45418</v>
      </c>
      <c r="C761" t="s">
        <v>44</v>
      </c>
      <c r="D761" t="s">
        <v>185</v>
      </c>
      <c r="E761">
        <v>677</v>
      </c>
      <c r="F761">
        <v>6.8</v>
      </c>
      <c r="G761" s="18">
        <v>45447</v>
      </c>
      <c r="H761" s="18">
        <v>45444</v>
      </c>
      <c r="I761">
        <v>677</v>
      </c>
      <c r="J761">
        <v>4603.6000000000004</v>
      </c>
      <c r="K761">
        <f>IF(tblPO[[#This Row],[Actual_Delivery_Date]]&lt;=tblPO[[#This Row],[Expected_Delivery_Date]],1,0)</f>
        <v>1</v>
      </c>
      <c r="L761">
        <f>IF(tblPO[[#This Row],[Actual_Delivery_Date]]&gt;tblPO[[#This Row],[Expected_Delivery_Date]],1,0)</f>
        <v>0</v>
      </c>
      <c r="M761">
        <f>tblPO[[#This Row],[Actual_Delivery_Date]]-tblPO[[#This Row],[PO_Date]]</f>
        <v>26</v>
      </c>
    </row>
    <row r="762" spans="1:13" x14ac:dyDescent="0.3">
      <c r="A762" t="s">
        <v>1496</v>
      </c>
      <c r="B762" s="18">
        <v>45424</v>
      </c>
      <c r="C762" t="s">
        <v>47</v>
      </c>
      <c r="D762" t="s">
        <v>219</v>
      </c>
      <c r="E762">
        <v>536</v>
      </c>
      <c r="F762">
        <v>78.14</v>
      </c>
      <c r="G762" s="18">
        <v>45432</v>
      </c>
      <c r="H762" s="18">
        <v>45429</v>
      </c>
      <c r="I762">
        <v>536</v>
      </c>
      <c r="J762">
        <v>41883.040000000001</v>
      </c>
      <c r="K762">
        <f>IF(tblPO[[#This Row],[Actual_Delivery_Date]]&lt;=tblPO[[#This Row],[Expected_Delivery_Date]],1,0)</f>
        <v>1</v>
      </c>
      <c r="L762">
        <f>IF(tblPO[[#This Row],[Actual_Delivery_Date]]&gt;tblPO[[#This Row],[Expected_Delivery_Date]],1,0)</f>
        <v>0</v>
      </c>
      <c r="M762">
        <f>tblPO[[#This Row],[Actual_Delivery_Date]]-tblPO[[#This Row],[PO_Date]]</f>
        <v>5</v>
      </c>
    </row>
    <row r="763" spans="1:13" x14ac:dyDescent="0.3">
      <c r="A763" t="s">
        <v>1495</v>
      </c>
      <c r="B763" s="18">
        <v>45419</v>
      </c>
      <c r="C763" t="s">
        <v>41</v>
      </c>
      <c r="D763" t="s">
        <v>199</v>
      </c>
      <c r="E763">
        <v>118</v>
      </c>
      <c r="F763">
        <v>305.74</v>
      </c>
      <c r="G763" s="18">
        <v>45429</v>
      </c>
      <c r="H763" s="18">
        <v>45428</v>
      </c>
      <c r="I763">
        <v>118</v>
      </c>
      <c r="J763">
        <v>36077.32</v>
      </c>
      <c r="K763">
        <f>IF(tblPO[[#This Row],[Actual_Delivery_Date]]&lt;=tblPO[[#This Row],[Expected_Delivery_Date]],1,0)</f>
        <v>1</v>
      </c>
      <c r="L763">
        <f>IF(tblPO[[#This Row],[Actual_Delivery_Date]]&gt;tblPO[[#This Row],[Expected_Delivery_Date]],1,0)</f>
        <v>0</v>
      </c>
      <c r="M763">
        <f>tblPO[[#This Row],[Actual_Delivery_Date]]-tblPO[[#This Row],[PO_Date]]</f>
        <v>9</v>
      </c>
    </row>
    <row r="764" spans="1:13" x14ac:dyDescent="0.3">
      <c r="A764" t="s">
        <v>1494</v>
      </c>
      <c r="B764" s="18">
        <v>45437</v>
      </c>
      <c r="C764" t="s">
        <v>39</v>
      </c>
      <c r="D764" t="s">
        <v>174</v>
      </c>
      <c r="E764">
        <v>557</v>
      </c>
      <c r="F764">
        <v>44.91</v>
      </c>
      <c r="G764" s="18">
        <v>45460</v>
      </c>
      <c r="H764" s="18">
        <v>45457</v>
      </c>
      <c r="I764">
        <v>557</v>
      </c>
      <c r="J764">
        <v>25014.87</v>
      </c>
      <c r="K764">
        <f>IF(tblPO[[#This Row],[Actual_Delivery_Date]]&lt;=tblPO[[#This Row],[Expected_Delivery_Date]],1,0)</f>
        <v>1</v>
      </c>
      <c r="L764">
        <f>IF(tblPO[[#This Row],[Actual_Delivery_Date]]&gt;tblPO[[#This Row],[Expected_Delivery_Date]],1,0)</f>
        <v>0</v>
      </c>
      <c r="M764">
        <f>tblPO[[#This Row],[Actual_Delivery_Date]]-tblPO[[#This Row],[PO_Date]]</f>
        <v>20</v>
      </c>
    </row>
    <row r="765" spans="1:13" x14ac:dyDescent="0.3">
      <c r="A765" t="s">
        <v>1493</v>
      </c>
      <c r="B765" s="18">
        <v>45427</v>
      </c>
      <c r="C765" t="s">
        <v>51</v>
      </c>
      <c r="D765" t="s">
        <v>162</v>
      </c>
      <c r="E765">
        <v>340</v>
      </c>
      <c r="F765">
        <v>31.31</v>
      </c>
      <c r="G765" s="18">
        <v>45439</v>
      </c>
      <c r="H765" s="18">
        <v>45439</v>
      </c>
      <c r="I765">
        <v>340</v>
      </c>
      <c r="J765">
        <v>10645.4</v>
      </c>
      <c r="K765">
        <f>IF(tblPO[[#This Row],[Actual_Delivery_Date]]&lt;=tblPO[[#This Row],[Expected_Delivery_Date]],1,0)</f>
        <v>1</v>
      </c>
      <c r="L765">
        <f>IF(tblPO[[#This Row],[Actual_Delivery_Date]]&gt;tblPO[[#This Row],[Expected_Delivery_Date]],1,0)</f>
        <v>0</v>
      </c>
      <c r="M765">
        <f>tblPO[[#This Row],[Actual_Delivery_Date]]-tblPO[[#This Row],[PO_Date]]</f>
        <v>12</v>
      </c>
    </row>
    <row r="766" spans="1:13" x14ac:dyDescent="0.3">
      <c r="A766" t="s">
        <v>1492</v>
      </c>
      <c r="B766" s="18">
        <v>45419</v>
      </c>
      <c r="C766" t="s">
        <v>41</v>
      </c>
      <c r="D766" t="s">
        <v>197</v>
      </c>
      <c r="E766">
        <v>119</v>
      </c>
      <c r="F766">
        <v>253.28</v>
      </c>
      <c r="G766" s="18">
        <v>45424</v>
      </c>
      <c r="H766" s="18">
        <v>45424</v>
      </c>
      <c r="I766">
        <v>119</v>
      </c>
      <c r="J766">
        <v>30140.32</v>
      </c>
      <c r="K766">
        <f>IF(tblPO[[#This Row],[Actual_Delivery_Date]]&lt;=tblPO[[#This Row],[Expected_Delivery_Date]],1,0)</f>
        <v>1</v>
      </c>
      <c r="L766">
        <f>IF(tblPO[[#This Row],[Actual_Delivery_Date]]&gt;tblPO[[#This Row],[Expected_Delivery_Date]],1,0)</f>
        <v>0</v>
      </c>
      <c r="M766">
        <f>tblPO[[#This Row],[Actual_Delivery_Date]]-tblPO[[#This Row],[PO_Date]]</f>
        <v>5</v>
      </c>
    </row>
    <row r="767" spans="1:13" x14ac:dyDescent="0.3">
      <c r="A767" t="s">
        <v>1491</v>
      </c>
      <c r="B767" s="18">
        <v>45434</v>
      </c>
      <c r="C767" t="s">
        <v>46</v>
      </c>
      <c r="D767" t="s">
        <v>100</v>
      </c>
      <c r="E767">
        <v>8</v>
      </c>
      <c r="F767">
        <v>54806.84</v>
      </c>
      <c r="G767" s="18">
        <v>45449</v>
      </c>
      <c r="H767" s="18">
        <v>45446</v>
      </c>
      <c r="I767">
        <v>8</v>
      </c>
      <c r="J767">
        <v>438454.72</v>
      </c>
      <c r="K767">
        <f>IF(tblPO[[#This Row],[Actual_Delivery_Date]]&lt;=tblPO[[#This Row],[Expected_Delivery_Date]],1,0)</f>
        <v>1</v>
      </c>
      <c r="L767">
        <f>IF(tblPO[[#This Row],[Actual_Delivery_Date]]&gt;tblPO[[#This Row],[Expected_Delivery_Date]],1,0)</f>
        <v>0</v>
      </c>
      <c r="M767">
        <f>tblPO[[#This Row],[Actual_Delivery_Date]]-tblPO[[#This Row],[PO_Date]]</f>
        <v>12</v>
      </c>
    </row>
    <row r="768" spans="1:13" x14ac:dyDescent="0.3">
      <c r="A768" t="s">
        <v>1490</v>
      </c>
      <c r="B768" s="18">
        <v>45416</v>
      </c>
      <c r="C768" t="s">
        <v>46</v>
      </c>
      <c r="D768" t="s">
        <v>98</v>
      </c>
      <c r="E768">
        <v>20</v>
      </c>
      <c r="F768">
        <v>10168.51</v>
      </c>
      <c r="G768" s="18">
        <v>45433</v>
      </c>
      <c r="H768" s="18">
        <v>45431</v>
      </c>
      <c r="I768">
        <v>20</v>
      </c>
      <c r="J768">
        <v>203370.2</v>
      </c>
      <c r="K768">
        <f>IF(tblPO[[#This Row],[Actual_Delivery_Date]]&lt;=tblPO[[#This Row],[Expected_Delivery_Date]],1,0)</f>
        <v>1</v>
      </c>
      <c r="L768">
        <f>IF(tblPO[[#This Row],[Actual_Delivery_Date]]&gt;tblPO[[#This Row],[Expected_Delivery_Date]],1,0)</f>
        <v>0</v>
      </c>
      <c r="M768">
        <f>tblPO[[#This Row],[Actual_Delivery_Date]]-tblPO[[#This Row],[PO_Date]]</f>
        <v>15</v>
      </c>
    </row>
    <row r="769" spans="1:13" x14ac:dyDescent="0.3">
      <c r="A769" t="s">
        <v>1489</v>
      </c>
      <c r="B769" s="18">
        <v>45416</v>
      </c>
      <c r="C769" t="s">
        <v>51</v>
      </c>
      <c r="D769" t="s">
        <v>158</v>
      </c>
      <c r="E769">
        <v>113</v>
      </c>
      <c r="F769">
        <v>96.07</v>
      </c>
      <c r="G769" s="18">
        <v>45426</v>
      </c>
      <c r="H769" s="18">
        <v>45430</v>
      </c>
      <c r="I769">
        <v>113</v>
      </c>
      <c r="J769">
        <v>10855.91</v>
      </c>
      <c r="K769">
        <f>IF(tblPO[[#This Row],[Actual_Delivery_Date]]&lt;=tblPO[[#This Row],[Expected_Delivery_Date]],1,0)</f>
        <v>0</v>
      </c>
      <c r="L769">
        <f>IF(tblPO[[#This Row],[Actual_Delivery_Date]]&gt;tblPO[[#This Row],[Expected_Delivery_Date]],1,0)</f>
        <v>1</v>
      </c>
      <c r="M769">
        <f>tblPO[[#This Row],[Actual_Delivery_Date]]-tblPO[[#This Row],[PO_Date]]</f>
        <v>14</v>
      </c>
    </row>
    <row r="770" spans="1:13" x14ac:dyDescent="0.3">
      <c r="A770" t="s">
        <v>1488</v>
      </c>
      <c r="B770" s="18">
        <v>45421</v>
      </c>
      <c r="C770" t="s">
        <v>49</v>
      </c>
      <c r="D770" t="s">
        <v>185</v>
      </c>
      <c r="E770">
        <v>1315</v>
      </c>
      <c r="F770">
        <v>7.64</v>
      </c>
      <c r="G770" s="18">
        <v>45436</v>
      </c>
      <c r="H770" s="18">
        <v>45436</v>
      </c>
      <c r="I770">
        <v>1315</v>
      </c>
      <c r="J770">
        <v>10046.6</v>
      </c>
      <c r="K770">
        <f>IF(tblPO[[#This Row],[Actual_Delivery_Date]]&lt;=tblPO[[#This Row],[Expected_Delivery_Date]],1,0)</f>
        <v>1</v>
      </c>
      <c r="L770">
        <f>IF(tblPO[[#This Row],[Actual_Delivery_Date]]&gt;tblPO[[#This Row],[Expected_Delivery_Date]],1,0)</f>
        <v>0</v>
      </c>
      <c r="M770">
        <f>tblPO[[#This Row],[Actual_Delivery_Date]]-tblPO[[#This Row],[PO_Date]]</f>
        <v>15</v>
      </c>
    </row>
    <row r="771" spans="1:13" x14ac:dyDescent="0.3">
      <c r="A771" t="s">
        <v>1487</v>
      </c>
      <c r="B771" s="18">
        <v>45416</v>
      </c>
      <c r="C771" t="s">
        <v>39</v>
      </c>
      <c r="D771" t="s">
        <v>160</v>
      </c>
      <c r="E771">
        <v>515</v>
      </c>
      <c r="F771">
        <v>110.12</v>
      </c>
      <c r="G771" s="18">
        <v>45431</v>
      </c>
      <c r="H771" s="18">
        <v>45431</v>
      </c>
      <c r="I771">
        <v>515</v>
      </c>
      <c r="J771">
        <v>56711.8</v>
      </c>
      <c r="K771">
        <f>IF(tblPO[[#This Row],[Actual_Delivery_Date]]&lt;=tblPO[[#This Row],[Expected_Delivery_Date]],1,0)</f>
        <v>1</v>
      </c>
      <c r="L771">
        <f>IF(tblPO[[#This Row],[Actual_Delivery_Date]]&gt;tblPO[[#This Row],[Expected_Delivery_Date]],1,0)</f>
        <v>0</v>
      </c>
      <c r="M771">
        <f>tblPO[[#This Row],[Actual_Delivery_Date]]-tblPO[[#This Row],[PO_Date]]</f>
        <v>15</v>
      </c>
    </row>
    <row r="772" spans="1:13" x14ac:dyDescent="0.3">
      <c r="A772" t="s">
        <v>1486</v>
      </c>
      <c r="B772" s="18">
        <v>45439</v>
      </c>
      <c r="C772" t="s">
        <v>53</v>
      </c>
      <c r="D772" t="s">
        <v>106</v>
      </c>
      <c r="E772">
        <v>1</v>
      </c>
      <c r="F772">
        <v>20474.59</v>
      </c>
      <c r="G772" s="18">
        <v>45453</v>
      </c>
      <c r="H772" s="18">
        <v>45450</v>
      </c>
      <c r="I772">
        <v>1</v>
      </c>
      <c r="J772">
        <v>20474.59</v>
      </c>
      <c r="K772">
        <f>IF(tblPO[[#This Row],[Actual_Delivery_Date]]&lt;=tblPO[[#This Row],[Expected_Delivery_Date]],1,0)</f>
        <v>1</v>
      </c>
      <c r="L772">
        <f>IF(tblPO[[#This Row],[Actual_Delivery_Date]]&gt;tblPO[[#This Row],[Expected_Delivery_Date]],1,0)</f>
        <v>0</v>
      </c>
      <c r="M772">
        <f>tblPO[[#This Row],[Actual_Delivery_Date]]-tblPO[[#This Row],[PO_Date]]</f>
        <v>11</v>
      </c>
    </row>
    <row r="773" spans="1:13" x14ac:dyDescent="0.3">
      <c r="A773" t="s">
        <v>1485</v>
      </c>
      <c r="B773" s="18">
        <v>45417</v>
      </c>
      <c r="C773" t="s">
        <v>49</v>
      </c>
      <c r="D773" t="s">
        <v>197</v>
      </c>
      <c r="E773">
        <v>93</v>
      </c>
      <c r="F773">
        <v>248.46</v>
      </c>
      <c r="G773" s="18">
        <v>45429</v>
      </c>
      <c r="H773" s="18">
        <v>45426</v>
      </c>
      <c r="I773">
        <v>93</v>
      </c>
      <c r="J773">
        <v>23106.78</v>
      </c>
      <c r="K773">
        <f>IF(tblPO[[#This Row],[Actual_Delivery_Date]]&lt;=tblPO[[#This Row],[Expected_Delivery_Date]],1,0)</f>
        <v>1</v>
      </c>
      <c r="L773">
        <f>IF(tblPO[[#This Row],[Actual_Delivery_Date]]&gt;tblPO[[#This Row],[Expected_Delivery_Date]],1,0)</f>
        <v>0</v>
      </c>
      <c r="M773">
        <f>tblPO[[#This Row],[Actual_Delivery_Date]]-tblPO[[#This Row],[PO_Date]]</f>
        <v>9</v>
      </c>
    </row>
    <row r="774" spans="1:13" x14ac:dyDescent="0.3">
      <c r="A774" t="s">
        <v>1484</v>
      </c>
      <c r="B774" s="18">
        <v>45438</v>
      </c>
      <c r="C774" t="s">
        <v>70</v>
      </c>
      <c r="D774" t="s">
        <v>188</v>
      </c>
      <c r="E774">
        <v>554</v>
      </c>
      <c r="F774">
        <v>34.5</v>
      </c>
      <c r="G774" s="18">
        <v>45455</v>
      </c>
      <c r="H774" s="18">
        <v>45455</v>
      </c>
      <c r="I774">
        <v>554</v>
      </c>
      <c r="J774">
        <v>19113</v>
      </c>
      <c r="K774">
        <f>IF(tblPO[[#This Row],[Actual_Delivery_Date]]&lt;=tblPO[[#This Row],[Expected_Delivery_Date]],1,0)</f>
        <v>1</v>
      </c>
      <c r="L774">
        <f>IF(tblPO[[#This Row],[Actual_Delivery_Date]]&gt;tblPO[[#This Row],[Expected_Delivery_Date]],1,0)</f>
        <v>0</v>
      </c>
      <c r="M774">
        <f>tblPO[[#This Row],[Actual_Delivery_Date]]-tblPO[[#This Row],[PO_Date]]</f>
        <v>17</v>
      </c>
    </row>
    <row r="775" spans="1:13" x14ac:dyDescent="0.3">
      <c r="A775" t="s">
        <v>1483</v>
      </c>
      <c r="B775" s="18">
        <v>45430</v>
      </c>
      <c r="C775" t="s">
        <v>45</v>
      </c>
      <c r="D775" t="s">
        <v>235</v>
      </c>
      <c r="E775">
        <v>603</v>
      </c>
      <c r="F775">
        <v>72.45</v>
      </c>
      <c r="G775" s="18">
        <v>45433</v>
      </c>
      <c r="H775" s="18">
        <v>45439</v>
      </c>
      <c r="I775">
        <v>603</v>
      </c>
      <c r="J775">
        <v>43687.35</v>
      </c>
      <c r="K775">
        <f>IF(tblPO[[#This Row],[Actual_Delivery_Date]]&lt;=tblPO[[#This Row],[Expected_Delivery_Date]],1,0)</f>
        <v>0</v>
      </c>
      <c r="L775">
        <f>IF(tblPO[[#This Row],[Actual_Delivery_Date]]&gt;tblPO[[#This Row],[Expected_Delivery_Date]],1,0)</f>
        <v>1</v>
      </c>
      <c r="M775">
        <f>tblPO[[#This Row],[Actual_Delivery_Date]]-tblPO[[#This Row],[PO_Date]]</f>
        <v>9</v>
      </c>
    </row>
    <row r="776" spans="1:13" x14ac:dyDescent="0.3">
      <c r="A776" t="s">
        <v>1482</v>
      </c>
      <c r="B776" s="18">
        <v>45427</v>
      </c>
      <c r="C776" t="s">
        <v>51</v>
      </c>
      <c r="D776" t="s">
        <v>146</v>
      </c>
      <c r="E776">
        <v>14</v>
      </c>
      <c r="F776">
        <v>2459</v>
      </c>
      <c r="G776" s="18">
        <v>45440</v>
      </c>
      <c r="H776" s="18">
        <v>45444</v>
      </c>
      <c r="I776">
        <v>14</v>
      </c>
      <c r="J776">
        <v>34426</v>
      </c>
      <c r="K776">
        <f>IF(tblPO[[#This Row],[Actual_Delivery_Date]]&lt;=tblPO[[#This Row],[Expected_Delivery_Date]],1,0)</f>
        <v>0</v>
      </c>
      <c r="L776">
        <f>IF(tblPO[[#This Row],[Actual_Delivery_Date]]&gt;tblPO[[#This Row],[Expected_Delivery_Date]],1,0)</f>
        <v>1</v>
      </c>
      <c r="M776">
        <f>tblPO[[#This Row],[Actual_Delivery_Date]]-tblPO[[#This Row],[PO_Date]]</f>
        <v>17</v>
      </c>
    </row>
    <row r="777" spans="1:13" x14ac:dyDescent="0.3">
      <c r="A777" t="s">
        <v>1481</v>
      </c>
      <c r="B777" s="18">
        <v>45440</v>
      </c>
      <c r="C777" t="s">
        <v>64</v>
      </c>
      <c r="D777" t="s">
        <v>142</v>
      </c>
      <c r="E777">
        <v>178</v>
      </c>
      <c r="F777">
        <v>122.74</v>
      </c>
      <c r="G777" s="18">
        <v>45452</v>
      </c>
      <c r="H777" s="18">
        <v>45460</v>
      </c>
      <c r="I777">
        <v>178</v>
      </c>
      <c r="J777">
        <v>21847.72</v>
      </c>
      <c r="K777">
        <f>IF(tblPO[[#This Row],[Actual_Delivery_Date]]&lt;=tblPO[[#This Row],[Expected_Delivery_Date]],1,0)</f>
        <v>0</v>
      </c>
      <c r="L777">
        <f>IF(tblPO[[#This Row],[Actual_Delivery_Date]]&gt;tblPO[[#This Row],[Expected_Delivery_Date]],1,0)</f>
        <v>1</v>
      </c>
      <c r="M777">
        <f>tblPO[[#This Row],[Actual_Delivery_Date]]-tblPO[[#This Row],[PO_Date]]</f>
        <v>20</v>
      </c>
    </row>
    <row r="778" spans="1:13" x14ac:dyDescent="0.3">
      <c r="A778" t="s">
        <v>1480</v>
      </c>
      <c r="B778" s="18">
        <v>45428</v>
      </c>
      <c r="C778" t="s">
        <v>70</v>
      </c>
      <c r="D778" t="s">
        <v>205</v>
      </c>
      <c r="E778">
        <v>109</v>
      </c>
      <c r="F778">
        <v>394.49</v>
      </c>
      <c r="G778" s="18">
        <v>45434</v>
      </c>
      <c r="H778" s="18">
        <v>45434</v>
      </c>
      <c r="I778">
        <v>109</v>
      </c>
      <c r="J778">
        <v>42999.41</v>
      </c>
      <c r="K778">
        <f>IF(tblPO[[#This Row],[Actual_Delivery_Date]]&lt;=tblPO[[#This Row],[Expected_Delivery_Date]],1,0)</f>
        <v>1</v>
      </c>
      <c r="L778">
        <f>IF(tblPO[[#This Row],[Actual_Delivery_Date]]&gt;tblPO[[#This Row],[Expected_Delivery_Date]],1,0)</f>
        <v>0</v>
      </c>
      <c r="M778">
        <f>tblPO[[#This Row],[Actual_Delivery_Date]]-tblPO[[#This Row],[PO_Date]]</f>
        <v>6</v>
      </c>
    </row>
    <row r="779" spans="1:13" x14ac:dyDescent="0.3">
      <c r="A779" t="s">
        <v>1479</v>
      </c>
      <c r="B779" s="18">
        <v>45428</v>
      </c>
      <c r="C779" t="s">
        <v>41</v>
      </c>
      <c r="D779" t="s">
        <v>188</v>
      </c>
      <c r="E779">
        <v>531</v>
      </c>
      <c r="F779">
        <v>35.07</v>
      </c>
      <c r="G779" s="18">
        <v>45436</v>
      </c>
      <c r="H779" s="18">
        <v>45436</v>
      </c>
      <c r="I779">
        <v>531</v>
      </c>
      <c r="J779">
        <v>18622.169999999998</v>
      </c>
      <c r="K779">
        <f>IF(tblPO[[#This Row],[Actual_Delivery_Date]]&lt;=tblPO[[#This Row],[Expected_Delivery_Date]],1,0)</f>
        <v>1</v>
      </c>
      <c r="L779">
        <f>IF(tblPO[[#This Row],[Actual_Delivery_Date]]&gt;tblPO[[#This Row],[Expected_Delivery_Date]],1,0)</f>
        <v>0</v>
      </c>
      <c r="M779">
        <f>tblPO[[#This Row],[Actual_Delivery_Date]]-tblPO[[#This Row],[PO_Date]]</f>
        <v>8</v>
      </c>
    </row>
    <row r="780" spans="1:13" x14ac:dyDescent="0.3">
      <c r="A780" t="s">
        <v>1478</v>
      </c>
      <c r="B780" s="18">
        <v>45434</v>
      </c>
      <c r="C780" t="s">
        <v>48</v>
      </c>
      <c r="D780" t="s">
        <v>158</v>
      </c>
      <c r="E780">
        <v>167</v>
      </c>
      <c r="F780">
        <v>148.38999999999999</v>
      </c>
      <c r="G780" s="18">
        <v>45457</v>
      </c>
      <c r="H780" s="18">
        <v>45456</v>
      </c>
      <c r="I780">
        <v>167</v>
      </c>
      <c r="J780">
        <v>24781.13</v>
      </c>
      <c r="K780">
        <f>IF(tblPO[[#This Row],[Actual_Delivery_Date]]&lt;=tblPO[[#This Row],[Expected_Delivery_Date]],1,0)</f>
        <v>1</v>
      </c>
      <c r="L780">
        <f>IF(tblPO[[#This Row],[Actual_Delivery_Date]]&gt;tblPO[[#This Row],[Expected_Delivery_Date]],1,0)</f>
        <v>0</v>
      </c>
      <c r="M780">
        <f>tblPO[[#This Row],[Actual_Delivery_Date]]-tblPO[[#This Row],[PO_Date]]</f>
        <v>22</v>
      </c>
    </row>
    <row r="781" spans="1:13" x14ac:dyDescent="0.3">
      <c r="A781" t="s">
        <v>1477</v>
      </c>
      <c r="B781" s="18">
        <v>45439</v>
      </c>
      <c r="C781" t="s">
        <v>42</v>
      </c>
      <c r="D781" t="s">
        <v>110</v>
      </c>
      <c r="E781">
        <v>6</v>
      </c>
      <c r="F781">
        <v>5529.73</v>
      </c>
      <c r="G781" s="18">
        <v>45462</v>
      </c>
      <c r="H781" s="18">
        <v>45459</v>
      </c>
      <c r="I781">
        <v>6</v>
      </c>
      <c r="J781">
        <v>33178.379999999997</v>
      </c>
      <c r="K781">
        <f>IF(tblPO[[#This Row],[Actual_Delivery_Date]]&lt;=tblPO[[#This Row],[Expected_Delivery_Date]],1,0)</f>
        <v>1</v>
      </c>
      <c r="L781">
        <f>IF(tblPO[[#This Row],[Actual_Delivery_Date]]&gt;tblPO[[#This Row],[Expected_Delivery_Date]],1,0)</f>
        <v>0</v>
      </c>
      <c r="M781">
        <f>tblPO[[#This Row],[Actual_Delivery_Date]]-tblPO[[#This Row],[PO_Date]]</f>
        <v>20</v>
      </c>
    </row>
    <row r="782" spans="1:13" x14ac:dyDescent="0.3">
      <c r="A782" t="s">
        <v>1476</v>
      </c>
      <c r="B782" s="18">
        <v>45455</v>
      </c>
      <c r="C782" t="s">
        <v>49</v>
      </c>
      <c r="D782" t="s">
        <v>203</v>
      </c>
      <c r="E782">
        <v>47</v>
      </c>
      <c r="F782">
        <v>346.79</v>
      </c>
      <c r="G782" s="18">
        <v>45473</v>
      </c>
      <c r="H782" s="18">
        <v>45472</v>
      </c>
      <c r="I782">
        <v>46</v>
      </c>
      <c r="J782">
        <v>16299.13</v>
      </c>
      <c r="K782">
        <f>IF(tblPO[[#This Row],[Actual_Delivery_Date]]&lt;=tblPO[[#This Row],[Expected_Delivery_Date]],1,0)</f>
        <v>1</v>
      </c>
      <c r="L782">
        <f>IF(tblPO[[#This Row],[Actual_Delivery_Date]]&gt;tblPO[[#This Row],[Expected_Delivery_Date]],1,0)</f>
        <v>0</v>
      </c>
      <c r="M782">
        <f>tblPO[[#This Row],[Actual_Delivery_Date]]-tblPO[[#This Row],[PO_Date]]</f>
        <v>17</v>
      </c>
    </row>
    <row r="783" spans="1:13" x14ac:dyDescent="0.3">
      <c r="A783" t="s">
        <v>1475</v>
      </c>
      <c r="B783" s="18">
        <v>45465</v>
      </c>
      <c r="C783" t="s">
        <v>43</v>
      </c>
      <c r="D783" t="s">
        <v>158</v>
      </c>
      <c r="E783">
        <v>199</v>
      </c>
      <c r="F783">
        <v>95.32</v>
      </c>
      <c r="G783" s="18">
        <v>45469</v>
      </c>
      <c r="H783" s="18">
        <v>45467</v>
      </c>
      <c r="I783">
        <v>199</v>
      </c>
      <c r="J783">
        <v>18968.68</v>
      </c>
      <c r="K783">
        <f>IF(tblPO[[#This Row],[Actual_Delivery_Date]]&lt;=tblPO[[#This Row],[Expected_Delivery_Date]],1,0)</f>
        <v>1</v>
      </c>
      <c r="L783">
        <f>IF(tblPO[[#This Row],[Actual_Delivery_Date]]&gt;tblPO[[#This Row],[Expected_Delivery_Date]],1,0)</f>
        <v>0</v>
      </c>
      <c r="M783">
        <f>tblPO[[#This Row],[Actual_Delivery_Date]]-tblPO[[#This Row],[PO_Date]]</f>
        <v>2</v>
      </c>
    </row>
    <row r="784" spans="1:13" x14ac:dyDescent="0.3">
      <c r="A784" t="s">
        <v>1474</v>
      </c>
      <c r="B784" s="18">
        <v>45455</v>
      </c>
      <c r="C784" t="s">
        <v>44</v>
      </c>
      <c r="D784" t="s">
        <v>197</v>
      </c>
      <c r="E784">
        <v>189</v>
      </c>
      <c r="F784">
        <v>226.1</v>
      </c>
      <c r="G784" s="18">
        <v>45470</v>
      </c>
      <c r="H784" s="18">
        <v>45468</v>
      </c>
      <c r="I784">
        <v>189</v>
      </c>
      <c r="J784">
        <v>42732.9</v>
      </c>
      <c r="K784">
        <f>IF(tblPO[[#This Row],[Actual_Delivery_Date]]&lt;=tblPO[[#This Row],[Expected_Delivery_Date]],1,0)</f>
        <v>1</v>
      </c>
      <c r="L784">
        <f>IF(tblPO[[#This Row],[Actual_Delivery_Date]]&gt;tblPO[[#This Row],[Expected_Delivery_Date]],1,0)</f>
        <v>0</v>
      </c>
      <c r="M784">
        <f>tblPO[[#This Row],[Actual_Delivery_Date]]-tblPO[[#This Row],[PO_Date]]</f>
        <v>13</v>
      </c>
    </row>
    <row r="785" spans="1:13" x14ac:dyDescent="0.3">
      <c r="A785" t="s">
        <v>1473</v>
      </c>
      <c r="B785" s="18">
        <v>45473</v>
      </c>
      <c r="C785" t="s">
        <v>71</v>
      </c>
      <c r="D785" t="s">
        <v>164</v>
      </c>
      <c r="E785">
        <v>110</v>
      </c>
      <c r="F785">
        <v>110.47</v>
      </c>
      <c r="G785" s="18">
        <v>45484</v>
      </c>
      <c r="H785" s="18">
        <v>45482</v>
      </c>
      <c r="I785">
        <v>110</v>
      </c>
      <c r="J785">
        <v>12151.7</v>
      </c>
      <c r="K785">
        <f>IF(tblPO[[#This Row],[Actual_Delivery_Date]]&lt;=tblPO[[#This Row],[Expected_Delivery_Date]],1,0)</f>
        <v>1</v>
      </c>
      <c r="L785">
        <f>IF(tblPO[[#This Row],[Actual_Delivery_Date]]&gt;tblPO[[#This Row],[Expected_Delivery_Date]],1,0)</f>
        <v>0</v>
      </c>
      <c r="M785">
        <f>tblPO[[#This Row],[Actual_Delivery_Date]]-tblPO[[#This Row],[PO_Date]]</f>
        <v>9</v>
      </c>
    </row>
    <row r="786" spans="1:13" x14ac:dyDescent="0.3">
      <c r="A786" t="s">
        <v>1472</v>
      </c>
      <c r="B786" s="18">
        <v>45458</v>
      </c>
      <c r="C786" t="s">
        <v>44</v>
      </c>
      <c r="D786" t="s">
        <v>181</v>
      </c>
      <c r="E786">
        <v>1975</v>
      </c>
      <c r="F786">
        <v>3.81</v>
      </c>
      <c r="G786" s="18">
        <v>45480</v>
      </c>
      <c r="H786" s="18">
        <v>45498</v>
      </c>
      <c r="I786">
        <v>1975</v>
      </c>
      <c r="J786">
        <v>7524.75</v>
      </c>
      <c r="K786">
        <f>IF(tblPO[[#This Row],[Actual_Delivery_Date]]&lt;=tblPO[[#This Row],[Expected_Delivery_Date]],1,0)</f>
        <v>0</v>
      </c>
      <c r="L786">
        <f>IF(tblPO[[#This Row],[Actual_Delivery_Date]]&gt;tblPO[[#This Row],[Expected_Delivery_Date]],1,0)</f>
        <v>1</v>
      </c>
      <c r="M786">
        <f>tblPO[[#This Row],[Actual_Delivery_Date]]-tblPO[[#This Row],[PO_Date]]</f>
        <v>40</v>
      </c>
    </row>
    <row r="787" spans="1:13" x14ac:dyDescent="0.3">
      <c r="A787" t="s">
        <v>1471</v>
      </c>
      <c r="B787" s="18">
        <v>45470</v>
      </c>
      <c r="C787" t="s">
        <v>38</v>
      </c>
      <c r="D787" t="s">
        <v>249</v>
      </c>
      <c r="E787">
        <v>132</v>
      </c>
      <c r="F787">
        <v>70.7</v>
      </c>
      <c r="G787" s="18">
        <v>45488</v>
      </c>
      <c r="H787" s="18">
        <v>45488</v>
      </c>
      <c r="I787">
        <v>132</v>
      </c>
      <c r="J787">
        <v>9332.4</v>
      </c>
      <c r="K787">
        <f>IF(tblPO[[#This Row],[Actual_Delivery_Date]]&lt;=tblPO[[#This Row],[Expected_Delivery_Date]],1,0)</f>
        <v>1</v>
      </c>
      <c r="L787">
        <f>IF(tblPO[[#This Row],[Actual_Delivery_Date]]&gt;tblPO[[#This Row],[Expected_Delivery_Date]],1,0)</f>
        <v>0</v>
      </c>
      <c r="M787">
        <f>tblPO[[#This Row],[Actual_Delivery_Date]]-tblPO[[#This Row],[PO_Date]]</f>
        <v>18</v>
      </c>
    </row>
    <row r="788" spans="1:13" x14ac:dyDescent="0.3">
      <c r="A788" t="s">
        <v>1470</v>
      </c>
      <c r="B788" s="18">
        <v>45470</v>
      </c>
      <c r="C788" t="s">
        <v>41</v>
      </c>
      <c r="D788" t="s">
        <v>199</v>
      </c>
      <c r="E788">
        <v>35</v>
      </c>
      <c r="F788">
        <v>299.52</v>
      </c>
      <c r="G788" s="18">
        <v>45478</v>
      </c>
      <c r="H788" s="18">
        <v>45475</v>
      </c>
      <c r="I788">
        <v>35</v>
      </c>
      <c r="J788">
        <v>10483.200000000001</v>
      </c>
      <c r="K788">
        <f>IF(tblPO[[#This Row],[Actual_Delivery_Date]]&lt;=tblPO[[#This Row],[Expected_Delivery_Date]],1,0)</f>
        <v>1</v>
      </c>
      <c r="L788">
        <f>IF(tblPO[[#This Row],[Actual_Delivery_Date]]&gt;tblPO[[#This Row],[Expected_Delivery_Date]],1,0)</f>
        <v>0</v>
      </c>
      <c r="M788">
        <f>tblPO[[#This Row],[Actual_Delivery_Date]]-tblPO[[#This Row],[PO_Date]]</f>
        <v>5</v>
      </c>
    </row>
    <row r="789" spans="1:13" x14ac:dyDescent="0.3">
      <c r="A789" t="s">
        <v>1469</v>
      </c>
      <c r="B789" s="18">
        <v>45467</v>
      </c>
      <c r="C789" t="s">
        <v>41</v>
      </c>
      <c r="D789" t="s">
        <v>190</v>
      </c>
      <c r="E789">
        <v>150</v>
      </c>
      <c r="F789">
        <v>112.42</v>
      </c>
      <c r="G789" s="18">
        <v>45480</v>
      </c>
      <c r="H789" s="18">
        <v>45477</v>
      </c>
      <c r="I789">
        <v>150</v>
      </c>
      <c r="J789">
        <v>16863</v>
      </c>
      <c r="K789">
        <f>IF(tblPO[[#This Row],[Actual_Delivery_Date]]&lt;=tblPO[[#This Row],[Expected_Delivery_Date]],1,0)</f>
        <v>1</v>
      </c>
      <c r="L789">
        <f>IF(tblPO[[#This Row],[Actual_Delivery_Date]]&gt;tblPO[[#This Row],[Expected_Delivery_Date]],1,0)</f>
        <v>0</v>
      </c>
      <c r="M789">
        <f>tblPO[[#This Row],[Actual_Delivery_Date]]-tblPO[[#This Row],[PO_Date]]</f>
        <v>10</v>
      </c>
    </row>
    <row r="790" spans="1:13" x14ac:dyDescent="0.3">
      <c r="A790" t="s">
        <v>1468</v>
      </c>
      <c r="B790" s="18">
        <v>45469</v>
      </c>
      <c r="C790" t="s">
        <v>42</v>
      </c>
      <c r="D790" t="s">
        <v>90</v>
      </c>
      <c r="E790">
        <v>8</v>
      </c>
      <c r="F790">
        <v>34546.94</v>
      </c>
      <c r="G790" s="18">
        <v>45485</v>
      </c>
      <c r="H790" s="18">
        <v>45483</v>
      </c>
      <c r="I790">
        <v>8</v>
      </c>
      <c r="J790">
        <v>276375.52</v>
      </c>
      <c r="K790">
        <f>IF(tblPO[[#This Row],[Actual_Delivery_Date]]&lt;=tblPO[[#This Row],[Expected_Delivery_Date]],1,0)</f>
        <v>1</v>
      </c>
      <c r="L790">
        <f>IF(tblPO[[#This Row],[Actual_Delivery_Date]]&gt;tblPO[[#This Row],[Expected_Delivery_Date]],1,0)</f>
        <v>0</v>
      </c>
      <c r="M790">
        <f>tblPO[[#This Row],[Actual_Delivery_Date]]-tblPO[[#This Row],[PO_Date]]</f>
        <v>14</v>
      </c>
    </row>
    <row r="791" spans="1:13" x14ac:dyDescent="0.3">
      <c r="A791" t="s">
        <v>1467</v>
      </c>
      <c r="B791" s="18">
        <v>45449</v>
      </c>
      <c r="C791" t="s">
        <v>38</v>
      </c>
      <c r="D791" t="s">
        <v>231</v>
      </c>
      <c r="E791">
        <v>38</v>
      </c>
      <c r="F791">
        <v>145.88</v>
      </c>
      <c r="G791" s="18">
        <v>45459</v>
      </c>
      <c r="H791" s="18">
        <v>45457</v>
      </c>
      <c r="I791">
        <v>38</v>
      </c>
      <c r="J791">
        <v>5543.44</v>
      </c>
      <c r="K791">
        <f>IF(tblPO[[#This Row],[Actual_Delivery_Date]]&lt;=tblPO[[#This Row],[Expected_Delivery_Date]],1,0)</f>
        <v>1</v>
      </c>
      <c r="L791">
        <f>IF(tblPO[[#This Row],[Actual_Delivery_Date]]&gt;tblPO[[#This Row],[Expected_Delivery_Date]],1,0)</f>
        <v>0</v>
      </c>
      <c r="M791">
        <f>tblPO[[#This Row],[Actual_Delivery_Date]]-tblPO[[#This Row],[PO_Date]]</f>
        <v>8</v>
      </c>
    </row>
    <row r="792" spans="1:13" x14ac:dyDescent="0.3">
      <c r="A792" t="s">
        <v>1466</v>
      </c>
      <c r="B792" s="18">
        <v>45458</v>
      </c>
      <c r="C792" t="s">
        <v>51</v>
      </c>
      <c r="D792" t="s">
        <v>156</v>
      </c>
      <c r="E792">
        <v>377</v>
      </c>
      <c r="F792">
        <v>46.41</v>
      </c>
      <c r="G792" s="18">
        <v>45476</v>
      </c>
      <c r="H792" s="18">
        <v>45478</v>
      </c>
      <c r="I792">
        <v>377</v>
      </c>
      <c r="J792">
        <v>17496.57</v>
      </c>
      <c r="K792">
        <f>IF(tblPO[[#This Row],[Actual_Delivery_Date]]&lt;=tblPO[[#This Row],[Expected_Delivery_Date]],1,0)</f>
        <v>0</v>
      </c>
      <c r="L792">
        <f>IF(tblPO[[#This Row],[Actual_Delivery_Date]]&gt;tblPO[[#This Row],[Expected_Delivery_Date]],1,0)</f>
        <v>1</v>
      </c>
      <c r="M792">
        <f>tblPO[[#This Row],[Actual_Delivery_Date]]-tblPO[[#This Row],[PO_Date]]</f>
        <v>20</v>
      </c>
    </row>
    <row r="793" spans="1:13" x14ac:dyDescent="0.3">
      <c r="A793" t="s">
        <v>1465</v>
      </c>
      <c r="B793" s="18">
        <v>45469</v>
      </c>
      <c r="C793" t="s">
        <v>60</v>
      </c>
      <c r="D793" t="s">
        <v>121</v>
      </c>
      <c r="E793">
        <v>93</v>
      </c>
      <c r="F793">
        <v>493.24</v>
      </c>
      <c r="G793" s="18">
        <v>45481</v>
      </c>
      <c r="H793" s="18">
        <v>45481</v>
      </c>
      <c r="I793">
        <v>93</v>
      </c>
      <c r="J793">
        <v>45871.32</v>
      </c>
      <c r="K793">
        <f>IF(tblPO[[#This Row],[Actual_Delivery_Date]]&lt;=tblPO[[#This Row],[Expected_Delivery_Date]],1,0)</f>
        <v>1</v>
      </c>
      <c r="L793">
        <f>IF(tblPO[[#This Row],[Actual_Delivery_Date]]&gt;tblPO[[#This Row],[Expected_Delivery_Date]],1,0)</f>
        <v>0</v>
      </c>
      <c r="M793">
        <f>tblPO[[#This Row],[Actual_Delivery_Date]]-tblPO[[#This Row],[PO_Date]]</f>
        <v>12</v>
      </c>
    </row>
    <row r="794" spans="1:13" x14ac:dyDescent="0.3">
      <c r="A794" t="s">
        <v>1464</v>
      </c>
      <c r="B794" s="18">
        <v>45451</v>
      </c>
      <c r="C794" t="s">
        <v>39</v>
      </c>
      <c r="D794" t="s">
        <v>164</v>
      </c>
      <c r="E794">
        <v>156</v>
      </c>
      <c r="F794">
        <v>151.94</v>
      </c>
      <c r="G794" s="18">
        <v>45463</v>
      </c>
      <c r="H794" s="18">
        <v>45461</v>
      </c>
      <c r="I794">
        <v>156</v>
      </c>
      <c r="J794">
        <v>23702.639999999999</v>
      </c>
      <c r="K794">
        <f>IF(tblPO[[#This Row],[Actual_Delivery_Date]]&lt;=tblPO[[#This Row],[Expected_Delivery_Date]],1,0)</f>
        <v>1</v>
      </c>
      <c r="L794">
        <f>IF(tblPO[[#This Row],[Actual_Delivery_Date]]&gt;tblPO[[#This Row],[Expected_Delivery_Date]],1,0)</f>
        <v>0</v>
      </c>
      <c r="M794">
        <f>tblPO[[#This Row],[Actual_Delivery_Date]]-tblPO[[#This Row],[PO_Date]]</f>
        <v>10</v>
      </c>
    </row>
    <row r="795" spans="1:13" x14ac:dyDescent="0.3">
      <c r="A795" t="s">
        <v>1463</v>
      </c>
      <c r="B795" s="18">
        <v>45471</v>
      </c>
      <c r="C795" t="s">
        <v>40</v>
      </c>
      <c r="D795" t="s">
        <v>127</v>
      </c>
      <c r="E795">
        <v>24</v>
      </c>
      <c r="F795">
        <v>5635.6</v>
      </c>
      <c r="G795" s="18">
        <v>45479</v>
      </c>
      <c r="H795" s="18">
        <v>45479</v>
      </c>
      <c r="I795">
        <v>24</v>
      </c>
      <c r="J795">
        <v>135254.39999999999</v>
      </c>
      <c r="K795">
        <f>IF(tblPO[[#This Row],[Actual_Delivery_Date]]&lt;=tblPO[[#This Row],[Expected_Delivery_Date]],1,0)</f>
        <v>1</v>
      </c>
      <c r="L795">
        <f>IF(tblPO[[#This Row],[Actual_Delivery_Date]]&gt;tblPO[[#This Row],[Expected_Delivery_Date]],1,0)</f>
        <v>0</v>
      </c>
      <c r="M795">
        <f>tblPO[[#This Row],[Actual_Delivery_Date]]-tblPO[[#This Row],[PO_Date]]</f>
        <v>8</v>
      </c>
    </row>
    <row r="796" spans="1:13" x14ac:dyDescent="0.3">
      <c r="A796" t="s">
        <v>1462</v>
      </c>
      <c r="B796" s="18">
        <v>45449</v>
      </c>
      <c r="C796" t="s">
        <v>47</v>
      </c>
      <c r="D796" t="s">
        <v>243</v>
      </c>
      <c r="E796">
        <v>104</v>
      </c>
      <c r="F796">
        <v>139.27000000000001</v>
      </c>
      <c r="G796" s="18">
        <v>45455</v>
      </c>
      <c r="H796" s="18">
        <v>45455</v>
      </c>
      <c r="I796">
        <v>104</v>
      </c>
      <c r="J796">
        <v>14484.08</v>
      </c>
      <c r="K796">
        <f>IF(tblPO[[#This Row],[Actual_Delivery_Date]]&lt;=tblPO[[#This Row],[Expected_Delivery_Date]],1,0)</f>
        <v>1</v>
      </c>
      <c r="L796">
        <f>IF(tblPO[[#This Row],[Actual_Delivery_Date]]&gt;tblPO[[#This Row],[Expected_Delivery_Date]],1,0)</f>
        <v>0</v>
      </c>
      <c r="M796">
        <f>tblPO[[#This Row],[Actual_Delivery_Date]]-tblPO[[#This Row],[PO_Date]]</f>
        <v>6</v>
      </c>
    </row>
    <row r="797" spans="1:13" x14ac:dyDescent="0.3">
      <c r="A797" t="s">
        <v>1461</v>
      </c>
      <c r="B797" s="18">
        <v>45447</v>
      </c>
      <c r="C797" t="s">
        <v>38</v>
      </c>
      <c r="D797" t="s">
        <v>223</v>
      </c>
      <c r="E797">
        <v>136</v>
      </c>
      <c r="F797">
        <v>169.32</v>
      </c>
      <c r="G797" s="18">
        <v>45457</v>
      </c>
      <c r="H797" s="18">
        <v>45455</v>
      </c>
      <c r="I797">
        <v>136</v>
      </c>
      <c r="J797">
        <v>23027.52</v>
      </c>
      <c r="K797">
        <f>IF(tblPO[[#This Row],[Actual_Delivery_Date]]&lt;=tblPO[[#This Row],[Expected_Delivery_Date]],1,0)</f>
        <v>1</v>
      </c>
      <c r="L797">
        <f>IF(tblPO[[#This Row],[Actual_Delivery_Date]]&gt;tblPO[[#This Row],[Expected_Delivery_Date]],1,0)</f>
        <v>0</v>
      </c>
      <c r="M797">
        <f>tblPO[[#This Row],[Actual_Delivery_Date]]-tblPO[[#This Row],[PO_Date]]</f>
        <v>8</v>
      </c>
    </row>
    <row r="798" spans="1:13" x14ac:dyDescent="0.3">
      <c r="A798" t="s">
        <v>1460</v>
      </c>
      <c r="B798" s="18">
        <v>45467</v>
      </c>
      <c r="C798" t="s">
        <v>50</v>
      </c>
      <c r="D798" t="s">
        <v>115</v>
      </c>
      <c r="E798">
        <v>11</v>
      </c>
      <c r="F798">
        <v>3337.67</v>
      </c>
      <c r="G798" s="18">
        <v>45485</v>
      </c>
      <c r="H798" s="18">
        <v>45485</v>
      </c>
      <c r="I798">
        <v>11</v>
      </c>
      <c r="J798">
        <v>36714.370000000003</v>
      </c>
      <c r="K798">
        <f>IF(tblPO[[#This Row],[Actual_Delivery_Date]]&lt;=tblPO[[#This Row],[Expected_Delivery_Date]],1,0)</f>
        <v>1</v>
      </c>
      <c r="L798">
        <f>IF(tblPO[[#This Row],[Actual_Delivery_Date]]&gt;tblPO[[#This Row],[Expected_Delivery_Date]],1,0)</f>
        <v>0</v>
      </c>
      <c r="M798">
        <f>tblPO[[#This Row],[Actual_Delivery_Date]]-tblPO[[#This Row],[PO_Date]]</f>
        <v>18</v>
      </c>
    </row>
    <row r="799" spans="1:13" x14ac:dyDescent="0.3">
      <c r="A799" t="s">
        <v>1459</v>
      </c>
      <c r="B799" s="18">
        <v>45467</v>
      </c>
      <c r="C799" t="s">
        <v>44</v>
      </c>
      <c r="D799" t="s">
        <v>190</v>
      </c>
      <c r="E799">
        <v>82</v>
      </c>
      <c r="F799">
        <v>96.16</v>
      </c>
      <c r="G799" s="18">
        <v>45485</v>
      </c>
      <c r="H799" s="18">
        <v>45485</v>
      </c>
      <c r="I799">
        <v>82</v>
      </c>
      <c r="J799">
        <v>7885.12</v>
      </c>
      <c r="K799">
        <f>IF(tblPO[[#This Row],[Actual_Delivery_Date]]&lt;=tblPO[[#This Row],[Expected_Delivery_Date]],1,0)</f>
        <v>1</v>
      </c>
      <c r="L799">
        <f>IF(tblPO[[#This Row],[Actual_Delivery_Date]]&gt;tblPO[[#This Row],[Expected_Delivery_Date]],1,0)</f>
        <v>0</v>
      </c>
      <c r="M799">
        <f>tblPO[[#This Row],[Actual_Delivery_Date]]-tblPO[[#This Row],[PO_Date]]</f>
        <v>18</v>
      </c>
    </row>
    <row r="800" spans="1:13" x14ac:dyDescent="0.3">
      <c r="A800" t="s">
        <v>1458</v>
      </c>
      <c r="B800" s="18">
        <v>45451</v>
      </c>
      <c r="C800" t="s">
        <v>46</v>
      </c>
      <c r="D800" t="s">
        <v>110</v>
      </c>
      <c r="E800">
        <v>10</v>
      </c>
      <c r="F800">
        <v>5530.59</v>
      </c>
      <c r="G800" s="18">
        <v>45477</v>
      </c>
      <c r="H800" s="18">
        <v>45476</v>
      </c>
      <c r="I800">
        <v>10</v>
      </c>
      <c r="J800">
        <v>55305.9</v>
      </c>
      <c r="K800">
        <f>IF(tblPO[[#This Row],[Actual_Delivery_Date]]&lt;=tblPO[[#This Row],[Expected_Delivery_Date]],1,0)</f>
        <v>1</v>
      </c>
      <c r="L800">
        <f>IF(tblPO[[#This Row],[Actual_Delivery_Date]]&gt;tblPO[[#This Row],[Expected_Delivery_Date]],1,0)</f>
        <v>0</v>
      </c>
      <c r="M800">
        <f>tblPO[[#This Row],[Actual_Delivery_Date]]-tblPO[[#This Row],[PO_Date]]</f>
        <v>25</v>
      </c>
    </row>
    <row r="801" spans="1:13" x14ac:dyDescent="0.3">
      <c r="A801" t="s">
        <v>1457</v>
      </c>
      <c r="B801" s="18">
        <v>45459</v>
      </c>
      <c r="C801" t="s">
        <v>44</v>
      </c>
      <c r="D801" t="s">
        <v>188</v>
      </c>
      <c r="E801">
        <v>60</v>
      </c>
      <c r="F801">
        <v>31.06</v>
      </c>
      <c r="G801" s="18">
        <v>45475</v>
      </c>
      <c r="H801" s="18">
        <v>45492</v>
      </c>
      <c r="I801">
        <v>60</v>
      </c>
      <c r="J801">
        <v>1863.6</v>
      </c>
      <c r="K801">
        <f>IF(tblPO[[#This Row],[Actual_Delivery_Date]]&lt;=tblPO[[#This Row],[Expected_Delivery_Date]],1,0)</f>
        <v>0</v>
      </c>
      <c r="L801">
        <f>IF(tblPO[[#This Row],[Actual_Delivery_Date]]&gt;tblPO[[#This Row],[Expected_Delivery_Date]],1,0)</f>
        <v>1</v>
      </c>
      <c r="M801">
        <f>tblPO[[#This Row],[Actual_Delivery_Date]]-tblPO[[#This Row],[PO_Date]]</f>
        <v>33</v>
      </c>
    </row>
    <row r="802" spans="1:13" x14ac:dyDescent="0.3">
      <c r="A802" t="s">
        <v>1456</v>
      </c>
      <c r="B802" s="18">
        <v>45457</v>
      </c>
      <c r="C802" t="s">
        <v>38</v>
      </c>
      <c r="D802" t="s">
        <v>239</v>
      </c>
      <c r="E802">
        <v>775</v>
      </c>
      <c r="F802">
        <v>96.62</v>
      </c>
      <c r="G802" s="18">
        <v>45468</v>
      </c>
      <c r="H802" s="18">
        <v>45465</v>
      </c>
      <c r="I802">
        <v>761</v>
      </c>
      <c r="J802">
        <v>74880.5</v>
      </c>
      <c r="K802">
        <f>IF(tblPO[[#This Row],[Actual_Delivery_Date]]&lt;=tblPO[[#This Row],[Expected_Delivery_Date]],1,0)</f>
        <v>1</v>
      </c>
      <c r="L802">
        <f>IF(tblPO[[#This Row],[Actual_Delivery_Date]]&gt;tblPO[[#This Row],[Expected_Delivery_Date]],1,0)</f>
        <v>0</v>
      </c>
      <c r="M802">
        <f>tblPO[[#This Row],[Actual_Delivery_Date]]-tblPO[[#This Row],[PO_Date]]</f>
        <v>8</v>
      </c>
    </row>
    <row r="803" spans="1:13" x14ac:dyDescent="0.3">
      <c r="A803" t="s">
        <v>1455</v>
      </c>
      <c r="B803" s="18">
        <v>45465</v>
      </c>
      <c r="C803" t="s">
        <v>45</v>
      </c>
      <c r="D803" t="s">
        <v>221</v>
      </c>
      <c r="E803">
        <v>21</v>
      </c>
      <c r="F803">
        <v>1913</v>
      </c>
      <c r="G803" s="18">
        <v>45469</v>
      </c>
      <c r="H803" s="18">
        <v>45469</v>
      </c>
      <c r="I803">
        <v>21</v>
      </c>
      <c r="J803">
        <v>40173</v>
      </c>
      <c r="K803">
        <f>IF(tblPO[[#This Row],[Actual_Delivery_Date]]&lt;=tblPO[[#This Row],[Expected_Delivery_Date]],1,0)</f>
        <v>1</v>
      </c>
      <c r="L803">
        <f>IF(tblPO[[#This Row],[Actual_Delivery_Date]]&gt;tblPO[[#This Row],[Expected_Delivery_Date]],1,0)</f>
        <v>0</v>
      </c>
      <c r="M803">
        <f>tblPO[[#This Row],[Actual_Delivery_Date]]-tblPO[[#This Row],[PO_Date]]</f>
        <v>4</v>
      </c>
    </row>
    <row r="804" spans="1:13" x14ac:dyDescent="0.3">
      <c r="A804" t="s">
        <v>1454</v>
      </c>
      <c r="B804" s="18">
        <v>45472</v>
      </c>
      <c r="C804" t="s">
        <v>38</v>
      </c>
      <c r="D804" t="s">
        <v>227</v>
      </c>
      <c r="E804">
        <v>6</v>
      </c>
      <c r="F804">
        <v>1267.1300000000001</v>
      </c>
      <c r="G804" s="18">
        <v>45476</v>
      </c>
      <c r="H804" s="18">
        <v>45475</v>
      </c>
      <c r="I804">
        <v>6</v>
      </c>
      <c r="J804">
        <v>7602.78</v>
      </c>
      <c r="K804">
        <f>IF(tblPO[[#This Row],[Actual_Delivery_Date]]&lt;=tblPO[[#This Row],[Expected_Delivery_Date]],1,0)</f>
        <v>1</v>
      </c>
      <c r="L804">
        <f>IF(tblPO[[#This Row],[Actual_Delivery_Date]]&gt;tblPO[[#This Row],[Expected_Delivery_Date]],1,0)</f>
        <v>0</v>
      </c>
      <c r="M804">
        <f>tblPO[[#This Row],[Actual_Delivery_Date]]-tblPO[[#This Row],[PO_Date]]</f>
        <v>3</v>
      </c>
    </row>
    <row r="805" spans="1:13" x14ac:dyDescent="0.3">
      <c r="A805" t="s">
        <v>1453</v>
      </c>
      <c r="B805" s="18">
        <v>45448</v>
      </c>
      <c r="C805" t="s">
        <v>42</v>
      </c>
      <c r="D805" t="s">
        <v>96</v>
      </c>
      <c r="E805">
        <v>129</v>
      </c>
      <c r="F805">
        <v>820.3</v>
      </c>
      <c r="G805" s="18">
        <v>45462</v>
      </c>
      <c r="H805" s="18">
        <v>45462</v>
      </c>
      <c r="I805">
        <v>129</v>
      </c>
      <c r="J805">
        <v>105818.7</v>
      </c>
      <c r="K805">
        <f>IF(tblPO[[#This Row],[Actual_Delivery_Date]]&lt;=tblPO[[#This Row],[Expected_Delivery_Date]],1,0)</f>
        <v>1</v>
      </c>
      <c r="L805">
        <f>IF(tblPO[[#This Row],[Actual_Delivery_Date]]&gt;tblPO[[#This Row],[Expected_Delivery_Date]],1,0)</f>
        <v>0</v>
      </c>
      <c r="M805">
        <f>tblPO[[#This Row],[Actual_Delivery_Date]]-tblPO[[#This Row],[PO_Date]]</f>
        <v>14</v>
      </c>
    </row>
    <row r="806" spans="1:13" x14ac:dyDescent="0.3">
      <c r="A806" t="s">
        <v>1452</v>
      </c>
      <c r="B806" s="18">
        <v>45459</v>
      </c>
      <c r="C806" t="s">
        <v>47</v>
      </c>
      <c r="D806" t="s">
        <v>245</v>
      </c>
      <c r="E806">
        <v>6</v>
      </c>
      <c r="F806">
        <v>3309.81</v>
      </c>
      <c r="G806" s="18">
        <v>45470</v>
      </c>
      <c r="H806" s="18">
        <v>45470</v>
      </c>
      <c r="I806">
        <v>6</v>
      </c>
      <c r="J806">
        <v>19858.86</v>
      </c>
      <c r="K806">
        <f>IF(tblPO[[#This Row],[Actual_Delivery_Date]]&lt;=tblPO[[#This Row],[Expected_Delivery_Date]],1,0)</f>
        <v>1</v>
      </c>
      <c r="L806">
        <f>IF(tblPO[[#This Row],[Actual_Delivery_Date]]&gt;tblPO[[#This Row],[Expected_Delivery_Date]],1,0)</f>
        <v>0</v>
      </c>
      <c r="M806">
        <f>tblPO[[#This Row],[Actual_Delivery_Date]]-tblPO[[#This Row],[PO_Date]]</f>
        <v>11</v>
      </c>
    </row>
    <row r="807" spans="1:13" x14ac:dyDescent="0.3">
      <c r="A807" t="s">
        <v>1451</v>
      </c>
      <c r="B807" s="18">
        <v>45460</v>
      </c>
      <c r="C807" t="s">
        <v>42</v>
      </c>
      <c r="D807" t="s">
        <v>81</v>
      </c>
      <c r="E807">
        <v>5</v>
      </c>
      <c r="F807">
        <v>26331.58</v>
      </c>
      <c r="G807" s="18">
        <v>45482</v>
      </c>
      <c r="H807" s="18">
        <v>45480</v>
      </c>
      <c r="I807">
        <v>5</v>
      </c>
      <c r="J807">
        <v>131657.9</v>
      </c>
      <c r="K807">
        <f>IF(tblPO[[#This Row],[Actual_Delivery_Date]]&lt;=tblPO[[#This Row],[Expected_Delivery_Date]],1,0)</f>
        <v>1</v>
      </c>
      <c r="L807">
        <f>IF(tblPO[[#This Row],[Actual_Delivery_Date]]&gt;tblPO[[#This Row],[Expected_Delivery_Date]],1,0)</f>
        <v>0</v>
      </c>
      <c r="M807">
        <f>tblPO[[#This Row],[Actual_Delivery_Date]]-tblPO[[#This Row],[PO_Date]]</f>
        <v>20</v>
      </c>
    </row>
    <row r="808" spans="1:13" x14ac:dyDescent="0.3">
      <c r="A808" t="s">
        <v>1450</v>
      </c>
      <c r="B808" s="18">
        <v>45461</v>
      </c>
      <c r="C808" t="s">
        <v>39</v>
      </c>
      <c r="D808" t="s">
        <v>162</v>
      </c>
      <c r="E808">
        <v>204</v>
      </c>
      <c r="F808">
        <v>45.79</v>
      </c>
      <c r="G808" s="18">
        <v>45487</v>
      </c>
      <c r="H808" s="18">
        <v>45485</v>
      </c>
      <c r="I808">
        <v>183</v>
      </c>
      <c r="J808">
        <v>9341.16</v>
      </c>
      <c r="K808">
        <f>IF(tblPO[[#This Row],[Actual_Delivery_Date]]&lt;=tblPO[[#This Row],[Expected_Delivery_Date]],1,0)</f>
        <v>1</v>
      </c>
      <c r="L808">
        <f>IF(tblPO[[#This Row],[Actual_Delivery_Date]]&gt;tblPO[[#This Row],[Expected_Delivery_Date]],1,0)</f>
        <v>0</v>
      </c>
      <c r="M808">
        <f>tblPO[[#This Row],[Actual_Delivery_Date]]-tblPO[[#This Row],[PO_Date]]</f>
        <v>24</v>
      </c>
    </row>
    <row r="809" spans="1:13" x14ac:dyDescent="0.3">
      <c r="A809" t="s">
        <v>1449</v>
      </c>
      <c r="B809" s="18">
        <v>45458</v>
      </c>
      <c r="C809" t="s">
        <v>45</v>
      </c>
      <c r="D809" t="s">
        <v>221</v>
      </c>
      <c r="E809">
        <v>24</v>
      </c>
      <c r="F809">
        <v>1816.97</v>
      </c>
      <c r="G809" s="18">
        <v>45474</v>
      </c>
      <c r="H809" s="18">
        <v>45474</v>
      </c>
      <c r="I809">
        <v>22</v>
      </c>
      <c r="J809">
        <v>43607.28</v>
      </c>
      <c r="K809">
        <f>IF(tblPO[[#This Row],[Actual_Delivery_Date]]&lt;=tblPO[[#This Row],[Expected_Delivery_Date]],1,0)</f>
        <v>1</v>
      </c>
      <c r="L809">
        <f>IF(tblPO[[#This Row],[Actual_Delivery_Date]]&gt;tblPO[[#This Row],[Expected_Delivery_Date]],1,0)</f>
        <v>0</v>
      </c>
      <c r="M809">
        <f>tblPO[[#This Row],[Actual_Delivery_Date]]-tblPO[[#This Row],[PO_Date]]</f>
        <v>16</v>
      </c>
    </row>
    <row r="810" spans="1:13" x14ac:dyDescent="0.3">
      <c r="A810" t="s">
        <v>1448</v>
      </c>
      <c r="B810" s="18">
        <v>45459</v>
      </c>
      <c r="C810" t="s">
        <v>51</v>
      </c>
      <c r="D810" t="s">
        <v>154</v>
      </c>
      <c r="E810">
        <v>518</v>
      </c>
      <c r="F810">
        <v>58.08</v>
      </c>
      <c r="G810" s="18">
        <v>45465</v>
      </c>
      <c r="H810" s="18">
        <v>45467</v>
      </c>
      <c r="I810">
        <v>518</v>
      </c>
      <c r="J810">
        <v>30085.439999999999</v>
      </c>
      <c r="K810">
        <f>IF(tblPO[[#This Row],[Actual_Delivery_Date]]&lt;=tblPO[[#This Row],[Expected_Delivery_Date]],1,0)</f>
        <v>0</v>
      </c>
      <c r="L810">
        <f>IF(tblPO[[#This Row],[Actual_Delivery_Date]]&gt;tblPO[[#This Row],[Expected_Delivery_Date]],1,0)</f>
        <v>1</v>
      </c>
      <c r="M810">
        <f>tblPO[[#This Row],[Actual_Delivery_Date]]-tblPO[[#This Row],[PO_Date]]</f>
        <v>8</v>
      </c>
    </row>
    <row r="811" spans="1:13" x14ac:dyDescent="0.3">
      <c r="A811" t="s">
        <v>1447</v>
      </c>
      <c r="B811" s="18">
        <v>45449</v>
      </c>
      <c r="C811" t="s">
        <v>40</v>
      </c>
      <c r="D811" t="s">
        <v>140</v>
      </c>
      <c r="E811">
        <v>82</v>
      </c>
      <c r="F811">
        <v>430.55</v>
      </c>
      <c r="G811" s="18">
        <v>45457</v>
      </c>
      <c r="H811" s="18">
        <v>45456</v>
      </c>
      <c r="I811">
        <v>82</v>
      </c>
      <c r="J811">
        <v>35305.1</v>
      </c>
      <c r="K811">
        <f>IF(tblPO[[#This Row],[Actual_Delivery_Date]]&lt;=tblPO[[#This Row],[Expected_Delivery_Date]],1,0)</f>
        <v>1</v>
      </c>
      <c r="L811">
        <f>IF(tblPO[[#This Row],[Actual_Delivery_Date]]&gt;tblPO[[#This Row],[Expected_Delivery_Date]],1,0)</f>
        <v>0</v>
      </c>
      <c r="M811">
        <f>tblPO[[#This Row],[Actual_Delivery_Date]]-tblPO[[#This Row],[PO_Date]]</f>
        <v>7</v>
      </c>
    </row>
    <row r="812" spans="1:13" x14ac:dyDescent="0.3">
      <c r="A812" t="s">
        <v>1446</v>
      </c>
      <c r="B812" s="18">
        <v>45460</v>
      </c>
      <c r="C812" t="s">
        <v>46</v>
      </c>
      <c r="D812" t="s">
        <v>90</v>
      </c>
      <c r="E812">
        <v>1</v>
      </c>
      <c r="F812">
        <v>35239.9</v>
      </c>
      <c r="G812" s="18">
        <v>45490</v>
      </c>
      <c r="H812" s="18">
        <v>45487</v>
      </c>
      <c r="I812">
        <v>1</v>
      </c>
      <c r="J812">
        <v>35239.9</v>
      </c>
      <c r="K812">
        <f>IF(tblPO[[#This Row],[Actual_Delivery_Date]]&lt;=tblPO[[#This Row],[Expected_Delivery_Date]],1,0)</f>
        <v>1</v>
      </c>
      <c r="L812">
        <f>IF(tblPO[[#This Row],[Actual_Delivery_Date]]&gt;tblPO[[#This Row],[Expected_Delivery_Date]],1,0)</f>
        <v>0</v>
      </c>
      <c r="M812">
        <f>tblPO[[#This Row],[Actual_Delivery_Date]]-tblPO[[#This Row],[PO_Date]]</f>
        <v>27</v>
      </c>
    </row>
    <row r="813" spans="1:13" x14ac:dyDescent="0.3">
      <c r="A813" t="s">
        <v>1445</v>
      </c>
      <c r="B813" s="18">
        <v>45444</v>
      </c>
      <c r="C813" t="s">
        <v>56</v>
      </c>
      <c r="D813" t="s">
        <v>127</v>
      </c>
      <c r="E813">
        <v>12</v>
      </c>
      <c r="F813">
        <v>5020.0600000000004</v>
      </c>
      <c r="G813" s="18">
        <v>45456</v>
      </c>
      <c r="H813" s="18">
        <v>45453</v>
      </c>
      <c r="I813">
        <v>12</v>
      </c>
      <c r="J813">
        <v>60240.72</v>
      </c>
      <c r="K813">
        <f>IF(tblPO[[#This Row],[Actual_Delivery_Date]]&lt;=tblPO[[#This Row],[Expected_Delivery_Date]],1,0)</f>
        <v>1</v>
      </c>
      <c r="L813">
        <f>IF(tblPO[[#This Row],[Actual_Delivery_Date]]&gt;tblPO[[#This Row],[Expected_Delivery_Date]],1,0)</f>
        <v>0</v>
      </c>
      <c r="M813">
        <f>tblPO[[#This Row],[Actual_Delivery_Date]]-tblPO[[#This Row],[PO_Date]]</f>
        <v>9</v>
      </c>
    </row>
    <row r="814" spans="1:13" x14ac:dyDescent="0.3">
      <c r="A814" t="s">
        <v>1444</v>
      </c>
      <c r="B814" s="18">
        <v>45470</v>
      </c>
      <c r="C814" t="s">
        <v>50</v>
      </c>
      <c r="D814" t="s">
        <v>123</v>
      </c>
      <c r="E814">
        <v>5</v>
      </c>
      <c r="F814">
        <v>1266.02</v>
      </c>
      <c r="G814" s="18">
        <v>45483</v>
      </c>
      <c r="H814" s="18">
        <v>45480</v>
      </c>
      <c r="I814">
        <v>5</v>
      </c>
      <c r="J814">
        <v>6330.1</v>
      </c>
      <c r="K814">
        <f>IF(tblPO[[#This Row],[Actual_Delivery_Date]]&lt;=tblPO[[#This Row],[Expected_Delivery_Date]],1,0)</f>
        <v>1</v>
      </c>
      <c r="L814">
        <f>IF(tblPO[[#This Row],[Actual_Delivery_Date]]&gt;tblPO[[#This Row],[Expected_Delivery_Date]],1,0)</f>
        <v>0</v>
      </c>
      <c r="M814">
        <f>tblPO[[#This Row],[Actual_Delivery_Date]]-tblPO[[#This Row],[PO_Date]]</f>
        <v>10</v>
      </c>
    </row>
    <row r="815" spans="1:13" x14ac:dyDescent="0.3">
      <c r="A815" t="s">
        <v>1443</v>
      </c>
      <c r="B815" s="18">
        <v>45464</v>
      </c>
      <c r="C815" t="s">
        <v>39</v>
      </c>
      <c r="D815" t="s">
        <v>154</v>
      </c>
      <c r="E815">
        <v>514</v>
      </c>
      <c r="F815">
        <v>81.260000000000005</v>
      </c>
      <c r="G815" s="18">
        <v>45484</v>
      </c>
      <c r="H815" s="18">
        <v>45481</v>
      </c>
      <c r="I815">
        <v>514</v>
      </c>
      <c r="J815">
        <v>41767.64</v>
      </c>
      <c r="K815">
        <f>IF(tblPO[[#This Row],[Actual_Delivery_Date]]&lt;=tblPO[[#This Row],[Expected_Delivery_Date]],1,0)</f>
        <v>1</v>
      </c>
      <c r="L815">
        <f>IF(tblPO[[#This Row],[Actual_Delivery_Date]]&gt;tblPO[[#This Row],[Expected_Delivery_Date]],1,0)</f>
        <v>0</v>
      </c>
      <c r="M815">
        <f>tblPO[[#This Row],[Actual_Delivery_Date]]-tblPO[[#This Row],[PO_Date]]</f>
        <v>17</v>
      </c>
    </row>
    <row r="816" spans="1:13" x14ac:dyDescent="0.3">
      <c r="A816" t="s">
        <v>1442</v>
      </c>
      <c r="B816" s="18">
        <v>45454</v>
      </c>
      <c r="C816" t="s">
        <v>42</v>
      </c>
      <c r="D816" t="s">
        <v>110</v>
      </c>
      <c r="E816">
        <v>16</v>
      </c>
      <c r="F816">
        <v>5558.59</v>
      </c>
      <c r="G816" s="18">
        <v>45484</v>
      </c>
      <c r="H816" s="18">
        <v>45481</v>
      </c>
      <c r="I816">
        <v>16</v>
      </c>
      <c r="J816">
        <v>88937.44</v>
      </c>
      <c r="K816">
        <f>IF(tblPO[[#This Row],[Actual_Delivery_Date]]&lt;=tblPO[[#This Row],[Expected_Delivery_Date]],1,0)</f>
        <v>1</v>
      </c>
      <c r="L816">
        <f>IF(tblPO[[#This Row],[Actual_Delivery_Date]]&gt;tblPO[[#This Row],[Expected_Delivery_Date]],1,0)</f>
        <v>0</v>
      </c>
      <c r="M816">
        <f>tblPO[[#This Row],[Actual_Delivery_Date]]-tblPO[[#This Row],[PO_Date]]</f>
        <v>27</v>
      </c>
    </row>
    <row r="817" spans="1:13" x14ac:dyDescent="0.3">
      <c r="A817" t="s">
        <v>1441</v>
      </c>
      <c r="B817" s="18">
        <v>45467</v>
      </c>
      <c r="C817" t="s">
        <v>68</v>
      </c>
      <c r="D817" t="s">
        <v>168</v>
      </c>
      <c r="E817">
        <v>106</v>
      </c>
      <c r="F817">
        <v>49.98</v>
      </c>
      <c r="G817" s="18">
        <v>45472</v>
      </c>
      <c r="H817" s="18">
        <v>45472</v>
      </c>
      <c r="I817">
        <v>106</v>
      </c>
      <c r="J817">
        <v>5297.88</v>
      </c>
      <c r="K817">
        <f>IF(tblPO[[#This Row],[Actual_Delivery_Date]]&lt;=tblPO[[#This Row],[Expected_Delivery_Date]],1,0)</f>
        <v>1</v>
      </c>
      <c r="L817">
        <f>IF(tblPO[[#This Row],[Actual_Delivery_Date]]&gt;tblPO[[#This Row],[Expected_Delivery_Date]],1,0)</f>
        <v>0</v>
      </c>
      <c r="M817">
        <f>tblPO[[#This Row],[Actual_Delivery_Date]]-tblPO[[#This Row],[PO_Date]]</f>
        <v>5</v>
      </c>
    </row>
    <row r="818" spans="1:13" x14ac:dyDescent="0.3">
      <c r="A818" t="s">
        <v>1440</v>
      </c>
      <c r="B818" s="18">
        <v>45446</v>
      </c>
      <c r="C818" t="s">
        <v>40</v>
      </c>
      <c r="D818" t="s">
        <v>134</v>
      </c>
      <c r="E818">
        <v>14</v>
      </c>
      <c r="F818">
        <v>4296.3999999999996</v>
      </c>
      <c r="G818" s="18">
        <v>45449</v>
      </c>
      <c r="H818" s="18">
        <v>45447</v>
      </c>
      <c r="I818">
        <v>14</v>
      </c>
      <c r="J818">
        <v>60149.599999999999</v>
      </c>
      <c r="K818">
        <f>IF(tblPO[[#This Row],[Actual_Delivery_Date]]&lt;=tblPO[[#This Row],[Expected_Delivery_Date]],1,0)</f>
        <v>1</v>
      </c>
      <c r="L818">
        <f>IF(tblPO[[#This Row],[Actual_Delivery_Date]]&gt;tblPO[[#This Row],[Expected_Delivery_Date]],1,0)</f>
        <v>0</v>
      </c>
      <c r="M818">
        <f>tblPO[[#This Row],[Actual_Delivery_Date]]-tblPO[[#This Row],[PO_Date]]</f>
        <v>1</v>
      </c>
    </row>
    <row r="819" spans="1:13" x14ac:dyDescent="0.3">
      <c r="A819" t="s">
        <v>1439</v>
      </c>
      <c r="B819" s="18">
        <v>45448</v>
      </c>
      <c r="C819" t="s">
        <v>49</v>
      </c>
      <c r="D819" t="s">
        <v>197</v>
      </c>
      <c r="E819">
        <v>177</v>
      </c>
      <c r="F819">
        <v>242.16</v>
      </c>
      <c r="G819" s="18">
        <v>45454</v>
      </c>
      <c r="H819" s="18">
        <v>45454</v>
      </c>
      <c r="I819">
        <v>177</v>
      </c>
      <c r="J819">
        <v>42862.32</v>
      </c>
      <c r="K819">
        <f>IF(tblPO[[#This Row],[Actual_Delivery_Date]]&lt;=tblPO[[#This Row],[Expected_Delivery_Date]],1,0)</f>
        <v>1</v>
      </c>
      <c r="L819">
        <f>IF(tblPO[[#This Row],[Actual_Delivery_Date]]&gt;tblPO[[#This Row],[Expected_Delivery_Date]],1,0)</f>
        <v>0</v>
      </c>
      <c r="M819">
        <f>tblPO[[#This Row],[Actual_Delivery_Date]]-tblPO[[#This Row],[PO_Date]]</f>
        <v>6</v>
      </c>
    </row>
    <row r="820" spans="1:13" x14ac:dyDescent="0.3">
      <c r="A820" t="s">
        <v>1438</v>
      </c>
      <c r="B820" s="18">
        <v>45463</v>
      </c>
      <c r="C820" t="s">
        <v>68</v>
      </c>
      <c r="D820" t="s">
        <v>146</v>
      </c>
      <c r="E820">
        <v>23</v>
      </c>
      <c r="F820">
        <v>2150.8200000000002</v>
      </c>
      <c r="G820" s="18">
        <v>45470</v>
      </c>
      <c r="H820" s="18">
        <v>45467</v>
      </c>
      <c r="I820">
        <v>23</v>
      </c>
      <c r="J820">
        <v>49468.86</v>
      </c>
      <c r="K820">
        <f>IF(tblPO[[#This Row],[Actual_Delivery_Date]]&lt;=tblPO[[#This Row],[Expected_Delivery_Date]],1,0)</f>
        <v>1</v>
      </c>
      <c r="L820">
        <f>IF(tblPO[[#This Row],[Actual_Delivery_Date]]&gt;tblPO[[#This Row],[Expected_Delivery_Date]],1,0)</f>
        <v>0</v>
      </c>
      <c r="M820">
        <f>tblPO[[#This Row],[Actual_Delivery_Date]]-tblPO[[#This Row],[PO_Date]]</f>
        <v>4</v>
      </c>
    </row>
    <row r="821" spans="1:13" x14ac:dyDescent="0.3">
      <c r="A821" t="s">
        <v>1437</v>
      </c>
      <c r="B821" s="18">
        <v>45472</v>
      </c>
      <c r="C821" t="s">
        <v>38</v>
      </c>
      <c r="D821" t="s">
        <v>219</v>
      </c>
      <c r="E821">
        <v>506</v>
      </c>
      <c r="F821">
        <v>92.72</v>
      </c>
      <c r="G821" s="18">
        <v>45487</v>
      </c>
      <c r="H821" s="18">
        <v>45487</v>
      </c>
      <c r="I821">
        <v>506</v>
      </c>
      <c r="J821">
        <v>46916.32</v>
      </c>
      <c r="K821">
        <f>IF(tblPO[[#This Row],[Actual_Delivery_Date]]&lt;=tblPO[[#This Row],[Expected_Delivery_Date]],1,0)</f>
        <v>1</v>
      </c>
      <c r="L821">
        <f>IF(tblPO[[#This Row],[Actual_Delivery_Date]]&gt;tblPO[[#This Row],[Expected_Delivery_Date]],1,0)</f>
        <v>0</v>
      </c>
      <c r="M821">
        <f>tblPO[[#This Row],[Actual_Delivery_Date]]-tblPO[[#This Row],[PO_Date]]</f>
        <v>15</v>
      </c>
    </row>
    <row r="822" spans="1:13" x14ac:dyDescent="0.3">
      <c r="A822" t="s">
        <v>1436</v>
      </c>
      <c r="B822" s="18">
        <v>45449</v>
      </c>
      <c r="C822" t="s">
        <v>58</v>
      </c>
      <c r="D822" t="s">
        <v>164</v>
      </c>
      <c r="E822">
        <v>167</v>
      </c>
      <c r="F822">
        <v>153.72999999999999</v>
      </c>
      <c r="G822" s="18">
        <v>45474</v>
      </c>
      <c r="H822" s="18">
        <v>45471</v>
      </c>
      <c r="I822">
        <v>153</v>
      </c>
      <c r="J822">
        <v>25672.91</v>
      </c>
      <c r="K822">
        <f>IF(tblPO[[#This Row],[Actual_Delivery_Date]]&lt;=tblPO[[#This Row],[Expected_Delivery_Date]],1,0)</f>
        <v>1</v>
      </c>
      <c r="L822">
        <f>IF(tblPO[[#This Row],[Actual_Delivery_Date]]&gt;tblPO[[#This Row],[Expected_Delivery_Date]],1,0)</f>
        <v>0</v>
      </c>
      <c r="M822">
        <f>tblPO[[#This Row],[Actual_Delivery_Date]]-tblPO[[#This Row],[PO_Date]]</f>
        <v>22</v>
      </c>
    </row>
    <row r="823" spans="1:13" x14ac:dyDescent="0.3">
      <c r="A823" t="s">
        <v>1435</v>
      </c>
      <c r="B823" s="18">
        <v>45465</v>
      </c>
      <c r="C823" t="s">
        <v>40</v>
      </c>
      <c r="D823" t="s">
        <v>127</v>
      </c>
      <c r="E823">
        <v>22</v>
      </c>
      <c r="F823">
        <v>5856.52</v>
      </c>
      <c r="G823" s="18">
        <v>45472</v>
      </c>
      <c r="H823" s="18">
        <v>45469</v>
      </c>
      <c r="I823">
        <v>22</v>
      </c>
      <c r="J823">
        <v>128843.44</v>
      </c>
      <c r="K823">
        <f>IF(tblPO[[#This Row],[Actual_Delivery_Date]]&lt;=tblPO[[#This Row],[Expected_Delivery_Date]],1,0)</f>
        <v>1</v>
      </c>
      <c r="L823">
        <f>IF(tblPO[[#This Row],[Actual_Delivery_Date]]&gt;tblPO[[#This Row],[Expected_Delivery_Date]],1,0)</f>
        <v>0</v>
      </c>
      <c r="M823">
        <f>tblPO[[#This Row],[Actual_Delivery_Date]]-tblPO[[#This Row],[PO_Date]]</f>
        <v>4</v>
      </c>
    </row>
    <row r="824" spans="1:13" x14ac:dyDescent="0.3">
      <c r="A824" t="s">
        <v>1434</v>
      </c>
      <c r="B824" s="18">
        <v>45453</v>
      </c>
      <c r="C824" t="s">
        <v>41</v>
      </c>
      <c r="D824" t="s">
        <v>197</v>
      </c>
      <c r="E824">
        <v>132</v>
      </c>
      <c r="F824">
        <v>248.93</v>
      </c>
      <c r="G824" s="18">
        <v>45460</v>
      </c>
      <c r="H824" s="18">
        <v>45476</v>
      </c>
      <c r="I824">
        <v>132</v>
      </c>
      <c r="J824">
        <v>32858.76</v>
      </c>
      <c r="K824">
        <f>IF(tblPO[[#This Row],[Actual_Delivery_Date]]&lt;=tblPO[[#This Row],[Expected_Delivery_Date]],1,0)</f>
        <v>0</v>
      </c>
      <c r="L824">
        <f>IF(tblPO[[#This Row],[Actual_Delivery_Date]]&gt;tblPO[[#This Row],[Expected_Delivery_Date]],1,0)</f>
        <v>1</v>
      </c>
      <c r="M824">
        <f>tblPO[[#This Row],[Actual_Delivery_Date]]-tblPO[[#This Row],[PO_Date]]</f>
        <v>23</v>
      </c>
    </row>
    <row r="825" spans="1:13" x14ac:dyDescent="0.3">
      <c r="A825" t="s">
        <v>1433</v>
      </c>
      <c r="B825" s="18">
        <v>45453</v>
      </c>
      <c r="C825" t="s">
        <v>42</v>
      </c>
      <c r="D825" t="s">
        <v>84</v>
      </c>
      <c r="E825">
        <v>119</v>
      </c>
      <c r="F825">
        <v>221.16</v>
      </c>
      <c r="G825" s="18">
        <v>45483</v>
      </c>
      <c r="H825" s="18">
        <v>45480</v>
      </c>
      <c r="I825">
        <v>119</v>
      </c>
      <c r="J825">
        <v>26318.04</v>
      </c>
      <c r="K825">
        <f>IF(tblPO[[#This Row],[Actual_Delivery_Date]]&lt;=tblPO[[#This Row],[Expected_Delivery_Date]],1,0)</f>
        <v>1</v>
      </c>
      <c r="L825">
        <f>IF(tblPO[[#This Row],[Actual_Delivery_Date]]&gt;tblPO[[#This Row],[Expected_Delivery_Date]],1,0)</f>
        <v>0</v>
      </c>
      <c r="M825">
        <f>tblPO[[#This Row],[Actual_Delivery_Date]]-tblPO[[#This Row],[PO_Date]]</f>
        <v>27</v>
      </c>
    </row>
    <row r="826" spans="1:13" x14ac:dyDescent="0.3">
      <c r="A826" t="s">
        <v>1432</v>
      </c>
      <c r="B826" s="18">
        <v>45457</v>
      </c>
      <c r="C826" t="s">
        <v>47</v>
      </c>
      <c r="D826" t="s">
        <v>219</v>
      </c>
      <c r="E826">
        <v>485</v>
      </c>
      <c r="F826">
        <v>73.61</v>
      </c>
      <c r="G826" s="18">
        <v>45463</v>
      </c>
      <c r="H826" s="18">
        <v>45462</v>
      </c>
      <c r="I826">
        <v>485</v>
      </c>
      <c r="J826">
        <v>35700.85</v>
      </c>
      <c r="K826">
        <f>IF(tblPO[[#This Row],[Actual_Delivery_Date]]&lt;=tblPO[[#This Row],[Expected_Delivery_Date]],1,0)</f>
        <v>1</v>
      </c>
      <c r="L826">
        <f>IF(tblPO[[#This Row],[Actual_Delivery_Date]]&gt;tblPO[[#This Row],[Expected_Delivery_Date]],1,0)</f>
        <v>0</v>
      </c>
      <c r="M826">
        <f>tblPO[[#This Row],[Actual_Delivery_Date]]-tblPO[[#This Row],[PO_Date]]</f>
        <v>5</v>
      </c>
    </row>
    <row r="827" spans="1:13" x14ac:dyDescent="0.3">
      <c r="A827" t="s">
        <v>1431</v>
      </c>
      <c r="B827" s="18">
        <v>45444</v>
      </c>
      <c r="C827" t="s">
        <v>56</v>
      </c>
      <c r="D827" t="s">
        <v>123</v>
      </c>
      <c r="E827">
        <v>18</v>
      </c>
      <c r="F827">
        <v>1043.8599999999999</v>
      </c>
      <c r="G827" s="18">
        <v>45450</v>
      </c>
      <c r="H827" s="18">
        <v>45450</v>
      </c>
      <c r="I827">
        <v>18</v>
      </c>
      <c r="J827">
        <v>18789.48</v>
      </c>
      <c r="K827">
        <f>IF(tblPO[[#This Row],[Actual_Delivery_Date]]&lt;=tblPO[[#This Row],[Expected_Delivery_Date]],1,0)</f>
        <v>1</v>
      </c>
      <c r="L827">
        <f>IF(tblPO[[#This Row],[Actual_Delivery_Date]]&gt;tblPO[[#This Row],[Expected_Delivery_Date]],1,0)</f>
        <v>0</v>
      </c>
      <c r="M827">
        <f>tblPO[[#This Row],[Actual_Delivery_Date]]-tblPO[[#This Row],[PO_Date]]</f>
        <v>6</v>
      </c>
    </row>
    <row r="828" spans="1:13" x14ac:dyDescent="0.3">
      <c r="A828" t="s">
        <v>1430</v>
      </c>
      <c r="B828" s="18">
        <v>45446</v>
      </c>
      <c r="C828" t="s">
        <v>49</v>
      </c>
      <c r="D828" t="s">
        <v>205</v>
      </c>
      <c r="E828">
        <v>21</v>
      </c>
      <c r="F828">
        <v>406.86</v>
      </c>
      <c r="G828" s="18">
        <v>45462</v>
      </c>
      <c r="H828" s="18">
        <v>45461</v>
      </c>
      <c r="I828">
        <v>21</v>
      </c>
      <c r="J828">
        <v>8544.06</v>
      </c>
      <c r="K828">
        <f>IF(tblPO[[#This Row],[Actual_Delivery_Date]]&lt;=tblPO[[#This Row],[Expected_Delivery_Date]],1,0)</f>
        <v>1</v>
      </c>
      <c r="L828">
        <f>IF(tblPO[[#This Row],[Actual_Delivery_Date]]&gt;tblPO[[#This Row],[Expected_Delivery_Date]],1,0)</f>
        <v>0</v>
      </c>
      <c r="M828">
        <f>tblPO[[#This Row],[Actual_Delivery_Date]]-tblPO[[#This Row],[PO_Date]]</f>
        <v>15</v>
      </c>
    </row>
    <row r="829" spans="1:13" x14ac:dyDescent="0.3">
      <c r="A829" t="s">
        <v>1429</v>
      </c>
      <c r="B829" s="18">
        <v>45463</v>
      </c>
      <c r="C829" t="s">
        <v>66</v>
      </c>
      <c r="D829" t="s">
        <v>223</v>
      </c>
      <c r="E829">
        <v>125</v>
      </c>
      <c r="F829">
        <v>143.13999999999999</v>
      </c>
      <c r="G829" s="18">
        <v>45474</v>
      </c>
      <c r="H829" s="18">
        <v>45472</v>
      </c>
      <c r="I829">
        <v>125</v>
      </c>
      <c r="J829">
        <v>17892.5</v>
      </c>
      <c r="K829">
        <f>IF(tblPO[[#This Row],[Actual_Delivery_Date]]&lt;=tblPO[[#This Row],[Expected_Delivery_Date]],1,0)</f>
        <v>1</v>
      </c>
      <c r="L829">
        <f>IF(tblPO[[#This Row],[Actual_Delivery_Date]]&gt;tblPO[[#This Row],[Expected_Delivery_Date]],1,0)</f>
        <v>0</v>
      </c>
      <c r="M829">
        <f>tblPO[[#This Row],[Actual_Delivery_Date]]-tblPO[[#This Row],[PO_Date]]</f>
        <v>9</v>
      </c>
    </row>
    <row r="830" spans="1:13" x14ac:dyDescent="0.3">
      <c r="A830" t="s">
        <v>1428</v>
      </c>
      <c r="B830" s="18">
        <v>45452</v>
      </c>
      <c r="C830" t="s">
        <v>52</v>
      </c>
      <c r="D830" t="s">
        <v>247</v>
      </c>
      <c r="E830">
        <v>164</v>
      </c>
      <c r="F830">
        <v>613.29</v>
      </c>
      <c r="G830" s="18">
        <v>45458</v>
      </c>
      <c r="H830" s="18">
        <v>45455</v>
      </c>
      <c r="I830">
        <v>146</v>
      </c>
      <c r="J830">
        <v>100579.56</v>
      </c>
      <c r="K830">
        <f>IF(tblPO[[#This Row],[Actual_Delivery_Date]]&lt;=tblPO[[#This Row],[Expected_Delivery_Date]],1,0)</f>
        <v>1</v>
      </c>
      <c r="L830">
        <f>IF(tblPO[[#This Row],[Actual_Delivery_Date]]&gt;tblPO[[#This Row],[Expected_Delivery_Date]],1,0)</f>
        <v>0</v>
      </c>
      <c r="M830">
        <f>tblPO[[#This Row],[Actual_Delivery_Date]]-tblPO[[#This Row],[PO_Date]]</f>
        <v>3</v>
      </c>
    </row>
    <row r="831" spans="1:13" x14ac:dyDescent="0.3">
      <c r="A831" t="s">
        <v>1427</v>
      </c>
      <c r="B831" s="18">
        <v>45466</v>
      </c>
      <c r="C831" t="s">
        <v>48</v>
      </c>
      <c r="D831" t="s">
        <v>172</v>
      </c>
      <c r="E831">
        <v>521</v>
      </c>
      <c r="F831">
        <v>42.12</v>
      </c>
      <c r="G831" s="18">
        <v>45490</v>
      </c>
      <c r="H831" s="18">
        <v>45490</v>
      </c>
      <c r="I831">
        <v>521</v>
      </c>
      <c r="J831">
        <v>21944.52</v>
      </c>
      <c r="K831">
        <f>IF(tblPO[[#This Row],[Actual_Delivery_Date]]&lt;=tblPO[[#This Row],[Expected_Delivery_Date]],1,0)</f>
        <v>1</v>
      </c>
      <c r="L831">
        <f>IF(tblPO[[#This Row],[Actual_Delivery_Date]]&gt;tblPO[[#This Row],[Expected_Delivery_Date]],1,0)</f>
        <v>0</v>
      </c>
      <c r="M831">
        <f>tblPO[[#This Row],[Actual_Delivery_Date]]-tblPO[[#This Row],[PO_Date]]</f>
        <v>24</v>
      </c>
    </row>
    <row r="832" spans="1:13" x14ac:dyDescent="0.3">
      <c r="A832" t="s">
        <v>1426</v>
      </c>
      <c r="B832" s="18">
        <v>45466</v>
      </c>
      <c r="C832" t="s">
        <v>48</v>
      </c>
      <c r="D832" t="s">
        <v>149</v>
      </c>
      <c r="E832">
        <v>419</v>
      </c>
      <c r="F832">
        <v>97.15</v>
      </c>
      <c r="G832" s="18">
        <v>45490</v>
      </c>
      <c r="H832" s="18">
        <v>45487</v>
      </c>
      <c r="I832">
        <v>419</v>
      </c>
      <c r="J832">
        <v>40705.85</v>
      </c>
      <c r="K832">
        <f>IF(tblPO[[#This Row],[Actual_Delivery_Date]]&lt;=tblPO[[#This Row],[Expected_Delivery_Date]],1,0)</f>
        <v>1</v>
      </c>
      <c r="L832">
        <f>IF(tblPO[[#This Row],[Actual_Delivery_Date]]&gt;tblPO[[#This Row],[Expected_Delivery_Date]],1,0)</f>
        <v>0</v>
      </c>
      <c r="M832">
        <f>tblPO[[#This Row],[Actual_Delivery_Date]]-tblPO[[#This Row],[PO_Date]]</f>
        <v>21</v>
      </c>
    </row>
    <row r="833" spans="1:13" x14ac:dyDescent="0.3">
      <c r="A833" t="s">
        <v>1425</v>
      </c>
      <c r="B833" s="18">
        <v>45466</v>
      </c>
      <c r="C833" t="s">
        <v>41</v>
      </c>
      <c r="D833" t="s">
        <v>209</v>
      </c>
      <c r="E833">
        <v>66</v>
      </c>
      <c r="F833">
        <v>16.600000000000001</v>
      </c>
      <c r="G833" s="18">
        <v>45475</v>
      </c>
      <c r="H833" s="18">
        <v>45473</v>
      </c>
      <c r="I833">
        <v>66</v>
      </c>
      <c r="J833">
        <v>1095.5999999999999</v>
      </c>
      <c r="K833">
        <f>IF(tblPO[[#This Row],[Actual_Delivery_Date]]&lt;=tblPO[[#This Row],[Expected_Delivery_Date]],1,0)</f>
        <v>1</v>
      </c>
      <c r="L833">
        <f>IF(tblPO[[#This Row],[Actual_Delivery_Date]]&gt;tblPO[[#This Row],[Expected_Delivery_Date]],1,0)</f>
        <v>0</v>
      </c>
      <c r="M833">
        <f>tblPO[[#This Row],[Actual_Delivery_Date]]-tblPO[[#This Row],[PO_Date]]</f>
        <v>7</v>
      </c>
    </row>
    <row r="834" spans="1:13" x14ac:dyDescent="0.3">
      <c r="A834" t="s">
        <v>1424</v>
      </c>
      <c r="B834" s="18">
        <v>45470</v>
      </c>
      <c r="C834" t="s">
        <v>47</v>
      </c>
      <c r="D834" t="s">
        <v>243</v>
      </c>
      <c r="E834">
        <v>121</v>
      </c>
      <c r="F834">
        <v>145.72999999999999</v>
      </c>
      <c r="G834" s="18">
        <v>45479</v>
      </c>
      <c r="H834" s="18">
        <v>45479</v>
      </c>
      <c r="I834">
        <v>121</v>
      </c>
      <c r="J834">
        <v>17633.330000000002</v>
      </c>
      <c r="K834">
        <f>IF(tblPO[[#This Row],[Actual_Delivery_Date]]&lt;=tblPO[[#This Row],[Expected_Delivery_Date]],1,0)</f>
        <v>1</v>
      </c>
      <c r="L834">
        <f>IF(tblPO[[#This Row],[Actual_Delivery_Date]]&gt;tblPO[[#This Row],[Expected_Delivery_Date]],1,0)</f>
        <v>0</v>
      </c>
      <c r="M834">
        <f>tblPO[[#This Row],[Actual_Delivery_Date]]-tblPO[[#This Row],[PO_Date]]</f>
        <v>9</v>
      </c>
    </row>
    <row r="835" spans="1:13" x14ac:dyDescent="0.3">
      <c r="A835" t="s">
        <v>1423</v>
      </c>
      <c r="B835" s="18">
        <v>45472</v>
      </c>
      <c r="C835" t="s">
        <v>46</v>
      </c>
      <c r="D835" t="s">
        <v>98</v>
      </c>
      <c r="E835">
        <v>7</v>
      </c>
      <c r="F835">
        <v>9857.89</v>
      </c>
      <c r="G835" s="18">
        <v>45488</v>
      </c>
      <c r="H835" s="18">
        <v>45488</v>
      </c>
      <c r="I835">
        <v>7</v>
      </c>
      <c r="J835">
        <v>69005.23</v>
      </c>
      <c r="K835">
        <f>IF(tblPO[[#This Row],[Actual_Delivery_Date]]&lt;=tblPO[[#This Row],[Expected_Delivery_Date]],1,0)</f>
        <v>1</v>
      </c>
      <c r="L835">
        <f>IF(tblPO[[#This Row],[Actual_Delivery_Date]]&gt;tblPO[[#This Row],[Expected_Delivery_Date]],1,0)</f>
        <v>0</v>
      </c>
      <c r="M835">
        <f>tblPO[[#This Row],[Actual_Delivery_Date]]-tblPO[[#This Row],[PO_Date]]</f>
        <v>16</v>
      </c>
    </row>
    <row r="836" spans="1:13" x14ac:dyDescent="0.3">
      <c r="A836" t="s">
        <v>1422</v>
      </c>
      <c r="B836" s="18">
        <v>45462</v>
      </c>
      <c r="C836" t="s">
        <v>44</v>
      </c>
      <c r="D836" t="s">
        <v>195</v>
      </c>
      <c r="E836">
        <v>125</v>
      </c>
      <c r="F836">
        <v>512.52</v>
      </c>
      <c r="G836" s="18">
        <v>45481</v>
      </c>
      <c r="H836" s="18">
        <v>45481</v>
      </c>
      <c r="I836">
        <v>110</v>
      </c>
      <c r="J836">
        <v>64065</v>
      </c>
      <c r="K836">
        <f>IF(tblPO[[#This Row],[Actual_Delivery_Date]]&lt;=tblPO[[#This Row],[Expected_Delivery_Date]],1,0)</f>
        <v>1</v>
      </c>
      <c r="L836">
        <f>IF(tblPO[[#This Row],[Actual_Delivery_Date]]&gt;tblPO[[#This Row],[Expected_Delivery_Date]],1,0)</f>
        <v>0</v>
      </c>
      <c r="M836">
        <f>tblPO[[#This Row],[Actual_Delivery_Date]]-tblPO[[#This Row],[PO_Date]]</f>
        <v>19</v>
      </c>
    </row>
    <row r="837" spans="1:13" x14ac:dyDescent="0.3">
      <c r="A837" t="s">
        <v>1421</v>
      </c>
      <c r="B837" s="18">
        <v>45457</v>
      </c>
      <c r="C837" t="s">
        <v>42</v>
      </c>
      <c r="D837" t="s">
        <v>90</v>
      </c>
      <c r="E837">
        <v>7</v>
      </c>
      <c r="F837">
        <v>35110</v>
      </c>
      <c r="G837" s="18">
        <v>45484</v>
      </c>
      <c r="H837" s="18">
        <v>45483</v>
      </c>
      <c r="I837">
        <v>6</v>
      </c>
      <c r="J837">
        <v>245770</v>
      </c>
      <c r="K837">
        <f>IF(tblPO[[#This Row],[Actual_Delivery_Date]]&lt;=tblPO[[#This Row],[Expected_Delivery_Date]],1,0)</f>
        <v>1</v>
      </c>
      <c r="L837">
        <f>IF(tblPO[[#This Row],[Actual_Delivery_Date]]&gt;tblPO[[#This Row],[Expected_Delivery_Date]],1,0)</f>
        <v>0</v>
      </c>
      <c r="M837">
        <f>tblPO[[#This Row],[Actual_Delivery_Date]]-tblPO[[#This Row],[PO_Date]]</f>
        <v>26</v>
      </c>
    </row>
    <row r="838" spans="1:13" x14ac:dyDescent="0.3">
      <c r="A838" t="s">
        <v>1420</v>
      </c>
      <c r="B838" s="18">
        <v>45473</v>
      </c>
      <c r="C838" t="s">
        <v>38</v>
      </c>
      <c r="D838" t="s">
        <v>219</v>
      </c>
      <c r="E838">
        <v>676</v>
      </c>
      <c r="F838">
        <v>95.69</v>
      </c>
      <c r="G838" s="18">
        <v>45491</v>
      </c>
      <c r="H838" s="18">
        <v>45488</v>
      </c>
      <c r="I838">
        <v>676</v>
      </c>
      <c r="J838">
        <v>64686.44</v>
      </c>
      <c r="K838">
        <f>IF(tblPO[[#This Row],[Actual_Delivery_Date]]&lt;=tblPO[[#This Row],[Expected_Delivery_Date]],1,0)</f>
        <v>1</v>
      </c>
      <c r="L838">
        <f>IF(tblPO[[#This Row],[Actual_Delivery_Date]]&gt;tblPO[[#This Row],[Expected_Delivery_Date]],1,0)</f>
        <v>0</v>
      </c>
      <c r="M838">
        <f>tblPO[[#This Row],[Actual_Delivery_Date]]-tblPO[[#This Row],[PO_Date]]</f>
        <v>15</v>
      </c>
    </row>
    <row r="839" spans="1:13" x14ac:dyDescent="0.3">
      <c r="A839" t="s">
        <v>1419</v>
      </c>
      <c r="B839" s="18">
        <v>45446</v>
      </c>
      <c r="C839" t="s">
        <v>57</v>
      </c>
      <c r="D839" t="s">
        <v>197</v>
      </c>
      <c r="E839">
        <v>151</v>
      </c>
      <c r="F839">
        <v>270.44</v>
      </c>
      <c r="G839" s="18">
        <v>45466</v>
      </c>
      <c r="H839" s="18">
        <v>45478</v>
      </c>
      <c r="I839">
        <v>151</v>
      </c>
      <c r="J839">
        <v>40836.44</v>
      </c>
      <c r="K839">
        <f>IF(tblPO[[#This Row],[Actual_Delivery_Date]]&lt;=tblPO[[#This Row],[Expected_Delivery_Date]],1,0)</f>
        <v>0</v>
      </c>
      <c r="L839">
        <f>IF(tblPO[[#This Row],[Actual_Delivery_Date]]&gt;tblPO[[#This Row],[Expected_Delivery_Date]],1,0)</f>
        <v>1</v>
      </c>
      <c r="M839">
        <f>tblPO[[#This Row],[Actual_Delivery_Date]]-tblPO[[#This Row],[PO_Date]]</f>
        <v>32</v>
      </c>
    </row>
    <row r="840" spans="1:13" x14ac:dyDescent="0.3">
      <c r="A840" t="s">
        <v>1418</v>
      </c>
      <c r="B840" s="18">
        <v>45458</v>
      </c>
      <c r="C840" t="s">
        <v>46</v>
      </c>
      <c r="D840" t="s">
        <v>108</v>
      </c>
      <c r="E840">
        <v>6</v>
      </c>
      <c r="F840">
        <v>14993.75</v>
      </c>
      <c r="G840" s="18">
        <v>45483</v>
      </c>
      <c r="H840" s="18">
        <v>45482</v>
      </c>
      <c r="I840">
        <v>6</v>
      </c>
      <c r="J840">
        <v>89962.5</v>
      </c>
      <c r="K840">
        <f>IF(tblPO[[#This Row],[Actual_Delivery_Date]]&lt;=tblPO[[#This Row],[Expected_Delivery_Date]],1,0)</f>
        <v>1</v>
      </c>
      <c r="L840">
        <f>IF(tblPO[[#This Row],[Actual_Delivery_Date]]&gt;tblPO[[#This Row],[Expected_Delivery_Date]],1,0)</f>
        <v>0</v>
      </c>
      <c r="M840">
        <f>tblPO[[#This Row],[Actual_Delivery_Date]]-tblPO[[#This Row],[PO_Date]]</f>
        <v>24</v>
      </c>
    </row>
    <row r="841" spans="1:13" x14ac:dyDescent="0.3">
      <c r="A841" t="s">
        <v>1417</v>
      </c>
      <c r="B841" s="18">
        <v>45460</v>
      </c>
      <c r="C841" t="s">
        <v>42</v>
      </c>
      <c r="D841" t="s">
        <v>96</v>
      </c>
      <c r="E841">
        <v>69</v>
      </c>
      <c r="F841">
        <v>783.09</v>
      </c>
      <c r="G841" s="18">
        <v>45479</v>
      </c>
      <c r="H841" s="18">
        <v>45478</v>
      </c>
      <c r="I841">
        <v>69</v>
      </c>
      <c r="J841">
        <v>54033.21</v>
      </c>
      <c r="K841">
        <f>IF(tblPO[[#This Row],[Actual_Delivery_Date]]&lt;=tblPO[[#This Row],[Expected_Delivery_Date]],1,0)</f>
        <v>1</v>
      </c>
      <c r="L841">
        <f>IF(tblPO[[#This Row],[Actual_Delivery_Date]]&gt;tblPO[[#This Row],[Expected_Delivery_Date]],1,0)</f>
        <v>0</v>
      </c>
      <c r="M841">
        <f>tblPO[[#This Row],[Actual_Delivery_Date]]-tblPO[[#This Row],[PO_Date]]</f>
        <v>18</v>
      </c>
    </row>
    <row r="842" spans="1:13" x14ac:dyDescent="0.3">
      <c r="A842" t="s">
        <v>1416</v>
      </c>
      <c r="B842" s="18">
        <v>45458</v>
      </c>
      <c r="C842" t="s">
        <v>50</v>
      </c>
      <c r="D842" t="s">
        <v>115</v>
      </c>
      <c r="E842">
        <v>23</v>
      </c>
      <c r="F842">
        <v>3353.43</v>
      </c>
      <c r="G842" s="18">
        <v>45465</v>
      </c>
      <c r="H842" s="18">
        <v>45465</v>
      </c>
      <c r="I842">
        <v>23</v>
      </c>
      <c r="J842">
        <v>77128.89</v>
      </c>
      <c r="K842">
        <f>IF(tblPO[[#This Row],[Actual_Delivery_Date]]&lt;=tblPO[[#This Row],[Expected_Delivery_Date]],1,0)</f>
        <v>1</v>
      </c>
      <c r="L842">
        <f>IF(tblPO[[#This Row],[Actual_Delivery_Date]]&gt;tblPO[[#This Row],[Expected_Delivery_Date]],1,0)</f>
        <v>0</v>
      </c>
      <c r="M842">
        <f>tblPO[[#This Row],[Actual_Delivery_Date]]-tblPO[[#This Row],[PO_Date]]</f>
        <v>7</v>
      </c>
    </row>
    <row r="843" spans="1:13" x14ac:dyDescent="0.3">
      <c r="A843" t="s">
        <v>1415</v>
      </c>
      <c r="B843" s="18">
        <v>45467</v>
      </c>
      <c r="C843" t="s">
        <v>42</v>
      </c>
      <c r="D843" t="s">
        <v>84</v>
      </c>
      <c r="E843">
        <v>177</v>
      </c>
      <c r="F843">
        <v>233.67</v>
      </c>
      <c r="G843" s="18">
        <v>45490</v>
      </c>
      <c r="H843" s="18">
        <v>45488</v>
      </c>
      <c r="I843">
        <v>177</v>
      </c>
      <c r="J843">
        <v>41359.589999999997</v>
      </c>
      <c r="K843">
        <f>IF(tblPO[[#This Row],[Actual_Delivery_Date]]&lt;=tblPO[[#This Row],[Expected_Delivery_Date]],1,0)</f>
        <v>1</v>
      </c>
      <c r="L843">
        <f>IF(tblPO[[#This Row],[Actual_Delivery_Date]]&gt;tblPO[[#This Row],[Expected_Delivery_Date]],1,0)</f>
        <v>0</v>
      </c>
      <c r="M843">
        <f>tblPO[[#This Row],[Actual_Delivery_Date]]-tblPO[[#This Row],[PO_Date]]</f>
        <v>21</v>
      </c>
    </row>
    <row r="844" spans="1:13" x14ac:dyDescent="0.3">
      <c r="A844" t="s">
        <v>1414</v>
      </c>
      <c r="B844" s="18">
        <v>45465</v>
      </c>
      <c r="C844" t="s">
        <v>44</v>
      </c>
      <c r="D844" t="s">
        <v>201</v>
      </c>
      <c r="E844">
        <v>138</v>
      </c>
      <c r="F844">
        <v>37.46</v>
      </c>
      <c r="G844" s="18">
        <v>45492</v>
      </c>
      <c r="H844" s="18">
        <v>45490</v>
      </c>
      <c r="I844">
        <v>138</v>
      </c>
      <c r="J844">
        <v>5169.4799999999996</v>
      </c>
      <c r="K844">
        <f>IF(tblPO[[#This Row],[Actual_Delivery_Date]]&lt;=tblPO[[#This Row],[Expected_Delivery_Date]],1,0)</f>
        <v>1</v>
      </c>
      <c r="L844">
        <f>IF(tblPO[[#This Row],[Actual_Delivery_Date]]&gt;tblPO[[#This Row],[Expected_Delivery_Date]],1,0)</f>
        <v>0</v>
      </c>
      <c r="M844">
        <f>tblPO[[#This Row],[Actual_Delivery_Date]]-tblPO[[#This Row],[PO_Date]]</f>
        <v>25</v>
      </c>
    </row>
    <row r="845" spans="1:13" x14ac:dyDescent="0.3">
      <c r="A845" t="s">
        <v>1413</v>
      </c>
      <c r="B845" s="18">
        <v>45459</v>
      </c>
      <c r="C845" t="s">
        <v>41</v>
      </c>
      <c r="D845" t="s">
        <v>195</v>
      </c>
      <c r="E845">
        <v>116</v>
      </c>
      <c r="F845">
        <v>578.91</v>
      </c>
      <c r="G845" s="18">
        <v>45471</v>
      </c>
      <c r="H845" s="18">
        <v>45468</v>
      </c>
      <c r="I845">
        <v>116</v>
      </c>
      <c r="J845">
        <v>67153.56</v>
      </c>
      <c r="K845">
        <f>IF(tblPO[[#This Row],[Actual_Delivery_Date]]&lt;=tblPO[[#This Row],[Expected_Delivery_Date]],1,0)</f>
        <v>1</v>
      </c>
      <c r="L845">
        <f>IF(tblPO[[#This Row],[Actual_Delivery_Date]]&gt;tblPO[[#This Row],[Expected_Delivery_Date]],1,0)</f>
        <v>0</v>
      </c>
      <c r="M845">
        <f>tblPO[[#This Row],[Actual_Delivery_Date]]-tblPO[[#This Row],[PO_Date]]</f>
        <v>9</v>
      </c>
    </row>
    <row r="846" spans="1:13" x14ac:dyDescent="0.3">
      <c r="A846" t="s">
        <v>1412</v>
      </c>
      <c r="B846" s="18">
        <v>45465</v>
      </c>
      <c r="C846" t="s">
        <v>46</v>
      </c>
      <c r="D846" t="s">
        <v>100</v>
      </c>
      <c r="E846">
        <v>6</v>
      </c>
      <c r="F846">
        <v>57964.08</v>
      </c>
      <c r="G846" s="18">
        <v>45482</v>
      </c>
      <c r="H846" s="18">
        <v>45479</v>
      </c>
      <c r="I846">
        <v>6</v>
      </c>
      <c r="J846">
        <v>347784.48</v>
      </c>
      <c r="K846">
        <f>IF(tblPO[[#This Row],[Actual_Delivery_Date]]&lt;=tblPO[[#This Row],[Expected_Delivery_Date]],1,0)</f>
        <v>1</v>
      </c>
      <c r="L846">
        <f>IF(tblPO[[#This Row],[Actual_Delivery_Date]]&gt;tblPO[[#This Row],[Expected_Delivery_Date]],1,0)</f>
        <v>0</v>
      </c>
      <c r="M846">
        <f>tblPO[[#This Row],[Actual_Delivery_Date]]-tblPO[[#This Row],[PO_Date]]</f>
        <v>14</v>
      </c>
    </row>
    <row r="847" spans="1:13" x14ac:dyDescent="0.3">
      <c r="A847" t="s">
        <v>1411</v>
      </c>
      <c r="B847" s="18">
        <v>45451</v>
      </c>
      <c r="C847" t="s">
        <v>50</v>
      </c>
      <c r="D847" t="s">
        <v>132</v>
      </c>
      <c r="E847">
        <v>21</v>
      </c>
      <c r="F847">
        <v>2840.15</v>
      </c>
      <c r="G847" s="18">
        <v>45457</v>
      </c>
      <c r="H847" s="18">
        <v>45457</v>
      </c>
      <c r="I847">
        <v>21</v>
      </c>
      <c r="J847">
        <v>59643.15</v>
      </c>
      <c r="K847">
        <f>IF(tblPO[[#This Row],[Actual_Delivery_Date]]&lt;=tblPO[[#This Row],[Expected_Delivery_Date]],1,0)</f>
        <v>1</v>
      </c>
      <c r="L847">
        <f>IF(tblPO[[#This Row],[Actual_Delivery_Date]]&gt;tblPO[[#This Row],[Expected_Delivery_Date]],1,0)</f>
        <v>0</v>
      </c>
      <c r="M847">
        <f>tblPO[[#This Row],[Actual_Delivery_Date]]-tblPO[[#This Row],[PO_Date]]</f>
        <v>6</v>
      </c>
    </row>
    <row r="848" spans="1:13" x14ac:dyDescent="0.3">
      <c r="A848" t="s">
        <v>1410</v>
      </c>
      <c r="B848" s="18">
        <v>45468</v>
      </c>
      <c r="C848" t="s">
        <v>47</v>
      </c>
      <c r="D848" t="s">
        <v>231</v>
      </c>
      <c r="E848">
        <v>21</v>
      </c>
      <c r="F848">
        <v>118.64</v>
      </c>
      <c r="G848" s="18">
        <v>45479</v>
      </c>
      <c r="H848" s="18">
        <v>45498</v>
      </c>
      <c r="I848">
        <v>21</v>
      </c>
      <c r="J848">
        <v>2491.44</v>
      </c>
      <c r="K848">
        <f>IF(tblPO[[#This Row],[Actual_Delivery_Date]]&lt;=tblPO[[#This Row],[Expected_Delivery_Date]],1,0)</f>
        <v>0</v>
      </c>
      <c r="L848">
        <f>IF(tblPO[[#This Row],[Actual_Delivery_Date]]&gt;tblPO[[#This Row],[Expected_Delivery_Date]],1,0)</f>
        <v>1</v>
      </c>
      <c r="M848">
        <f>tblPO[[#This Row],[Actual_Delivery_Date]]-tblPO[[#This Row],[PO_Date]]</f>
        <v>30</v>
      </c>
    </row>
    <row r="849" spans="1:13" x14ac:dyDescent="0.3">
      <c r="A849" t="s">
        <v>1409</v>
      </c>
      <c r="B849" s="18">
        <v>45466</v>
      </c>
      <c r="C849" t="s">
        <v>60</v>
      </c>
      <c r="D849" t="s">
        <v>125</v>
      </c>
      <c r="E849">
        <v>36</v>
      </c>
      <c r="F849">
        <v>689.71</v>
      </c>
      <c r="G849" s="18">
        <v>45470</v>
      </c>
      <c r="H849" s="18">
        <v>45483</v>
      </c>
      <c r="I849">
        <v>36</v>
      </c>
      <c r="J849">
        <v>24829.56</v>
      </c>
      <c r="K849">
        <f>IF(tblPO[[#This Row],[Actual_Delivery_Date]]&lt;=tblPO[[#This Row],[Expected_Delivery_Date]],1,0)</f>
        <v>0</v>
      </c>
      <c r="L849">
        <f>IF(tblPO[[#This Row],[Actual_Delivery_Date]]&gt;tblPO[[#This Row],[Expected_Delivery_Date]],1,0)</f>
        <v>1</v>
      </c>
      <c r="M849">
        <f>tblPO[[#This Row],[Actual_Delivery_Date]]-tblPO[[#This Row],[PO_Date]]</f>
        <v>17</v>
      </c>
    </row>
    <row r="850" spans="1:13" x14ac:dyDescent="0.3">
      <c r="A850" t="s">
        <v>1408</v>
      </c>
      <c r="B850" s="18">
        <v>45469</v>
      </c>
      <c r="C850" t="s">
        <v>49</v>
      </c>
      <c r="D850" t="s">
        <v>181</v>
      </c>
      <c r="E850">
        <v>316</v>
      </c>
      <c r="F850">
        <v>4.04</v>
      </c>
      <c r="G850" s="18">
        <v>45475</v>
      </c>
      <c r="H850" s="18">
        <v>45472</v>
      </c>
      <c r="I850">
        <v>316</v>
      </c>
      <c r="J850">
        <v>1276.6400000000001</v>
      </c>
      <c r="K850">
        <f>IF(tblPO[[#This Row],[Actual_Delivery_Date]]&lt;=tblPO[[#This Row],[Expected_Delivery_Date]],1,0)</f>
        <v>1</v>
      </c>
      <c r="L850">
        <f>IF(tblPO[[#This Row],[Actual_Delivery_Date]]&gt;tblPO[[#This Row],[Expected_Delivery_Date]],1,0)</f>
        <v>0</v>
      </c>
      <c r="M850">
        <f>tblPO[[#This Row],[Actual_Delivery_Date]]-tblPO[[#This Row],[PO_Date]]</f>
        <v>3</v>
      </c>
    </row>
    <row r="851" spans="1:13" x14ac:dyDescent="0.3">
      <c r="A851" t="s">
        <v>1407</v>
      </c>
      <c r="B851" s="18">
        <v>45473</v>
      </c>
      <c r="C851" t="s">
        <v>46</v>
      </c>
      <c r="D851" t="s">
        <v>106</v>
      </c>
      <c r="E851">
        <v>4</v>
      </c>
      <c r="F851">
        <v>23365.360000000001</v>
      </c>
      <c r="G851" s="18">
        <v>45496</v>
      </c>
      <c r="H851" s="18">
        <v>45495</v>
      </c>
      <c r="I851">
        <v>4</v>
      </c>
      <c r="J851">
        <v>93461.440000000002</v>
      </c>
      <c r="K851">
        <f>IF(tblPO[[#This Row],[Actual_Delivery_Date]]&lt;=tblPO[[#This Row],[Expected_Delivery_Date]],1,0)</f>
        <v>1</v>
      </c>
      <c r="L851">
        <f>IF(tblPO[[#This Row],[Actual_Delivery_Date]]&gt;tblPO[[#This Row],[Expected_Delivery_Date]],1,0)</f>
        <v>0</v>
      </c>
      <c r="M851">
        <f>tblPO[[#This Row],[Actual_Delivery_Date]]-tblPO[[#This Row],[PO_Date]]</f>
        <v>22</v>
      </c>
    </row>
    <row r="852" spans="1:13" x14ac:dyDescent="0.3">
      <c r="A852" t="s">
        <v>1406</v>
      </c>
      <c r="B852" s="18">
        <v>45471</v>
      </c>
      <c r="C852" t="s">
        <v>40</v>
      </c>
      <c r="D852" t="s">
        <v>117</v>
      </c>
      <c r="E852">
        <v>197</v>
      </c>
      <c r="F852">
        <v>336.16</v>
      </c>
      <c r="G852" s="18">
        <v>45477</v>
      </c>
      <c r="H852" s="18">
        <v>45476</v>
      </c>
      <c r="I852">
        <v>197</v>
      </c>
      <c r="J852">
        <v>66223.520000000004</v>
      </c>
      <c r="K852">
        <f>IF(tblPO[[#This Row],[Actual_Delivery_Date]]&lt;=tblPO[[#This Row],[Expected_Delivery_Date]],1,0)</f>
        <v>1</v>
      </c>
      <c r="L852">
        <f>IF(tblPO[[#This Row],[Actual_Delivery_Date]]&gt;tblPO[[#This Row],[Expected_Delivery_Date]],1,0)</f>
        <v>0</v>
      </c>
      <c r="M852">
        <f>tblPO[[#This Row],[Actual_Delivery_Date]]-tblPO[[#This Row],[PO_Date]]</f>
        <v>5</v>
      </c>
    </row>
    <row r="853" spans="1:13" x14ac:dyDescent="0.3">
      <c r="A853" t="s">
        <v>1405</v>
      </c>
      <c r="B853" s="18">
        <v>45458</v>
      </c>
      <c r="C853" t="s">
        <v>46</v>
      </c>
      <c r="D853" t="s">
        <v>106</v>
      </c>
      <c r="E853">
        <v>4</v>
      </c>
      <c r="F853">
        <v>22427.52</v>
      </c>
      <c r="G853" s="18">
        <v>45483</v>
      </c>
      <c r="H853" s="18">
        <v>45480</v>
      </c>
      <c r="I853">
        <v>4</v>
      </c>
      <c r="J853">
        <v>89710.080000000002</v>
      </c>
      <c r="K853">
        <f>IF(tblPO[[#This Row],[Actual_Delivery_Date]]&lt;=tblPO[[#This Row],[Expected_Delivery_Date]],1,0)</f>
        <v>1</v>
      </c>
      <c r="L853">
        <f>IF(tblPO[[#This Row],[Actual_Delivery_Date]]&gt;tblPO[[#This Row],[Expected_Delivery_Date]],1,0)</f>
        <v>0</v>
      </c>
      <c r="M853">
        <f>tblPO[[#This Row],[Actual_Delivery_Date]]-tblPO[[#This Row],[PO_Date]]</f>
        <v>22</v>
      </c>
    </row>
    <row r="854" spans="1:13" x14ac:dyDescent="0.3">
      <c r="A854" t="s">
        <v>1404</v>
      </c>
      <c r="B854" s="18">
        <v>45460</v>
      </c>
      <c r="C854" t="s">
        <v>50</v>
      </c>
      <c r="D854" t="s">
        <v>117</v>
      </c>
      <c r="E854">
        <v>83</v>
      </c>
      <c r="F854">
        <v>325.70999999999998</v>
      </c>
      <c r="G854" s="18">
        <v>45468</v>
      </c>
      <c r="H854" s="18">
        <v>45467</v>
      </c>
      <c r="I854">
        <v>83</v>
      </c>
      <c r="J854">
        <v>27033.93</v>
      </c>
      <c r="K854">
        <f>IF(tblPO[[#This Row],[Actual_Delivery_Date]]&lt;=tblPO[[#This Row],[Expected_Delivery_Date]],1,0)</f>
        <v>1</v>
      </c>
      <c r="L854">
        <f>IF(tblPO[[#This Row],[Actual_Delivery_Date]]&gt;tblPO[[#This Row],[Expected_Delivery_Date]],1,0)</f>
        <v>0</v>
      </c>
      <c r="M854">
        <f>tblPO[[#This Row],[Actual_Delivery_Date]]-tblPO[[#This Row],[PO_Date]]</f>
        <v>7</v>
      </c>
    </row>
    <row r="855" spans="1:13" x14ac:dyDescent="0.3">
      <c r="A855" t="s">
        <v>1403</v>
      </c>
      <c r="B855" s="18">
        <v>45451</v>
      </c>
      <c r="C855" t="s">
        <v>57</v>
      </c>
      <c r="D855" t="s">
        <v>197</v>
      </c>
      <c r="E855">
        <v>180</v>
      </c>
      <c r="F855">
        <v>265.8</v>
      </c>
      <c r="G855" s="18">
        <v>45467</v>
      </c>
      <c r="H855" s="18">
        <v>45467</v>
      </c>
      <c r="I855">
        <v>180</v>
      </c>
      <c r="J855">
        <v>47844</v>
      </c>
      <c r="K855">
        <f>IF(tblPO[[#This Row],[Actual_Delivery_Date]]&lt;=tblPO[[#This Row],[Expected_Delivery_Date]],1,0)</f>
        <v>1</v>
      </c>
      <c r="L855">
        <f>IF(tblPO[[#This Row],[Actual_Delivery_Date]]&gt;tblPO[[#This Row],[Expected_Delivery_Date]],1,0)</f>
        <v>0</v>
      </c>
      <c r="M855">
        <f>tblPO[[#This Row],[Actual_Delivery_Date]]-tblPO[[#This Row],[PO_Date]]</f>
        <v>16</v>
      </c>
    </row>
    <row r="856" spans="1:13" x14ac:dyDescent="0.3">
      <c r="A856" t="s">
        <v>1402</v>
      </c>
      <c r="B856" s="18">
        <v>45473</v>
      </c>
      <c r="C856" t="s">
        <v>65</v>
      </c>
      <c r="D856" t="s">
        <v>205</v>
      </c>
      <c r="E856">
        <v>115</v>
      </c>
      <c r="F856">
        <v>419.39</v>
      </c>
      <c r="G856" s="18">
        <v>45489</v>
      </c>
      <c r="H856" s="18">
        <v>45488</v>
      </c>
      <c r="I856">
        <v>115</v>
      </c>
      <c r="J856">
        <v>48229.85</v>
      </c>
      <c r="K856">
        <f>IF(tblPO[[#This Row],[Actual_Delivery_Date]]&lt;=tblPO[[#This Row],[Expected_Delivery_Date]],1,0)</f>
        <v>1</v>
      </c>
      <c r="L856">
        <f>IF(tblPO[[#This Row],[Actual_Delivery_Date]]&gt;tblPO[[#This Row],[Expected_Delivery_Date]],1,0)</f>
        <v>0</v>
      </c>
      <c r="M856">
        <f>tblPO[[#This Row],[Actual_Delivery_Date]]-tblPO[[#This Row],[PO_Date]]</f>
        <v>15</v>
      </c>
    </row>
    <row r="857" spans="1:13" x14ac:dyDescent="0.3">
      <c r="A857" t="s">
        <v>1401</v>
      </c>
      <c r="B857" s="18">
        <v>45466</v>
      </c>
      <c r="C857" t="s">
        <v>41</v>
      </c>
      <c r="D857" t="s">
        <v>195</v>
      </c>
      <c r="E857">
        <v>12</v>
      </c>
      <c r="F857">
        <v>581.04</v>
      </c>
      <c r="G857" s="18">
        <v>45471</v>
      </c>
      <c r="H857" s="18">
        <v>45470</v>
      </c>
      <c r="I857">
        <v>12</v>
      </c>
      <c r="J857">
        <v>6972.48</v>
      </c>
      <c r="K857">
        <f>IF(tblPO[[#This Row],[Actual_Delivery_Date]]&lt;=tblPO[[#This Row],[Expected_Delivery_Date]],1,0)</f>
        <v>1</v>
      </c>
      <c r="L857">
        <f>IF(tblPO[[#This Row],[Actual_Delivery_Date]]&gt;tblPO[[#This Row],[Expected_Delivery_Date]],1,0)</f>
        <v>0</v>
      </c>
      <c r="M857">
        <f>tblPO[[#This Row],[Actual_Delivery_Date]]-tblPO[[#This Row],[PO_Date]]</f>
        <v>4</v>
      </c>
    </row>
    <row r="858" spans="1:13" x14ac:dyDescent="0.3">
      <c r="A858" t="s">
        <v>1400</v>
      </c>
      <c r="B858" s="18">
        <v>45456</v>
      </c>
      <c r="C858" t="s">
        <v>49</v>
      </c>
      <c r="D858" t="s">
        <v>183</v>
      </c>
      <c r="E858">
        <v>112</v>
      </c>
      <c r="F858">
        <v>10.28</v>
      </c>
      <c r="G858" s="18">
        <v>45460</v>
      </c>
      <c r="H858" s="18">
        <v>45458</v>
      </c>
      <c r="I858">
        <v>112</v>
      </c>
      <c r="J858">
        <v>1151.3599999999999</v>
      </c>
      <c r="K858">
        <f>IF(tblPO[[#This Row],[Actual_Delivery_Date]]&lt;=tblPO[[#This Row],[Expected_Delivery_Date]],1,0)</f>
        <v>1</v>
      </c>
      <c r="L858">
        <f>IF(tblPO[[#This Row],[Actual_Delivery_Date]]&gt;tblPO[[#This Row],[Expected_Delivery_Date]],1,0)</f>
        <v>0</v>
      </c>
      <c r="M858">
        <f>tblPO[[#This Row],[Actual_Delivery_Date]]-tblPO[[#This Row],[PO_Date]]</f>
        <v>2</v>
      </c>
    </row>
    <row r="859" spans="1:13" x14ac:dyDescent="0.3">
      <c r="A859" t="s">
        <v>1399</v>
      </c>
      <c r="B859" s="18">
        <v>45469</v>
      </c>
      <c r="C859" t="s">
        <v>56</v>
      </c>
      <c r="D859" t="s">
        <v>142</v>
      </c>
      <c r="E859">
        <v>192</v>
      </c>
      <c r="F859">
        <v>168.19</v>
      </c>
      <c r="G859" s="18">
        <v>45481</v>
      </c>
      <c r="H859" s="18">
        <v>45480</v>
      </c>
      <c r="I859">
        <v>192</v>
      </c>
      <c r="J859">
        <v>32292.48</v>
      </c>
      <c r="K859">
        <f>IF(tblPO[[#This Row],[Actual_Delivery_Date]]&lt;=tblPO[[#This Row],[Expected_Delivery_Date]],1,0)</f>
        <v>1</v>
      </c>
      <c r="L859">
        <f>IF(tblPO[[#This Row],[Actual_Delivery_Date]]&gt;tblPO[[#This Row],[Expected_Delivery_Date]],1,0)</f>
        <v>0</v>
      </c>
      <c r="M859">
        <f>tblPO[[#This Row],[Actual_Delivery_Date]]-tblPO[[#This Row],[PO_Date]]</f>
        <v>11</v>
      </c>
    </row>
    <row r="860" spans="1:13" x14ac:dyDescent="0.3">
      <c r="A860" t="s">
        <v>1398</v>
      </c>
      <c r="B860" s="18">
        <v>45470</v>
      </c>
      <c r="C860" t="s">
        <v>59</v>
      </c>
      <c r="D860" t="s">
        <v>100</v>
      </c>
      <c r="E860">
        <v>1</v>
      </c>
      <c r="F860">
        <v>34854.92</v>
      </c>
      <c r="G860" s="18">
        <v>45481</v>
      </c>
      <c r="H860" s="18">
        <v>45496</v>
      </c>
      <c r="I860">
        <v>1</v>
      </c>
      <c r="J860">
        <v>34854.92</v>
      </c>
      <c r="K860">
        <f>IF(tblPO[[#This Row],[Actual_Delivery_Date]]&lt;=tblPO[[#This Row],[Expected_Delivery_Date]],1,0)</f>
        <v>0</v>
      </c>
      <c r="L860">
        <f>IF(tblPO[[#This Row],[Actual_Delivery_Date]]&gt;tblPO[[#This Row],[Expected_Delivery_Date]],1,0)</f>
        <v>1</v>
      </c>
      <c r="M860">
        <f>tblPO[[#This Row],[Actual_Delivery_Date]]-tblPO[[#This Row],[PO_Date]]</f>
        <v>26</v>
      </c>
    </row>
    <row r="861" spans="1:13" x14ac:dyDescent="0.3">
      <c r="A861" t="s">
        <v>1397</v>
      </c>
      <c r="B861" s="18">
        <v>45450</v>
      </c>
      <c r="C861" t="s">
        <v>62</v>
      </c>
      <c r="D861" t="s">
        <v>185</v>
      </c>
      <c r="E861">
        <v>1418</v>
      </c>
      <c r="F861">
        <v>7.84</v>
      </c>
      <c r="G861" s="18">
        <v>45467</v>
      </c>
      <c r="H861" s="18">
        <v>45467</v>
      </c>
      <c r="I861">
        <v>1418</v>
      </c>
      <c r="J861">
        <v>11117.12</v>
      </c>
      <c r="K861">
        <f>IF(tblPO[[#This Row],[Actual_Delivery_Date]]&lt;=tblPO[[#This Row],[Expected_Delivery_Date]],1,0)</f>
        <v>1</v>
      </c>
      <c r="L861">
        <f>IF(tblPO[[#This Row],[Actual_Delivery_Date]]&gt;tblPO[[#This Row],[Expected_Delivery_Date]],1,0)</f>
        <v>0</v>
      </c>
      <c r="M861">
        <f>tblPO[[#This Row],[Actual_Delivery_Date]]-tblPO[[#This Row],[PO_Date]]</f>
        <v>17</v>
      </c>
    </row>
    <row r="862" spans="1:13" x14ac:dyDescent="0.3">
      <c r="A862" t="s">
        <v>1396</v>
      </c>
      <c r="B862" s="18">
        <v>45461</v>
      </c>
      <c r="C862" t="s">
        <v>64</v>
      </c>
      <c r="D862" t="s">
        <v>113</v>
      </c>
      <c r="E862">
        <v>19</v>
      </c>
      <c r="F862">
        <v>330.67</v>
      </c>
      <c r="G862" s="18">
        <v>45474</v>
      </c>
      <c r="H862" s="18">
        <v>45472</v>
      </c>
      <c r="I862">
        <v>19</v>
      </c>
      <c r="J862">
        <v>6282.73</v>
      </c>
      <c r="K862">
        <f>IF(tblPO[[#This Row],[Actual_Delivery_Date]]&lt;=tblPO[[#This Row],[Expected_Delivery_Date]],1,0)</f>
        <v>1</v>
      </c>
      <c r="L862">
        <f>IF(tblPO[[#This Row],[Actual_Delivery_Date]]&gt;tblPO[[#This Row],[Expected_Delivery_Date]],1,0)</f>
        <v>0</v>
      </c>
      <c r="M862">
        <f>tblPO[[#This Row],[Actual_Delivery_Date]]-tblPO[[#This Row],[PO_Date]]</f>
        <v>11</v>
      </c>
    </row>
    <row r="863" spans="1:13" x14ac:dyDescent="0.3">
      <c r="A863" t="s">
        <v>1395</v>
      </c>
      <c r="B863" s="18">
        <v>45460</v>
      </c>
      <c r="C863" t="s">
        <v>53</v>
      </c>
      <c r="D863" t="s">
        <v>94</v>
      </c>
      <c r="E863">
        <v>33</v>
      </c>
      <c r="F863">
        <v>474.65</v>
      </c>
      <c r="G863" s="18">
        <v>45489</v>
      </c>
      <c r="H863" s="18">
        <v>45488</v>
      </c>
      <c r="I863">
        <v>33</v>
      </c>
      <c r="J863">
        <v>15663.45</v>
      </c>
      <c r="K863">
        <f>IF(tblPO[[#This Row],[Actual_Delivery_Date]]&lt;=tblPO[[#This Row],[Expected_Delivery_Date]],1,0)</f>
        <v>1</v>
      </c>
      <c r="L863">
        <f>IF(tblPO[[#This Row],[Actual_Delivery_Date]]&gt;tblPO[[#This Row],[Expected_Delivery_Date]],1,0)</f>
        <v>0</v>
      </c>
      <c r="M863">
        <f>tblPO[[#This Row],[Actual_Delivery_Date]]-tblPO[[#This Row],[PO_Date]]</f>
        <v>28</v>
      </c>
    </row>
    <row r="864" spans="1:13" x14ac:dyDescent="0.3">
      <c r="A864" t="s">
        <v>1394</v>
      </c>
      <c r="B864" s="18">
        <v>45462</v>
      </c>
      <c r="C864" t="s">
        <v>38</v>
      </c>
      <c r="D864" t="s">
        <v>241</v>
      </c>
      <c r="E864">
        <v>19</v>
      </c>
      <c r="F864">
        <v>3078</v>
      </c>
      <c r="G864" s="18">
        <v>45473</v>
      </c>
      <c r="H864" s="18">
        <v>45472</v>
      </c>
      <c r="I864">
        <v>19</v>
      </c>
      <c r="J864">
        <v>58482</v>
      </c>
      <c r="K864">
        <f>IF(tblPO[[#This Row],[Actual_Delivery_Date]]&lt;=tblPO[[#This Row],[Expected_Delivery_Date]],1,0)</f>
        <v>1</v>
      </c>
      <c r="L864">
        <f>IF(tblPO[[#This Row],[Actual_Delivery_Date]]&gt;tblPO[[#This Row],[Expected_Delivery_Date]],1,0)</f>
        <v>0</v>
      </c>
      <c r="M864">
        <f>tblPO[[#This Row],[Actual_Delivery_Date]]-tblPO[[#This Row],[PO_Date]]</f>
        <v>10</v>
      </c>
    </row>
    <row r="865" spans="1:13" x14ac:dyDescent="0.3">
      <c r="A865" t="s">
        <v>1393</v>
      </c>
      <c r="B865" s="18">
        <v>45470</v>
      </c>
      <c r="C865" t="s">
        <v>40</v>
      </c>
      <c r="D865" t="s">
        <v>125</v>
      </c>
      <c r="E865">
        <v>25</v>
      </c>
      <c r="F865">
        <v>966.41</v>
      </c>
      <c r="G865" s="18">
        <v>45484</v>
      </c>
      <c r="H865" s="18">
        <v>45483</v>
      </c>
      <c r="I865">
        <v>25</v>
      </c>
      <c r="J865">
        <v>24160.25</v>
      </c>
      <c r="K865">
        <f>IF(tblPO[[#This Row],[Actual_Delivery_Date]]&lt;=tblPO[[#This Row],[Expected_Delivery_Date]],1,0)</f>
        <v>1</v>
      </c>
      <c r="L865">
        <f>IF(tblPO[[#This Row],[Actual_Delivery_Date]]&gt;tblPO[[#This Row],[Expected_Delivery_Date]],1,0)</f>
        <v>0</v>
      </c>
      <c r="M865">
        <f>tblPO[[#This Row],[Actual_Delivery_Date]]-tblPO[[#This Row],[PO_Date]]</f>
        <v>13</v>
      </c>
    </row>
    <row r="866" spans="1:13" x14ac:dyDescent="0.3">
      <c r="A866" t="s">
        <v>1392</v>
      </c>
      <c r="B866" s="18">
        <v>45467</v>
      </c>
      <c r="C866" t="s">
        <v>45</v>
      </c>
      <c r="D866" t="s">
        <v>245</v>
      </c>
      <c r="E866">
        <v>20</v>
      </c>
      <c r="F866">
        <v>3973.64</v>
      </c>
      <c r="G866" s="18">
        <v>45470</v>
      </c>
      <c r="H866" s="18">
        <v>45468</v>
      </c>
      <c r="I866">
        <v>20</v>
      </c>
      <c r="J866">
        <v>79472.800000000003</v>
      </c>
      <c r="K866">
        <f>IF(tblPO[[#This Row],[Actual_Delivery_Date]]&lt;=tblPO[[#This Row],[Expected_Delivery_Date]],1,0)</f>
        <v>1</v>
      </c>
      <c r="L866">
        <f>IF(tblPO[[#This Row],[Actual_Delivery_Date]]&gt;tblPO[[#This Row],[Expected_Delivery_Date]],1,0)</f>
        <v>0</v>
      </c>
      <c r="M866">
        <f>tblPO[[#This Row],[Actual_Delivery_Date]]-tblPO[[#This Row],[PO_Date]]</f>
        <v>1</v>
      </c>
    </row>
    <row r="867" spans="1:13" x14ac:dyDescent="0.3">
      <c r="A867" t="s">
        <v>1391</v>
      </c>
      <c r="B867" s="18">
        <v>45465</v>
      </c>
      <c r="C867" t="s">
        <v>41</v>
      </c>
      <c r="D867" t="s">
        <v>190</v>
      </c>
      <c r="E867">
        <v>170</v>
      </c>
      <c r="F867">
        <v>110.98</v>
      </c>
      <c r="G867" s="18">
        <v>45475</v>
      </c>
      <c r="H867" s="18">
        <v>45474</v>
      </c>
      <c r="I867">
        <v>170</v>
      </c>
      <c r="J867">
        <v>18866.599999999999</v>
      </c>
      <c r="K867">
        <f>IF(tblPO[[#This Row],[Actual_Delivery_Date]]&lt;=tblPO[[#This Row],[Expected_Delivery_Date]],1,0)</f>
        <v>1</v>
      </c>
      <c r="L867">
        <f>IF(tblPO[[#This Row],[Actual_Delivery_Date]]&gt;tblPO[[#This Row],[Expected_Delivery_Date]],1,0)</f>
        <v>0</v>
      </c>
      <c r="M867">
        <f>tblPO[[#This Row],[Actual_Delivery_Date]]-tblPO[[#This Row],[PO_Date]]</f>
        <v>9</v>
      </c>
    </row>
    <row r="868" spans="1:13" x14ac:dyDescent="0.3">
      <c r="A868" t="s">
        <v>1390</v>
      </c>
      <c r="B868" s="18">
        <v>45448</v>
      </c>
      <c r="C868" t="s">
        <v>53</v>
      </c>
      <c r="D868" t="s">
        <v>84</v>
      </c>
      <c r="E868">
        <v>182</v>
      </c>
      <c r="F868">
        <v>216.41</v>
      </c>
      <c r="G868" s="18">
        <v>45472</v>
      </c>
      <c r="H868" s="18">
        <v>45470</v>
      </c>
      <c r="I868">
        <v>182</v>
      </c>
      <c r="J868">
        <v>39386.620000000003</v>
      </c>
      <c r="K868">
        <f>IF(tblPO[[#This Row],[Actual_Delivery_Date]]&lt;=tblPO[[#This Row],[Expected_Delivery_Date]],1,0)</f>
        <v>1</v>
      </c>
      <c r="L868">
        <f>IF(tblPO[[#This Row],[Actual_Delivery_Date]]&gt;tblPO[[#This Row],[Expected_Delivery_Date]],1,0)</f>
        <v>0</v>
      </c>
      <c r="M868">
        <f>tblPO[[#This Row],[Actual_Delivery_Date]]-tblPO[[#This Row],[PO_Date]]</f>
        <v>22</v>
      </c>
    </row>
    <row r="869" spans="1:13" x14ac:dyDescent="0.3">
      <c r="A869" t="s">
        <v>1389</v>
      </c>
      <c r="B869" s="18">
        <v>45458</v>
      </c>
      <c r="C869" t="s">
        <v>54</v>
      </c>
      <c r="D869" t="s">
        <v>193</v>
      </c>
      <c r="E869">
        <v>419</v>
      </c>
      <c r="F869">
        <v>27.48</v>
      </c>
      <c r="G869" s="18">
        <v>45464</v>
      </c>
      <c r="H869" s="18">
        <v>45464</v>
      </c>
      <c r="I869">
        <v>419</v>
      </c>
      <c r="J869">
        <v>11514.12</v>
      </c>
      <c r="K869">
        <f>IF(tblPO[[#This Row],[Actual_Delivery_Date]]&lt;=tblPO[[#This Row],[Expected_Delivery_Date]],1,0)</f>
        <v>1</v>
      </c>
      <c r="L869">
        <f>IF(tblPO[[#This Row],[Actual_Delivery_Date]]&gt;tblPO[[#This Row],[Expected_Delivery_Date]],1,0)</f>
        <v>0</v>
      </c>
      <c r="M869">
        <f>tblPO[[#This Row],[Actual_Delivery_Date]]-tblPO[[#This Row],[PO_Date]]</f>
        <v>6</v>
      </c>
    </row>
    <row r="870" spans="1:13" x14ac:dyDescent="0.3">
      <c r="A870" t="s">
        <v>1388</v>
      </c>
      <c r="B870" s="18">
        <v>45472</v>
      </c>
      <c r="C870" t="s">
        <v>58</v>
      </c>
      <c r="D870" t="s">
        <v>174</v>
      </c>
      <c r="E870">
        <v>485</v>
      </c>
      <c r="F870">
        <v>44.11</v>
      </c>
      <c r="G870" s="18">
        <v>45488</v>
      </c>
      <c r="H870" s="18">
        <v>45488</v>
      </c>
      <c r="I870">
        <v>462</v>
      </c>
      <c r="J870">
        <v>21393.35</v>
      </c>
      <c r="K870">
        <f>IF(tblPO[[#This Row],[Actual_Delivery_Date]]&lt;=tblPO[[#This Row],[Expected_Delivery_Date]],1,0)</f>
        <v>1</v>
      </c>
      <c r="L870">
        <f>IF(tblPO[[#This Row],[Actual_Delivery_Date]]&gt;tblPO[[#This Row],[Expected_Delivery_Date]],1,0)</f>
        <v>0</v>
      </c>
      <c r="M870">
        <f>tblPO[[#This Row],[Actual_Delivery_Date]]-tblPO[[#This Row],[PO_Date]]</f>
        <v>16</v>
      </c>
    </row>
    <row r="871" spans="1:13" x14ac:dyDescent="0.3">
      <c r="A871" t="s">
        <v>1387</v>
      </c>
      <c r="B871" s="18">
        <v>45468</v>
      </c>
      <c r="C871" t="s">
        <v>44</v>
      </c>
      <c r="D871" t="s">
        <v>197</v>
      </c>
      <c r="E871">
        <v>142</v>
      </c>
      <c r="F871">
        <v>231.22</v>
      </c>
      <c r="G871" s="18">
        <v>45492</v>
      </c>
      <c r="H871" s="18">
        <v>45507</v>
      </c>
      <c r="I871">
        <v>142</v>
      </c>
      <c r="J871">
        <v>32833.24</v>
      </c>
      <c r="K871">
        <f>IF(tblPO[[#This Row],[Actual_Delivery_Date]]&lt;=tblPO[[#This Row],[Expected_Delivery_Date]],1,0)</f>
        <v>0</v>
      </c>
      <c r="L871">
        <f>IF(tblPO[[#This Row],[Actual_Delivery_Date]]&gt;tblPO[[#This Row],[Expected_Delivery_Date]],1,0)</f>
        <v>1</v>
      </c>
      <c r="M871">
        <f>tblPO[[#This Row],[Actual_Delivery_Date]]-tblPO[[#This Row],[PO_Date]]</f>
        <v>39</v>
      </c>
    </row>
    <row r="872" spans="1:13" x14ac:dyDescent="0.3">
      <c r="A872" t="s">
        <v>1386</v>
      </c>
      <c r="B872" s="18">
        <v>45473</v>
      </c>
      <c r="C872" t="s">
        <v>59</v>
      </c>
      <c r="D872" t="s">
        <v>98</v>
      </c>
      <c r="E872">
        <v>24</v>
      </c>
      <c r="F872">
        <v>6394.28</v>
      </c>
      <c r="G872" s="18">
        <v>45491</v>
      </c>
      <c r="H872" s="18">
        <v>45495</v>
      </c>
      <c r="I872">
        <v>24</v>
      </c>
      <c r="J872">
        <v>153462.72</v>
      </c>
      <c r="K872">
        <f>IF(tblPO[[#This Row],[Actual_Delivery_Date]]&lt;=tblPO[[#This Row],[Expected_Delivery_Date]],1,0)</f>
        <v>0</v>
      </c>
      <c r="L872">
        <f>IF(tblPO[[#This Row],[Actual_Delivery_Date]]&gt;tblPO[[#This Row],[Expected_Delivery_Date]],1,0)</f>
        <v>1</v>
      </c>
      <c r="M872">
        <f>tblPO[[#This Row],[Actual_Delivery_Date]]-tblPO[[#This Row],[PO_Date]]</f>
        <v>22</v>
      </c>
    </row>
    <row r="873" spans="1:13" x14ac:dyDescent="0.3">
      <c r="A873" t="s">
        <v>1385</v>
      </c>
      <c r="B873" s="18">
        <v>45466</v>
      </c>
      <c r="C873" t="s">
        <v>62</v>
      </c>
      <c r="D873" t="s">
        <v>205</v>
      </c>
      <c r="E873">
        <v>134</v>
      </c>
      <c r="F873">
        <v>418.69</v>
      </c>
      <c r="G873" s="18">
        <v>45483</v>
      </c>
      <c r="H873" s="18">
        <v>45480</v>
      </c>
      <c r="I873">
        <v>134</v>
      </c>
      <c r="J873">
        <v>56104.46</v>
      </c>
      <c r="K873">
        <f>IF(tblPO[[#This Row],[Actual_Delivery_Date]]&lt;=tblPO[[#This Row],[Expected_Delivery_Date]],1,0)</f>
        <v>1</v>
      </c>
      <c r="L873">
        <f>IF(tblPO[[#This Row],[Actual_Delivery_Date]]&gt;tblPO[[#This Row],[Expected_Delivery_Date]],1,0)</f>
        <v>0</v>
      </c>
      <c r="M873">
        <f>tblPO[[#This Row],[Actual_Delivery_Date]]-tblPO[[#This Row],[PO_Date]]</f>
        <v>14</v>
      </c>
    </row>
    <row r="874" spans="1:13" x14ac:dyDescent="0.3">
      <c r="A874" t="s">
        <v>1384</v>
      </c>
      <c r="B874" s="18">
        <v>45461</v>
      </c>
      <c r="C874" t="s">
        <v>49</v>
      </c>
      <c r="D874" t="s">
        <v>195</v>
      </c>
      <c r="E874">
        <v>50</v>
      </c>
      <c r="F874">
        <v>570.78</v>
      </c>
      <c r="G874" s="18">
        <v>45475</v>
      </c>
      <c r="H874" s="18">
        <v>45476</v>
      </c>
      <c r="I874">
        <v>50</v>
      </c>
      <c r="J874">
        <v>28539</v>
      </c>
      <c r="K874">
        <f>IF(tblPO[[#This Row],[Actual_Delivery_Date]]&lt;=tblPO[[#This Row],[Expected_Delivery_Date]],1,0)</f>
        <v>0</v>
      </c>
      <c r="L874">
        <f>IF(tblPO[[#This Row],[Actual_Delivery_Date]]&gt;tblPO[[#This Row],[Expected_Delivery_Date]],1,0)</f>
        <v>1</v>
      </c>
      <c r="M874">
        <f>tblPO[[#This Row],[Actual_Delivery_Date]]-tblPO[[#This Row],[PO_Date]]</f>
        <v>15</v>
      </c>
    </row>
    <row r="875" spans="1:13" x14ac:dyDescent="0.3">
      <c r="A875" t="s">
        <v>1383</v>
      </c>
      <c r="B875" s="18">
        <v>45462</v>
      </c>
      <c r="C875" t="s">
        <v>58</v>
      </c>
      <c r="D875" t="s">
        <v>164</v>
      </c>
      <c r="E875">
        <v>104</v>
      </c>
      <c r="F875">
        <v>145.32</v>
      </c>
      <c r="G875" s="18">
        <v>45483</v>
      </c>
      <c r="H875" s="18">
        <v>45481</v>
      </c>
      <c r="I875">
        <v>104</v>
      </c>
      <c r="J875">
        <v>15113.28</v>
      </c>
      <c r="K875">
        <f>IF(tblPO[[#This Row],[Actual_Delivery_Date]]&lt;=tblPO[[#This Row],[Expected_Delivery_Date]],1,0)</f>
        <v>1</v>
      </c>
      <c r="L875">
        <f>IF(tblPO[[#This Row],[Actual_Delivery_Date]]&gt;tblPO[[#This Row],[Expected_Delivery_Date]],1,0)</f>
        <v>0</v>
      </c>
      <c r="M875">
        <f>tblPO[[#This Row],[Actual_Delivery_Date]]-tblPO[[#This Row],[PO_Date]]</f>
        <v>19</v>
      </c>
    </row>
    <row r="876" spans="1:13" x14ac:dyDescent="0.3">
      <c r="A876" t="s">
        <v>1382</v>
      </c>
      <c r="B876" s="18">
        <v>45453</v>
      </c>
      <c r="C876" t="s">
        <v>41</v>
      </c>
      <c r="D876" t="s">
        <v>201</v>
      </c>
      <c r="E876">
        <v>360</v>
      </c>
      <c r="F876">
        <v>43.03</v>
      </c>
      <c r="G876" s="18">
        <v>45471</v>
      </c>
      <c r="H876" s="18">
        <v>45469</v>
      </c>
      <c r="I876">
        <v>360</v>
      </c>
      <c r="J876">
        <v>15490.8</v>
      </c>
      <c r="K876">
        <f>IF(tblPO[[#This Row],[Actual_Delivery_Date]]&lt;=tblPO[[#This Row],[Expected_Delivery_Date]],1,0)</f>
        <v>1</v>
      </c>
      <c r="L876">
        <f>IF(tblPO[[#This Row],[Actual_Delivery_Date]]&gt;tblPO[[#This Row],[Expected_Delivery_Date]],1,0)</f>
        <v>0</v>
      </c>
      <c r="M876">
        <f>tblPO[[#This Row],[Actual_Delivery_Date]]-tblPO[[#This Row],[PO_Date]]</f>
        <v>16</v>
      </c>
    </row>
    <row r="877" spans="1:13" x14ac:dyDescent="0.3">
      <c r="A877" t="s">
        <v>1381</v>
      </c>
      <c r="B877" s="18">
        <v>45472</v>
      </c>
      <c r="C877" t="s">
        <v>41</v>
      </c>
      <c r="D877" t="s">
        <v>190</v>
      </c>
      <c r="E877">
        <v>88</v>
      </c>
      <c r="F877">
        <v>109.71</v>
      </c>
      <c r="G877" s="18">
        <v>45484</v>
      </c>
      <c r="H877" s="18">
        <v>45484</v>
      </c>
      <c r="I877">
        <v>82</v>
      </c>
      <c r="J877">
        <v>9654.48</v>
      </c>
      <c r="K877">
        <f>IF(tblPO[[#This Row],[Actual_Delivery_Date]]&lt;=tblPO[[#This Row],[Expected_Delivery_Date]],1,0)</f>
        <v>1</v>
      </c>
      <c r="L877">
        <f>IF(tblPO[[#This Row],[Actual_Delivery_Date]]&gt;tblPO[[#This Row],[Expected_Delivery_Date]],1,0)</f>
        <v>0</v>
      </c>
      <c r="M877">
        <f>tblPO[[#This Row],[Actual_Delivery_Date]]-tblPO[[#This Row],[PO_Date]]</f>
        <v>12</v>
      </c>
    </row>
    <row r="878" spans="1:13" x14ac:dyDescent="0.3">
      <c r="A878" t="s">
        <v>1380</v>
      </c>
      <c r="B878" s="18">
        <v>45459</v>
      </c>
      <c r="C878" t="s">
        <v>39</v>
      </c>
      <c r="D878" t="s">
        <v>174</v>
      </c>
      <c r="E878">
        <v>477</v>
      </c>
      <c r="F878">
        <v>46.17</v>
      </c>
      <c r="G878" s="18">
        <v>45489</v>
      </c>
      <c r="H878" s="18">
        <v>45489</v>
      </c>
      <c r="I878">
        <v>477</v>
      </c>
      <c r="J878">
        <v>22023.09</v>
      </c>
      <c r="K878">
        <f>IF(tblPO[[#This Row],[Actual_Delivery_Date]]&lt;=tblPO[[#This Row],[Expected_Delivery_Date]],1,0)</f>
        <v>1</v>
      </c>
      <c r="L878">
        <f>IF(tblPO[[#This Row],[Actual_Delivery_Date]]&gt;tblPO[[#This Row],[Expected_Delivery_Date]],1,0)</f>
        <v>0</v>
      </c>
      <c r="M878">
        <f>tblPO[[#This Row],[Actual_Delivery_Date]]-tblPO[[#This Row],[PO_Date]]</f>
        <v>30</v>
      </c>
    </row>
    <row r="879" spans="1:13" x14ac:dyDescent="0.3">
      <c r="A879" t="s">
        <v>1379</v>
      </c>
      <c r="B879" s="18">
        <v>45470</v>
      </c>
      <c r="C879" t="s">
        <v>51</v>
      </c>
      <c r="D879" t="s">
        <v>152</v>
      </c>
      <c r="E879">
        <v>787</v>
      </c>
      <c r="F879">
        <v>74.069999999999993</v>
      </c>
      <c r="G879" s="18">
        <v>45477</v>
      </c>
      <c r="H879" s="18">
        <v>45477</v>
      </c>
      <c r="I879">
        <v>787</v>
      </c>
      <c r="J879">
        <v>58293.09</v>
      </c>
      <c r="K879">
        <f>IF(tblPO[[#This Row],[Actual_Delivery_Date]]&lt;=tblPO[[#This Row],[Expected_Delivery_Date]],1,0)</f>
        <v>1</v>
      </c>
      <c r="L879">
        <f>IF(tblPO[[#This Row],[Actual_Delivery_Date]]&gt;tblPO[[#This Row],[Expected_Delivery_Date]],1,0)</f>
        <v>0</v>
      </c>
      <c r="M879">
        <f>tblPO[[#This Row],[Actual_Delivery_Date]]-tblPO[[#This Row],[PO_Date]]</f>
        <v>7</v>
      </c>
    </row>
    <row r="880" spans="1:13" x14ac:dyDescent="0.3">
      <c r="A880" t="s">
        <v>1378</v>
      </c>
      <c r="B880" s="18">
        <v>45454</v>
      </c>
      <c r="C880" t="s">
        <v>41</v>
      </c>
      <c r="D880" t="s">
        <v>188</v>
      </c>
      <c r="E880">
        <v>795</v>
      </c>
      <c r="F880">
        <v>34.82</v>
      </c>
      <c r="G880" s="18">
        <v>45459</v>
      </c>
      <c r="H880" s="18">
        <v>45459</v>
      </c>
      <c r="I880">
        <v>795</v>
      </c>
      <c r="J880">
        <v>27681.9</v>
      </c>
      <c r="K880">
        <f>IF(tblPO[[#This Row],[Actual_Delivery_Date]]&lt;=tblPO[[#This Row],[Expected_Delivery_Date]],1,0)</f>
        <v>1</v>
      </c>
      <c r="L880">
        <f>IF(tblPO[[#This Row],[Actual_Delivery_Date]]&gt;tblPO[[#This Row],[Expected_Delivery_Date]],1,0)</f>
        <v>0</v>
      </c>
      <c r="M880">
        <f>tblPO[[#This Row],[Actual_Delivery_Date]]-tblPO[[#This Row],[PO_Date]]</f>
        <v>5</v>
      </c>
    </row>
    <row r="881" spans="1:13" x14ac:dyDescent="0.3">
      <c r="A881" t="s">
        <v>1377</v>
      </c>
      <c r="B881" s="18">
        <v>45445</v>
      </c>
      <c r="C881" t="s">
        <v>41</v>
      </c>
      <c r="D881" t="s">
        <v>179</v>
      </c>
      <c r="E881">
        <v>603</v>
      </c>
      <c r="F881">
        <v>20.07</v>
      </c>
      <c r="G881" s="18">
        <v>45462</v>
      </c>
      <c r="H881" s="18">
        <v>45459</v>
      </c>
      <c r="I881">
        <v>603</v>
      </c>
      <c r="J881">
        <v>12102.21</v>
      </c>
      <c r="K881">
        <f>IF(tblPO[[#This Row],[Actual_Delivery_Date]]&lt;=tblPO[[#This Row],[Expected_Delivery_Date]],1,0)</f>
        <v>1</v>
      </c>
      <c r="L881">
        <f>IF(tblPO[[#This Row],[Actual_Delivery_Date]]&gt;tblPO[[#This Row],[Expected_Delivery_Date]],1,0)</f>
        <v>0</v>
      </c>
      <c r="M881">
        <f>tblPO[[#This Row],[Actual_Delivery_Date]]-tblPO[[#This Row],[PO_Date]]</f>
        <v>14</v>
      </c>
    </row>
    <row r="882" spans="1:13" x14ac:dyDescent="0.3">
      <c r="A882" t="s">
        <v>1376</v>
      </c>
      <c r="B882" s="18">
        <v>45469</v>
      </c>
      <c r="C882" t="s">
        <v>39</v>
      </c>
      <c r="D882" t="s">
        <v>154</v>
      </c>
      <c r="E882">
        <v>695</v>
      </c>
      <c r="F882">
        <v>77.19</v>
      </c>
      <c r="G882" s="18">
        <v>45490</v>
      </c>
      <c r="H882" s="18">
        <v>45487</v>
      </c>
      <c r="I882">
        <v>695</v>
      </c>
      <c r="J882">
        <v>53647.05</v>
      </c>
      <c r="K882">
        <f>IF(tblPO[[#This Row],[Actual_Delivery_Date]]&lt;=tblPO[[#This Row],[Expected_Delivery_Date]],1,0)</f>
        <v>1</v>
      </c>
      <c r="L882">
        <f>IF(tblPO[[#This Row],[Actual_Delivery_Date]]&gt;tblPO[[#This Row],[Expected_Delivery_Date]],1,0)</f>
        <v>0</v>
      </c>
      <c r="M882">
        <f>tblPO[[#This Row],[Actual_Delivery_Date]]-tblPO[[#This Row],[PO_Date]]</f>
        <v>18</v>
      </c>
    </row>
    <row r="883" spans="1:13" x14ac:dyDescent="0.3">
      <c r="A883" t="s">
        <v>1375</v>
      </c>
      <c r="B883" s="18">
        <v>45461</v>
      </c>
      <c r="C883" t="s">
        <v>38</v>
      </c>
      <c r="D883" t="s">
        <v>247</v>
      </c>
      <c r="E883">
        <v>168</v>
      </c>
      <c r="F883">
        <v>604.74</v>
      </c>
      <c r="G883" s="18">
        <v>45465</v>
      </c>
      <c r="H883" s="18">
        <v>45463</v>
      </c>
      <c r="I883">
        <v>168</v>
      </c>
      <c r="J883">
        <v>101596.32</v>
      </c>
      <c r="K883">
        <f>IF(tblPO[[#This Row],[Actual_Delivery_Date]]&lt;=tblPO[[#This Row],[Expected_Delivery_Date]],1,0)</f>
        <v>1</v>
      </c>
      <c r="L883">
        <f>IF(tblPO[[#This Row],[Actual_Delivery_Date]]&gt;tblPO[[#This Row],[Expected_Delivery_Date]],1,0)</f>
        <v>0</v>
      </c>
      <c r="M883">
        <f>tblPO[[#This Row],[Actual_Delivery_Date]]-tblPO[[#This Row],[PO_Date]]</f>
        <v>2</v>
      </c>
    </row>
    <row r="884" spans="1:13" x14ac:dyDescent="0.3">
      <c r="A884" t="s">
        <v>1374</v>
      </c>
      <c r="B884" s="18">
        <v>45465</v>
      </c>
      <c r="C884" t="s">
        <v>56</v>
      </c>
      <c r="D884" t="s">
        <v>125</v>
      </c>
      <c r="E884">
        <v>40</v>
      </c>
      <c r="F884">
        <v>882.15</v>
      </c>
      <c r="G884" s="18">
        <v>45473</v>
      </c>
      <c r="H884" s="18">
        <v>45483</v>
      </c>
      <c r="I884">
        <v>40</v>
      </c>
      <c r="J884">
        <v>35286</v>
      </c>
      <c r="K884">
        <f>IF(tblPO[[#This Row],[Actual_Delivery_Date]]&lt;=tblPO[[#This Row],[Expected_Delivery_Date]],1,0)</f>
        <v>0</v>
      </c>
      <c r="L884">
        <f>IF(tblPO[[#This Row],[Actual_Delivery_Date]]&gt;tblPO[[#This Row],[Expected_Delivery_Date]],1,0)</f>
        <v>1</v>
      </c>
      <c r="M884">
        <f>tblPO[[#This Row],[Actual_Delivery_Date]]-tblPO[[#This Row],[PO_Date]]</f>
        <v>18</v>
      </c>
    </row>
    <row r="885" spans="1:13" x14ac:dyDescent="0.3">
      <c r="A885" t="s">
        <v>1373</v>
      </c>
      <c r="B885" s="18">
        <v>45458</v>
      </c>
      <c r="C885" t="s">
        <v>42</v>
      </c>
      <c r="D885" t="s">
        <v>104</v>
      </c>
      <c r="E885">
        <v>158</v>
      </c>
      <c r="F885">
        <v>475.83</v>
      </c>
      <c r="G885" s="18">
        <v>45472</v>
      </c>
      <c r="H885" s="18">
        <v>45471</v>
      </c>
      <c r="I885">
        <v>158</v>
      </c>
      <c r="J885">
        <v>75181.14</v>
      </c>
      <c r="K885">
        <f>IF(tblPO[[#This Row],[Actual_Delivery_Date]]&lt;=tblPO[[#This Row],[Expected_Delivery_Date]],1,0)</f>
        <v>1</v>
      </c>
      <c r="L885">
        <f>IF(tblPO[[#This Row],[Actual_Delivery_Date]]&gt;tblPO[[#This Row],[Expected_Delivery_Date]],1,0)</f>
        <v>0</v>
      </c>
      <c r="M885">
        <f>tblPO[[#This Row],[Actual_Delivery_Date]]-tblPO[[#This Row],[PO_Date]]</f>
        <v>13</v>
      </c>
    </row>
    <row r="886" spans="1:13" x14ac:dyDescent="0.3">
      <c r="A886" t="s">
        <v>1372</v>
      </c>
      <c r="B886" s="18">
        <v>45454</v>
      </c>
      <c r="C886" t="s">
        <v>45</v>
      </c>
      <c r="D886" t="s">
        <v>249</v>
      </c>
      <c r="E886">
        <v>73</v>
      </c>
      <c r="F886">
        <v>68.349999999999994</v>
      </c>
      <c r="G886" s="18">
        <v>45470</v>
      </c>
      <c r="H886" s="18">
        <v>45467</v>
      </c>
      <c r="I886">
        <v>73</v>
      </c>
      <c r="J886">
        <v>4989.55</v>
      </c>
      <c r="K886">
        <f>IF(tblPO[[#This Row],[Actual_Delivery_Date]]&lt;=tblPO[[#This Row],[Expected_Delivery_Date]],1,0)</f>
        <v>1</v>
      </c>
      <c r="L886">
        <f>IF(tblPO[[#This Row],[Actual_Delivery_Date]]&gt;tblPO[[#This Row],[Expected_Delivery_Date]],1,0)</f>
        <v>0</v>
      </c>
      <c r="M886">
        <f>tblPO[[#This Row],[Actual_Delivery_Date]]-tblPO[[#This Row],[PO_Date]]</f>
        <v>13</v>
      </c>
    </row>
    <row r="887" spans="1:13" x14ac:dyDescent="0.3">
      <c r="A887" t="s">
        <v>1371</v>
      </c>
      <c r="B887" s="18">
        <v>45447</v>
      </c>
      <c r="C887" t="s">
        <v>71</v>
      </c>
      <c r="D887" t="s">
        <v>166</v>
      </c>
      <c r="E887">
        <v>143</v>
      </c>
      <c r="F887">
        <v>74.73</v>
      </c>
      <c r="G887" s="18">
        <v>45453</v>
      </c>
      <c r="H887" s="18">
        <v>45452</v>
      </c>
      <c r="I887">
        <v>143</v>
      </c>
      <c r="J887">
        <v>10686.39</v>
      </c>
      <c r="K887">
        <f>IF(tblPO[[#This Row],[Actual_Delivery_Date]]&lt;=tblPO[[#This Row],[Expected_Delivery_Date]],1,0)</f>
        <v>1</v>
      </c>
      <c r="L887">
        <f>IF(tblPO[[#This Row],[Actual_Delivery_Date]]&gt;tblPO[[#This Row],[Expected_Delivery_Date]],1,0)</f>
        <v>0</v>
      </c>
      <c r="M887">
        <f>tblPO[[#This Row],[Actual_Delivery_Date]]-tblPO[[#This Row],[PO_Date]]</f>
        <v>5</v>
      </c>
    </row>
    <row r="888" spans="1:13" x14ac:dyDescent="0.3">
      <c r="A888" t="s">
        <v>1370</v>
      </c>
      <c r="B888" s="18">
        <v>45453</v>
      </c>
      <c r="C888" t="s">
        <v>44</v>
      </c>
      <c r="D888" t="s">
        <v>201</v>
      </c>
      <c r="E888">
        <v>207</v>
      </c>
      <c r="F888">
        <v>37.69</v>
      </c>
      <c r="G888" s="18">
        <v>45478</v>
      </c>
      <c r="H888" s="18">
        <v>45475</v>
      </c>
      <c r="I888">
        <v>207</v>
      </c>
      <c r="J888">
        <v>7801.83</v>
      </c>
      <c r="K888">
        <f>IF(tblPO[[#This Row],[Actual_Delivery_Date]]&lt;=tblPO[[#This Row],[Expected_Delivery_Date]],1,0)</f>
        <v>1</v>
      </c>
      <c r="L888">
        <f>IF(tblPO[[#This Row],[Actual_Delivery_Date]]&gt;tblPO[[#This Row],[Expected_Delivery_Date]],1,0)</f>
        <v>0</v>
      </c>
      <c r="M888">
        <f>tblPO[[#This Row],[Actual_Delivery_Date]]-tblPO[[#This Row],[PO_Date]]</f>
        <v>22</v>
      </c>
    </row>
    <row r="889" spans="1:13" x14ac:dyDescent="0.3">
      <c r="A889" t="s">
        <v>1369</v>
      </c>
      <c r="B889" s="18">
        <v>45445</v>
      </c>
      <c r="C889" t="s">
        <v>62</v>
      </c>
      <c r="D889" t="s">
        <v>199</v>
      </c>
      <c r="E889">
        <v>192</v>
      </c>
      <c r="F889">
        <v>290.02</v>
      </c>
      <c r="G889" s="18">
        <v>45457</v>
      </c>
      <c r="H889" s="18">
        <v>45456</v>
      </c>
      <c r="I889">
        <v>192</v>
      </c>
      <c r="J889">
        <v>55683.839999999997</v>
      </c>
      <c r="K889">
        <f>IF(tblPO[[#This Row],[Actual_Delivery_Date]]&lt;=tblPO[[#This Row],[Expected_Delivery_Date]],1,0)</f>
        <v>1</v>
      </c>
      <c r="L889">
        <f>IF(tblPO[[#This Row],[Actual_Delivery_Date]]&gt;tblPO[[#This Row],[Expected_Delivery_Date]],1,0)</f>
        <v>0</v>
      </c>
      <c r="M889">
        <f>tblPO[[#This Row],[Actual_Delivery_Date]]-tblPO[[#This Row],[PO_Date]]</f>
        <v>11</v>
      </c>
    </row>
    <row r="890" spans="1:13" x14ac:dyDescent="0.3">
      <c r="A890" t="s">
        <v>1368</v>
      </c>
      <c r="B890" s="18">
        <v>45470</v>
      </c>
      <c r="C890" t="s">
        <v>40</v>
      </c>
      <c r="D890" t="s">
        <v>113</v>
      </c>
      <c r="E890">
        <v>106</v>
      </c>
      <c r="F890">
        <v>496.91</v>
      </c>
      <c r="G890" s="18">
        <v>45476</v>
      </c>
      <c r="H890" s="18">
        <v>45474</v>
      </c>
      <c r="I890">
        <v>106</v>
      </c>
      <c r="J890">
        <v>52672.46</v>
      </c>
      <c r="K890">
        <f>IF(tblPO[[#This Row],[Actual_Delivery_Date]]&lt;=tblPO[[#This Row],[Expected_Delivery_Date]],1,0)</f>
        <v>1</v>
      </c>
      <c r="L890">
        <f>IF(tblPO[[#This Row],[Actual_Delivery_Date]]&gt;tblPO[[#This Row],[Expected_Delivery_Date]],1,0)</f>
        <v>0</v>
      </c>
      <c r="M890">
        <f>tblPO[[#This Row],[Actual_Delivery_Date]]-tblPO[[#This Row],[PO_Date]]</f>
        <v>4</v>
      </c>
    </row>
    <row r="891" spans="1:13" x14ac:dyDescent="0.3">
      <c r="A891" t="s">
        <v>1367</v>
      </c>
      <c r="B891" s="18">
        <v>45468</v>
      </c>
      <c r="C891" t="s">
        <v>41</v>
      </c>
      <c r="D891" t="s">
        <v>190</v>
      </c>
      <c r="E891">
        <v>140</v>
      </c>
      <c r="F891">
        <v>108.07</v>
      </c>
      <c r="G891" s="18">
        <v>45483</v>
      </c>
      <c r="H891" s="18">
        <v>45493</v>
      </c>
      <c r="I891">
        <v>130</v>
      </c>
      <c r="J891">
        <v>15129.8</v>
      </c>
      <c r="K891">
        <f>IF(tblPO[[#This Row],[Actual_Delivery_Date]]&lt;=tblPO[[#This Row],[Expected_Delivery_Date]],1,0)</f>
        <v>0</v>
      </c>
      <c r="L891">
        <f>IF(tblPO[[#This Row],[Actual_Delivery_Date]]&gt;tblPO[[#This Row],[Expected_Delivery_Date]],1,0)</f>
        <v>1</v>
      </c>
      <c r="M891">
        <f>tblPO[[#This Row],[Actual_Delivery_Date]]-tblPO[[#This Row],[PO_Date]]</f>
        <v>25</v>
      </c>
    </row>
    <row r="892" spans="1:13" x14ac:dyDescent="0.3">
      <c r="A892" t="s">
        <v>1366</v>
      </c>
      <c r="B892" s="18">
        <v>45457</v>
      </c>
      <c r="C892" t="s">
        <v>38</v>
      </c>
      <c r="D892" t="s">
        <v>225</v>
      </c>
      <c r="E892">
        <v>17</v>
      </c>
      <c r="F892">
        <v>212.35</v>
      </c>
      <c r="G892" s="18">
        <v>45467</v>
      </c>
      <c r="H892" s="18">
        <v>45464</v>
      </c>
      <c r="I892">
        <v>17</v>
      </c>
      <c r="J892">
        <v>3609.95</v>
      </c>
      <c r="K892">
        <f>IF(tblPO[[#This Row],[Actual_Delivery_Date]]&lt;=tblPO[[#This Row],[Expected_Delivery_Date]],1,0)</f>
        <v>1</v>
      </c>
      <c r="L892">
        <f>IF(tblPO[[#This Row],[Actual_Delivery_Date]]&gt;tblPO[[#This Row],[Expected_Delivery_Date]],1,0)</f>
        <v>0</v>
      </c>
      <c r="M892">
        <f>tblPO[[#This Row],[Actual_Delivery_Date]]-tblPO[[#This Row],[PO_Date]]</f>
        <v>7</v>
      </c>
    </row>
    <row r="893" spans="1:13" x14ac:dyDescent="0.3">
      <c r="A893" t="s">
        <v>1365</v>
      </c>
      <c r="B893" s="18">
        <v>45468</v>
      </c>
      <c r="C893" t="s">
        <v>55</v>
      </c>
      <c r="D893" t="s">
        <v>215</v>
      </c>
      <c r="E893">
        <v>9</v>
      </c>
      <c r="F893">
        <v>4315.62</v>
      </c>
      <c r="G893" s="18">
        <v>45497</v>
      </c>
      <c r="H893" s="18">
        <v>45495</v>
      </c>
      <c r="I893">
        <v>9</v>
      </c>
      <c r="J893">
        <v>38840.58</v>
      </c>
      <c r="K893">
        <f>IF(tblPO[[#This Row],[Actual_Delivery_Date]]&lt;=tblPO[[#This Row],[Expected_Delivery_Date]],1,0)</f>
        <v>1</v>
      </c>
      <c r="L893">
        <f>IF(tblPO[[#This Row],[Actual_Delivery_Date]]&gt;tblPO[[#This Row],[Expected_Delivery_Date]],1,0)</f>
        <v>0</v>
      </c>
      <c r="M893">
        <f>tblPO[[#This Row],[Actual_Delivery_Date]]-tblPO[[#This Row],[PO_Date]]</f>
        <v>27</v>
      </c>
    </row>
    <row r="894" spans="1:13" x14ac:dyDescent="0.3">
      <c r="A894" t="s">
        <v>1364</v>
      </c>
      <c r="B894" s="18">
        <v>45460</v>
      </c>
      <c r="C894" t="s">
        <v>41</v>
      </c>
      <c r="D894" t="s">
        <v>197</v>
      </c>
      <c r="E894">
        <v>172</v>
      </c>
      <c r="F894">
        <v>256.49</v>
      </c>
      <c r="G894" s="18">
        <v>45469</v>
      </c>
      <c r="H894" s="18">
        <v>45467</v>
      </c>
      <c r="I894">
        <v>172</v>
      </c>
      <c r="J894">
        <v>44116.28</v>
      </c>
      <c r="K894">
        <f>IF(tblPO[[#This Row],[Actual_Delivery_Date]]&lt;=tblPO[[#This Row],[Expected_Delivery_Date]],1,0)</f>
        <v>1</v>
      </c>
      <c r="L894">
        <f>IF(tblPO[[#This Row],[Actual_Delivery_Date]]&gt;tblPO[[#This Row],[Expected_Delivery_Date]],1,0)</f>
        <v>0</v>
      </c>
      <c r="M894">
        <f>tblPO[[#This Row],[Actual_Delivery_Date]]-tblPO[[#This Row],[PO_Date]]</f>
        <v>7</v>
      </c>
    </row>
    <row r="895" spans="1:13" x14ac:dyDescent="0.3">
      <c r="A895" t="s">
        <v>1363</v>
      </c>
      <c r="B895" s="18">
        <v>45457</v>
      </c>
      <c r="C895" t="s">
        <v>47</v>
      </c>
      <c r="D895" t="s">
        <v>241</v>
      </c>
      <c r="E895">
        <v>19</v>
      </c>
      <c r="F895">
        <v>2617.7600000000002</v>
      </c>
      <c r="G895" s="18">
        <v>45474</v>
      </c>
      <c r="H895" s="18">
        <v>45474</v>
      </c>
      <c r="I895">
        <v>19</v>
      </c>
      <c r="J895">
        <v>49737.440000000002</v>
      </c>
      <c r="K895">
        <f>IF(tblPO[[#This Row],[Actual_Delivery_Date]]&lt;=tblPO[[#This Row],[Expected_Delivery_Date]],1,0)</f>
        <v>1</v>
      </c>
      <c r="L895">
        <f>IF(tblPO[[#This Row],[Actual_Delivery_Date]]&gt;tblPO[[#This Row],[Expected_Delivery_Date]],1,0)</f>
        <v>0</v>
      </c>
      <c r="M895">
        <f>tblPO[[#This Row],[Actual_Delivery_Date]]-tblPO[[#This Row],[PO_Date]]</f>
        <v>17</v>
      </c>
    </row>
    <row r="896" spans="1:13" x14ac:dyDescent="0.3">
      <c r="A896" t="s">
        <v>1362</v>
      </c>
      <c r="B896" s="18">
        <v>45444</v>
      </c>
      <c r="C896" t="s">
        <v>50</v>
      </c>
      <c r="D896" t="s">
        <v>123</v>
      </c>
      <c r="E896">
        <v>7</v>
      </c>
      <c r="F896">
        <v>1203.3599999999999</v>
      </c>
      <c r="G896" s="18">
        <v>45448</v>
      </c>
      <c r="H896" s="18">
        <v>45452</v>
      </c>
      <c r="I896">
        <v>7</v>
      </c>
      <c r="J896">
        <v>8423.52</v>
      </c>
      <c r="K896">
        <f>IF(tblPO[[#This Row],[Actual_Delivery_Date]]&lt;=tblPO[[#This Row],[Expected_Delivery_Date]],1,0)</f>
        <v>0</v>
      </c>
      <c r="L896">
        <f>IF(tblPO[[#This Row],[Actual_Delivery_Date]]&gt;tblPO[[#This Row],[Expected_Delivery_Date]],1,0)</f>
        <v>1</v>
      </c>
      <c r="M896">
        <f>tblPO[[#This Row],[Actual_Delivery_Date]]-tblPO[[#This Row],[PO_Date]]</f>
        <v>8</v>
      </c>
    </row>
    <row r="897" spans="1:13" x14ac:dyDescent="0.3">
      <c r="A897" t="s">
        <v>1361</v>
      </c>
      <c r="B897" s="18">
        <v>45455</v>
      </c>
      <c r="C897" t="s">
        <v>38</v>
      </c>
      <c r="D897" t="s">
        <v>235</v>
      </c>
      <c r="E897">
        <v>439</v>
      </c>
      <c r="F897">
        <v>78.06</v>
      </c>
      <c r="G897" s="18">
        <v>45464</v>
      </c>
      <c r="H897" s="18">
        <v>45463</v>
      </c>
      <c r="I897">
        <v>422</v>
      </c>
      <c r="J897">
        <v>34268.339999999997</v>
      </c>
      <c r="K897">
        <f>IF(tblPO[[#This Row],[Actual_Delivery_Date]]&lt;=tblPO[[#This Row],[Expected_Delivery_Date]],1,0)</f>
        <v>1</v>
      </c>
      <c r="L897">
        <f>IF(tblPO[[#This Row],[Actual_Delivery_Date]]&gt;tblPO[[#This Row],[Expected_Delivery_Date]],1,0)</f>
        <v>0</v>
      </c>
      <c r="M897">
        <f>tblPO[[#This Row],[Actual_Delivery_Date]]-tblPO[[#This Row],[PO_Date]]</f>
        <v>8</v>
      </c>
    </row>
    <row r="898" spans="1:13" x14ac:dyDescent="0.3">
      <c r="A898" t="s">
        <v>1360</v>
      </c>
      <c r="B898" s="18">
        <v>45456</v>
      </c>
      <c r="C898" t="s">
        <v>52</v>
      </c>
      <c r="D898" t="s">
        <v>215</v>
      </c>
      <c r="E898">
        <v>4</v>
      </c>
      <c r="F898">
        <v>3559.18</v>
      </c>
      <c r="G898" s="18">
        <v>45462</v>
      </c>
      <c r="H898" s="18">
        <v>45461</v>
      </c>
      <c r="I898">
        <v>4</v>
      </c>
      <c r="J898">
        <v>14236.72</v>
      </c>
      <c r="K898">
        <f>IF(tblPO[[#This Row],[Actual_Delivery_Date]]&lt;=tblPO[[#This Row],[Expected_Delivery_Date]],1,0)</f>
        <v>1</v>
      </c>
      <c r="L898">
        <f>IF(tblPO[[#This Row],[Actual_Delivery_Date]]&gt;tblPO[[#This Row],[Expected_Delivery_Date]],1,0)</f>
        <v>0</v>
      </c>
      <c r="M898">
        <f>tblPO[[#This Row],[Actual_Delivery_Date]]-tblPO[[#This Row],[PO_Date]]</f>
        <v>5</v>
      </c>
    </row>
    <row r="899" spans="1:13" x14ac:dyDescent="0.3">
      <c r="A899" t="s">
        <v>1359</v>
      </c>
      <c r="B899" s="18">
        <v>45472</v>
      </c>
      <c r="C899" t="s">
        <v>55</v>
      </c>
      <c r="D899" t="s">
        <v>239</v>
      </c>
      <c r="E899">
        <v>375</v>
      </c>
      <c r="F899">
        <v>107.34</v>
      </c>
      <c r="G899" s="18">
        <v>45494</v>
      </c>
      <c r="H899" s="18">
        <v>45494</v>
      </c>
      <c r="I899">
        <v>375</v>
      </c>
      <c r="J899">
        <v>40252.5</v>
      </c>
      <c r="K899">
        <f>IF(tblPO[[#This Row],[Actual_Delivery_Date]]&lt;=tblPO[[#This Row],[Expected_Delivery_Date]],1,0)</f>
        <v>1</v>
      </c>
      <c r="L899">
        <f>IF(tblPO[[#This Row],[Actual_Delivery_Date]]&gt;tblPO[[#This Row],[Expected_Delivery_Date]],1,0)</f>
        <v>0</v>
      </c>
      <c r="M899">
        <f>tblPO[[#This Row],[Actual_Delivery_Date]]-tblPO[[#This Row],[PO_Date]]</f>
        <v>22</v>
      </c>
    </row>
    <row r="900" spans="1:13" x14ac:dyDescent="0.3">
      <c r="A900" t="s">
        <v>1358</v>
      </c>
      <c r="B900" s="18">
        <v>45463</v>
      </c>
      <c r="C900" t="s">
        <v>38</v>
      </c>
      <c r="D900" t="s">
        <v>231</v>
      </c>
      <c r="E900">
        <v>127</v>
      </c>
      <c r="F900">
        <v>143.16</v>
      </c>
      <c r="G900" s="18">
        <v>45476</v>
      </c>
      <c r="H900" s="18">
        <v>45474</v>
      </c>
      <c r="I900">
        <v>127</v>
      </c>
      <c r="J900">
        <v>18181.32</v>
      </c>
      <c r="K900">
        <f>IF(tblPO[[#This Row],[Actual_Delivery_Date]]&lt;=tblPO[[#This Row],[Expected_Delivery_Date]],1,0)</f>
        <v>1</v>
      </c>
      <c r="L900">
        <f>IF(tblPO[[#This Row],[Actual_Delivery_Date]]&gt;tblPO[[#This Row],[Expected_Delivery_Date]],1,0)</f>
        <v>0</v>
      </c>
      <c r="M900">
        <f>tblPO[[#This Row],[Actual_Delivery_Date]]-tblPO[[#This Row],[PO_Date]]</f>
        <v>11</v>
      </c>
    </row>
    <row r="901" spans="1:13" x14ac:dyDescent="0.3">
      <c r="A901" t="s">
        <v>1357</v>
      </c>
      <c r="B901" s="18">
        <v>45472</v>
      </c>
      <c r="C901" t="s">
        <v>61</v>
      </c>
      <c r="D901" t="s">
        <v>251</v>
      </c>
      <c r="E901">
        <v>54</v>
      </c>
      <c r="F901">
        <v>75.45</v>
      </c>
      <c r="G901" s="18">
        <v>45475</v>
      </c>
      <c r="H901" s="18">
        <v>45475</v>
      </c>
      <c r="I901">
        <v>54</v>
      </c>
      <c r="J901">
        <v>4074.3</v>
      </c>
      <c r="K901">
        <f>IF(tblPO[[#This Row],[Actual_Delivery_Date]]&lt;=tblPO[[#This Row],[Expected_Delivery_Date]],1,0)</f>
        <v>1</v>
      </c>
      <c r="L901">
        <f>IF(tblPO[[#This Row],[Actual_Delivery_Date]]&gt;tblPO[[#This Row],[Expected_Delivery_Date]],1,0)</f>
        <v>0</v>
      </c>
      <c r="M901">
        <f>tblPO[[#This Row],[Actual_Delivery_Date]]-tblPO[[#This Row],[PO_Date]]</f>
        <v>3</v>
      </c>
    </row>
    <row r="902" spans="1:13" x14ac:dyDescent="0.3">
      <c r="A902" t="s">
        <v>1356</v>
      </c>
      <c r="B902" s="18">
        <v>45461</v>
      </c>
      <c r="C902" t="s">
        <v>42</v>
      </c>
      <c r="D902" t="s">
        <v>88</v>
      </c>
      <c r="E902">
        <v>7</v>
      </c>
      <c r="F902">
        <v>19217.55</v>
      </c>
      <c r="G902" s="18">
        <v>45475</v>
      </c>
      <c r="H902" s="18">
        <v>45472</v>
      </c>
      <c r="I902">
        <v>7</v>
      </c>
      <c r="J902">
        <v>134522.85</v>
      </c>
      <c r="K902">
        <f>IF(tblPO[[#This Row],[Actual_Delivery_Date]]&lt;=tblPO[[#This Row],[Expected_Delivery_Date]],1,0)</f>
        <v>1</v>
      </c>
      <c r="L902">
        <f>IF(tblPO[[#This Row],[Actual_Delivery_Date]]&gt;tblPO[[#This Row],[Expected_Delivery_Date]],1,0)</f>
        <v>0</v>
      </c>
      <c r="M902">
        <f>tblPO[[#This Row],[Actual_Delivery_Date]]-tblPO[[#This Row],[PO_Date]]</f>
        <v>11</v>
      </c>
    </row>
    <row r="903" spans="1:13" x14ac:dyDescent="0.3">
      <c r="A903" t="s">
        <v>1355</v>
      </c>
      <c r="B903" s="18">
        <v>45465</v>
      </c>
      <c r="C903" t="s">
        <v>42</v>
      </c>
      <c r="D903" t="s">
        <v>81</v>
      </c>
      <c r="E903">
        <v>8</v>
      </c>
      <c r="F903">
        <v>27553.05</v>
      </c>
      <c r="G903" s="18">
        <v>45480</v>
      </c>
      <c r="H903" s="18">
        <v>45480</v>
      </c>
      <c r="I903">
        <v>8</v>
      </c>
      <c r="J903">
        <v>220424.4</v>
      </c>
      <c r="K903">
        <f>IF(tblPO[[#This Row],[Actual_Delivery_Date]]&lt;=tblPO[[#This Row],[Expected_Delivery_Date]],1,0)</f>
        <v>1</v>
      </c>
      <c r="L903">
        <f>IF(tblPO[[#This Row],[Actual_Delivery_Date]]&gt;tblPO[[#This Row],[Expected_Delivery_Date]],1,0)</f>
        <v>0</v>
      </c>
      <c r="M903">
        <f>tblPO[[#This Row],[Actual_Delivery_Date]]-tblPO[[#This Row],[PO_Date]]</f>
        <v>15</v>
      </c>
    </row>
    <row r="904" spans="1:13" x14ac:dyDescent="0.3">
      <c r="A904" t="s">
        <v>1354</v>
      </c>
      <c r="B904" s="18">
        <v>45444</v>
      </c>
      <c r="C904" t="s">
        <v>38</v>
      </c>
      <c r="D904" t="s">
        <v>229</v>
      </c>
      <c r="E904">
        <v>24</v>
      </c>
      <c r="F904">
        <v>1783.69</v>
      </c>
      <c r="G904" s="18">
        <v>45450</v>
      </c>
      <c r="H904" s="18">
        <v>45448</v>
      </c>
      <c r="I904">
        <v>24</v>
      </c>
      <c r="J904">
        <v>42808.56</v>
      </c>
      <c r="K904">
        <f>IF(tblPO[[#This Row],[Actual_Delivery_Date]]&lt;=tblPO[[#This Row],[Expected_Delivery_Date]],1,0)</f>
        <v>1</v>
      </c>
      <c r="L904">
        <f>IF(tblPO[[#This Row],[Actual_Delivery_Date]]&gt;tblPO[[#This Row],[Expected_Delivery_Date]],1,0)</f>
        <v>0</v>
      </c>
      <c r="M904">
        <f>tblPO[[#This Row],[Actual_Delivery_Date]]-tblPO[[#This Row],[PO_Date]]</f>
        <v>4</v>
      </c>
    </row>
    <row r="905" spans="1:13" x14ac:dyDescent="0.3">
      <c r="A905" t="s">
        <v>1353</v>
      </c>
      <c r="B905" s="18">
        <v>45465</v>
      </c>
      <c r="C905" t="s">
        <v>66</v>
      </c>
      <c r="D905" t="s">
        <v>237</v>
      </c>
      <c r="E905">
        <v>337</v>
      </c>
      <c r="F905">
        <v>76.25</v>
      </c>
      <c r="G905" s="18">
        <v>45479</v>
      </c>
      <c r="H905" s="18">
        <v>45478</v>
      </c>
      <c r="I905">
        <v>337</v>
      </c>
      <c r="J905">
        <v>25696.25</v>
      </c>
      <c r="K905">
        <f>IF(tblPO[[#This Row],[Actual_Delivery_Date]]&lt;=tblPO[[#This Row],[Expected_Delivery_Date]],1,0)</f>
        <v>1</v>
      </c>
      <c r="L905">
        <f>IF(tblPO[[#This Row],[Actual_Delivery_Date]]&gt;tblPO[[#This Row],[Expected_Delivery_Date]],1,0)</f>
        <v>0</v>
      </c>
      <c r="M905">
        <f>tblPO[[#This Row],[Actual_Delivery_Date]]-tblPO[[#This Row],[PO_Date]]</f>
        <v>13</v>
      </c>
    </row>
    <row r="906" spans="1:13" x14ac:dyDescent="0.3">
      <c r="A906" t="s">
        <v>1352</v>
      </c>
      <c r="B906" s="18">
        <v>45455</v>
      </c>
      <c r="C906" t="s">
        <v>61</v>
      </c>
      <c r="D906" t="s">
        <v>237</v>
      </c>
      <c r="E906">
        <v>555</v>
      </c>
      <c r="F906">
        <v>75.790000000000006</v>
      </c>
      <c r="G906" s="18">
        <v>45459</v>
      </c>
      <c r="H906" s="18">
        <v>45457</v>
      </c>
      <c r="I906">
        <v>548</v>
      </c>
      <c r="J906">
        <v>42063.45</v>
      </c>
      <c r="K906">
        <f>IF(tblPO[[#This Row],[Actual_Delivery_Date]]&lt;=tblPO[[#This Row],[Expected_Delivery_Date]],1,0)</f>
        <v>1</v>
      </c>
      <c r="L906">
        <f>IF(tblPO[[#This Row],[Actual_Delivery_Date]]&gt;tblPO[[#This Row],[Expected_Delivery_Date]],1,0)</f>
        <v>0</v>
      </c>
      <c r="M906">
        <f>tblPO[[#This Row],[Actual_Delivery_Date]]-tblPO[[#This Row],[PO_Date]]</f>
        <v>2</v>
      </c>
    </row>
    <row r="907" spans="1:13" x14ac:dyDescent="0.3">
      <c r="A907" t="s">
        <v>1351</v>
      </c>
      <c r="B907" s="18">
        <v>45462</v>
      </c>
      <c r="C907" t="s">
        <v>50</v>
      </c>
      <c r="D907" t="s">
        <v>121</v>
      </c>
      <c r="E907">
        <v>81</v>
      </c>
      <c r="F907">
        <v>687.83</v>
      </c>
      <c r="G907" s="18">
        <v>45480</v>
      </c>
      <c r="H907" s="18">
        <v>45478</v>
      </c>
      <c r="I907">
        <v>81</v>
      </c>
      <c r="J907">
        <v>55714.23</v>
      </c>
      <c r="K907">
        <f>IF(tblPO[[#This Row],[Actual_Delivery_Date]]&lt;=tblPO[[#This Row],[Expected_Delivery_Date]],1,0)</f>
        <v>1</v>
      </c>
      <c r="L907">
        <f>IF(tblPO[[#This Row],[Actual_Delivery_Date]]&gt;tblPO[[#This Row],[Expected_Delivery_Date]],1,0)</f>
        <v>0</v>
      </c>
      <c r="M907">
        <f>tblPO[[#This Row],[Actual_Delivery_Date]]-tblPO[[#This Row],[PO_Date]]</f>
        <v>16</v>
      </c>
    </row>
    <row r="908" spans="1:13" x14ac:dyDescent="0.3">
      <c r="A908" t="s">
        <v>1350</v>
      </c>
      <c r="B908" s="18">
        <v>45462</v>
      </c>
      <c r="C908" t="s">
        <v>61</v>
      </c>
      <c r="D908" t="s">
        <v>215</v>
      </c>
      <c r="E908">
        <v>21</v>
      </c>
      <c r="F908">
        <v>3390.06</v>
      </c>
      <c r="G908" s="18">
        <v>45470</v>
      </c>
      <c r="H908" s="18">
        <v>45468</v>
      </c>
      <c r="I908">
        <v>21</v>
      </c>
      <c r="J908">
        <v>71191.259999999995</v>
      </c>
      <c r="K908">
        <f>IF(tblPO[[#This Row],[Actual_Delivery_Date]]&lt;=tblPO[[#This Row],[Expected_Delivery_Date]],1,0)</f>
        <v>1</v>
      </c>
      <c r="L908">
        <f>IF(tblPO[[#This Row],[Actual_Delivery_Date]]&gt;tblPO[[#This Row],[Expected_Delivery_Date]],1,0)</f>
        <v>0</v>
      </c>
      <c r="M908">
        <f>tblPO[[#This Row],[Actual_Delivery_Date]]-tblPO[[#This Row],[PO_Date]]</f>
        <v>6</v>
      </c>
    </row>
    <row r="909" spans="1:13" x14ac:dyDescent="0.3">
      <c r="A909" t="s">
        <v>1349</v>
      </c>
      <c r="B909" s="18">
        <v>45471</v>
      </c>
      <c r="C909" t="s">
        <v>43</v>
      </c>
      <c r="D909" t="s">
        <v>172</v>
      </c>
      <c r="E909">
        <v>633</v>
      </c>
      <c r="F909">
        <v>28.25</v>
      </c>
      <c r="G909" s="18">
        <v>45481</v>
      </c>
      <c r="H909" s="18">
        <v>45484</v>
      </c>
      <c r="I909">
        <v>633</v>
      </c>
      <c r="J909">
        <v>17882.25</v>
      </c>
      <c r="K909">
        <f>IF(tblPO[[#This Row],[Actual_Delivery_Date]]&lt;=tblPO[[#This Row],[Expected_Delivery_Date]],1,0)</f>
        <v>0</v>
      </c>
      <c r="L909">
        <f>IF(tblPO[[#This Row],[Actual_Delivery_Date]]&gt;tblPO[[#This Row],[Expected_Delivery_Date]],1,0)</f>
        <v>1</v>
      </c>
      <c r="M909">
        <f>tblPO[[#This Row],[Actual_Delivery_Date]]-tblPO[[#This Row],[PO_Date]]</f>
        <v>13</v>
      </c>
    </row>
    <row r="910" spans="1:13" x14ac:dyDescent="0.3">
      <c r="A910" t="s">
        <v>1348</v>
      </c>
      <c r="B910" s="18">
        <v>45465</v>
      </c>
      <c r="C910" t="s">
        <v>58</v>
      </c>
      <c r="D910" t="s">
        <v>156</v>
      </c>
      <c r="E910">
        <v>759</v>
      </c>
      <c r="F910">
        <v>63.48</v>
      </c>
      <c r="G910" s="18">
        <v>45494</v>
      </c>
      <c r="H910" s="18">
        <v>45494</v>
      </c>
      <c r="I910">
        <v>703</v>
      </c>
      <c r="J910">
        <v>48181.32</v>
      </c>
      <c r="K910">
        <f>IF(tblPO[[#This Row],[Actual_Delivery_Date]]&lt;=tblPO[[#This Row],[Expected_Delivery_Date]],1,0)</f>
        <v>1</v>
      </c>
      <c r="L910">
        <f>IF(tblPO[[#This Row],[Actual_Delivery_Date]]&gt;tblPO[[#This Row],[Expected_Delivery_Date]],1,0)</f>
        <v>0</v>
      </c>
      <c r="M910">
        <f>tblPO[[#This Row],[Actual_Delivery_Date]]-tblPO[[#This Row],[PO_Date]]</f>
        <v>29</v>
      </c>
    </row>
    <row r="911" spans="1:13" x14ac:dyDescent="0.3">
      <c r="A911" t="s">
        <v>1347</v>
      </c>
      <c r="B911" s="18">
        <v>45471</v>
      </c>
      <c r="C911" t="s">
        <v>58</v>
      </c>
      <c r="D911" t="s">
        <v>156</v>
      </c>
      <c r="E911">
        <v>103</v>
      </c>
      <c r="F911">
        <v>68.34</v>
      </c>
      <c r="G911" s="18">
        <v>45493</v>
      </c>
      <c r="H911" s="18">
        <v>45493</v>
      </c>
      <c r="I911">
        <v>103</v>
      </c>
      <c r="J911">
        <v>7039.02</v>
      </c>
      <c r="K911">
        <f>IF(tblPO[[#This Row],[Actual_Delivery_Date]]&lt;=tblPO[[#This Row],[Expected_Delivery_Date]],1,0)</f>
        <v>1</v>
      </c>
      <c r="L911">
        <f>IF(tblPO[[#This Row],[Actual_Delivery_Date]]&gt;tblPO[[#This Row],[Expected_Delivery_Date]],1,0)</f>
        <v>0</v>
      </c>
      <c r="M911">
        <f>tblPO[[#This Row],[Actual_Delivery_Date]]-tblPO[[#This Row],[PO_Date]]</f>
        <v>22</v>
      </c>
    </row>
    <row r="912" spans="1:13" x14ac:dyDescent="0.3">
      <c r="A912" t="s">
        <v>1346</v>
      </c>
      <c r="B912" s="18">
        <v>45455</v>
      </c>
      <c r="C912" t="s">
        <v>41</v>
      </c>
      <c r="D912" t="s">
        <v>188</v>
      </c>
      <c r="E912">
        <v>557</v>
      </c>
      <c r="F912">
        <v>35.01</v>
      </c>
      <c r="G912" s="18">
        <v>45459</v>
      </c>
      <c r="H912" s="18">
        <v>45457</v>
      </c>
      <c r="I912">
        <v>546</v>
      </c>
      <c r="J912">
        <v>19500.57</v>
      </c>
      <c r="K912">
        <f>IF(tblPO[[#This Row],[Actual_Delivery_Date]]&lt;=tblPO[[#This Row],[Expected_Delivery_Date]],1,0)</f>
        <v>1</v>
      </c>
      <c r="L912">
        <f>IF(tblPO[[#This Row],[Actual_Delivery_Date]]&gt;tblPO[[#This Row],[Expected_Delivery_Date]],1,0)</f>
        <v>0</v>
      </c>
      <c r="M912">
        <f>tblPO[[#This Row],[Actual_Delivery_Date]]-tblPO[[#This Row],[PO_Date]]</f>
        <v>2</v>
      </c>
    </row>
    <row r="913" spans="1:13" x14ac:dyDescent="0.3">
      <c r="A913" t="s">
        <v>1345</v>
      </c>
      <c r="B913" s="18">
        <v>45456</v>
      </c>
      <c r="C913" t="s">
        <v>47</v>
      </c>
      <c r="D913" t="s">
        <v>217</v>
      </c>
      <c r="E913">
        <v>55</v>
      </c>
      <c r="F913">
        <v>22.31</v>
      </c>
      <c r="G913" s="18">
        <v>45465</v>
      </c>
      <c r="H913" s="18">
        <v>45462</v>
      </c>
      <c r="I913">
        <v>55</v>
      </c>
      <c r="J913">
        <v>1227.05</v>
      </c>
      <c r="K913">
        <f>IF(tblPO[[#This Row],[Actual_Delivery_Date]]&lt;=tblPO[[#This Row],[Expected_Delivery_Date]],1,0)</f>
        <v>1</v>
      </c>
      <c r="L913">
        <f>IF(tblPO[[#This Row],[Actual_Delivery_Date]]&gt;tblPO[[#This Row],[Expected_Delivery_Date]],1,0)</f>
        <v>0</v>
      </c>
      <c r="M913">
        <f>tblPO[[#This Row],[Actual_Delivery_Date]]-tblPO[[#This Row],[PO_Date]]</f>
        <v>6</v>
      </c>
    </row>
    <row r="914" spans="1:13" x14ac:dyDescent="0.3">
      <c r="A914" t="s">
        <v>1344</v>
      </c>
      <c r="B914" s="18">
        <v>45446</v>
      </c>
      <c r="C914" t="s">
        <v>46</v>
      </c>
      <c r="D914" t="s">
        <v>104</v>
      </c>
      <c r="E914">
        <v>118</v>
      </c>
      <c r="F914">
        <v>493.17</v>
      </c>
      <c r="G914" s="18">
        <v>45465</v>
      </c>
      <c r="H914" s="18">
        <v>45464</v>
      </c>
      <c r="I914">
        <v>118</v>
      </c>
      <c r="J914">
        <v>58194.06</v>
      </c>
      <c r="K914">
        <f>IF(tblPO[[#This Row],[Actual_Delivery_Date]]&lt;=tblPO[[#This Row],[Expected_Delivery_Date]],1,0)</f>
        <v>1</v>
      </c>
      <c r="L914">
        <f>IF(tblPO[[#This Row],[Actual_Delivery_Date]]&gt;tblPO[[#This Row],[Expected_Delivery_Date]],1,0)</f>
        <v>0</v>
      </c>
      <c r="M914">
        <f>tblPO[[#This Row],[Actual_Delivery_Date]]-tblPO[[#This Row],[PO_Date]]</f>
        <v>18</v>
      </c>
    </row>
    <row r="915" spans="1:13" x14ac:dyDescent="0.3">
      <c r="A915" t="s">
        <v>1343</v>
      </c>
      <c r="B915" s="18">
        <v>45459</v>
      </c>
      <c r="C915" t="s">
        <v>39</v>
      </c>
      <c r="D915" t="s">
        <v>156</v>
      </c>
      <c r="E915">
        <v>78</v>
      </c>
      <c r="F915">
        <v>65.55</v>
      </c>
      <c r="G915" s="18">
        <v>45484</v>
      </c>
      <c r="H915" s="18">
        <v>45483</v>
      </c>
      <c r="I915">
        <v>78</v>
      </c>
      <c r="J915">
        <v>5112.8999999999996</v>
      </c>
      <c r="K915">
        <f>IF(tblPO[[#This Row],[Actual_Delivery_Date]]&lt;=tblPO[[#This Row],[Expected_Delivery_Date]],1,0)</f>
        <v>1</v>
      </c>
      <c r="L915">
        <f>IF(tblPO[[#This Row],[Actual_Delivery_Date]]&gt;tblPO[[#This Row],[Expected_Delivery_Date]],1,0)</f>
        <v>0</v>
      </c>
      <c r="M915">
        <f>tblPO[[#This Row],[Actual_Delivery_Date]]-tblPO[[#This Row],[PO_Date]]</f>
        <v>24</v>
      </c>
    </row>
    <row r="916" spans="1:13" x14ac:dyDescent="0.3">
      <c r="A916" t="s">
        <v>1342</v>
      </c>
      <c r="B916" s="18">
        <v>45454</v>
      </c>
      <c r="C916" t="s">
        <v>50</v>
      </c>
      <c r="D916" t="s">
        <v>136</v>
      </c>
      <c r="E916">
        <v>71</v>
      </c>
      <c r="F916">
        <v>642.20000000000005</v>
      </c>
      <c r="G916" s="18">
        <v>45458</v>
      </c>
      <c r="H916" s="18">
        <v>45456</v>
      </c>
      <c r="I916">
        <v>71</v>
      </c>
      <c r="J916">
        <v>45596.2</v>
      </c>
      <c r="K916">
        <f>IF(tblPO[[#This Row],[Actual_Delivery_Date]]&lt;=tblPO[[#This Row],[Expected_Delivery_Date]],1,0)</f>
        <v>1</v>
      </c>
      <c r="L916">
        <f>IF(tblPO[[#This Row],[Actual_Delivery_Date]]&gt;tblPO[[#This Row],[Expected_Delivery_Date]],1,0)</f>
        <v>0</v>
      </c>
      <c r="M916">
        <f>tblPO[[#This Row],[Actual_Delivery_Date]]-tblPO[[#This Row],[PO_Date]]</f>
        <v>2</v>
      </c>
    </row>
    <row r="917" spans="1:13" x14ac:dyDescent="0.3">
      <c r="A917" t="s">
        <v>1341</v>
      </c>
      <c r="B917" s="18">
        <v>45468</v>
      </c>
      <c r="C917" t="s">
        <v>48</v>
      </c>
      <c r="D917" t="s">
        <v>152</v>
      </c>
      <c r="E917">
        <v>499</v>
      </c>
      <c r="F917">
        <v>115.31</v>
      </c>
      <c r="G917" s="18">
        <v>45483</v>
      </c>
      <c r="H917" s="18">
        <v>45480</v>
      </c>
      <c r="I917">
        <v>499</v>
      </c>
      <c r="J917">
        <v>57539.69</v>
      </c>
      <c r="K917">
        <f>IF(tblPO[[#This Row],[Actual_Delivery_Date]]&lt;=tblPO[[#This Row],[Expected_Delivery_Date]],1,0)</f>
        <v>1</v>
      </c>
      <c r="L917">
        <f>IF(tblPO[[#This Row],[Actual_Delivery_Date]]&gt;tblPO[[#This Row],[Expected_Delivery_Date]],1,0)</f>
        <v>0</v>
      </c>
      <c r="M917">
        <f>tblPO[[#This Row],[Actual_Delivery_Date]]-tblPO[[#This Row],[PO_Date]]</f>
        <v>12</v>
      </c>
    </row>
    <row r="918" spans="1:13" x14ac:dyDescent="0.3">
      <c r="A918" t="s">
        <v>1340</v>
      </c>
      <c r="B918" s="18">
        <v>45454</v>
      </c>
      <c r="C918" t="s">
        <v>55</v>
      </c>
      <c r="D918" t="s">
        <v>249</v>
      </c>
      <c r="E918">
        <v>436</v>
      </c>
      <c r="F918">
        <v>83.33</v>
      </c>
      <c r="G918" s="18">
        <v>45468</v>
      </c>
      <c r="H918" s="18">
        <v>45465</v>
      </c>
      <c r="I918">
        <v>436</v>
      </c>
      <c r="J918">
        <v>36331.879999999997</v>
      </c>
      <c r="K918">
        <f>IF(tblPO[[#This Row],[Actual_Delivery_Date]]&lt;=tblPO[[#This Row],[Expected_Delivery_Date]],1,0)</f>
        <v>1</v>
      </c>
      <c r="L918">
        <f>IF(tblPO[[#This Row],[Actual_Delivery_Date]]&gt;tblPO[[#This Row],[Expected_Delivery_Date]],1,0)</f>
        <v>0</v>
      </c>
      <c r="M918">
        <f>tblPO[[#This Row],[Actual_Delivery_Date]]-tblPO[[#This Row],[PO_Date]]</f>
        <v>11</v>
      </c>
    </row>
    <row r="919" spans="1:13" x14ac:dyDescent="0.3">
      <c r="A919" t="s">
        <v>1339</v>
      </c>
      <c r="B919" s="18">
        <v>45464</v>
      </c>
      <c r="C919" t="s">
        <v>46</v>
      </c>
      <c r="D919" t="s">
        <v>96</v>
      </c>
      <c r="E919">
        <v>166</v>
      </c>
      <c r="F919">
        <v>783.56</v>
      </c>
      <c r="G919" s="18">
        <v>45489</v>
      </c>
      <c r="H919" s="18">
        <v>45486</v>
      </c>
      <c r="I919">
        <v>166</v>
      </c>
      <c r="J919">
        <v>130070.96</v>
      </c>
      <c r="K919">
        <f>IF(tblPO[[#This Row],[Actual_Delivery_Date]]&lt;=tblPO[[#This Row],[Expected_Delivery_Date]],1,0)</f>
        <v>1</v>
      </c>
      <c r="L919">
        <f>IF(tblPO[[#This Row],[Actual_Delivery_Date]]&gt;tblPO[[#This Row],[Expected_Delivery_Date]],1,0)</f>
        <v>0</v>
      </c>
      <c r="M919">
        <f>tblPO[[#This Row],[Actual_Delivery_Date]]-tblPO[[#This Row],[PO_Date]]</f>
        <v>22</v>
      </c>
    </row>
    <row r="920" spans="1:13" x14ac:dyDescent="0.3">
      <c r="A920" t="s">
        <v>1338</v>
      </c>
      <c r="B920" s="18">
        <v>45447</v>
      </c>
      <c r="C920" t="s">
        <v>46</v>
      </c>
      <c r="D920" t="s">
        <v>102</v>
      </c>
      <c r="E920">
        <v>112</v>
      </c>
      <c r="F920">
        <v>668.2</v>
      </c>
      <c r="G920" s="18">
        <v>45472</v>
      </c>
      <c r="H920" s="18">
        <v>45469</v>
      </c>
      <c r="I920">
        <v>112</v>
      </c>
      <c r="J920">
        <v>74838.399999999994</v>
      </c>
      <c r="K920">
        <f>IF(tblPO[[#This Row],[Actual_Delivery_Date]]&lt;=tblPO[[#This Row],[Expected_Delivery_Date]],1,0)</f>
        <v>1</v>
      </c>
      <c r="L920">
        <f>IF(tblPO[[#This Row],[Actual_Delivery_Date]]&gt;tblPO[[#This Row],[Expected_Delivery_Date]],1,0)</f>
        <v>0</v>
      </c>
      <c r="M920">
        <f>tblPO[[#This Row],[Actual_Delivery_Date]]-tblPO[[#This Row],[PO_Date]]</f>
        <v>22</v>
      </c>
    </row>
    <row r="921" spans="1:13" x14ac:dyDescent="0.3">
      <c r="A921" t="s">
        <v>1337</v>
      </c>
      <c r="B921" s="18">
        <v>45463</v>
      </c>
      <c r="C921" t="s">
        <v>39</v>
      </c>
      <c r="D921" t="s">
        <v>162</v>
      </c>
      <c r="E921">
        <v>685</v>
      </c>
      <c r="F921">
        <v>45.9</v>
      </c>
      <c r="G921" s="18">
        <v>45478</v>
      </c>
      <c r="H921" s="18">
        <v>45475</v>
      </c>
      <c r="I921">
        <v>685</v>
      </c>
      <c r="J921">
        <v>31441.5</v>
      </c>
      <c r="K921">
        <f>IF(tblPO[[#This Row],[Actual_Delivery_Date]]&lt;=tblPO[[#This Row],[Expected_Delivery_Date]],1,0)</f>
        <v>1</v>
      </c>
      <c r="L921">
        <f>IF(tblPO[[#This Row],[Actual_Delivery_Date]]&gt;tblPO[[#This Row],[Expected_Delivery_Date]],1,0)</f>
        <v>0</v>
      </c>
      <c r="M921">
        <f>tblPO[[#This Row],[Actual_Delivery_Date]]-tblPO[[#This Row],[PO_Date]]</f>
        <v>12</v>
      </c>
    </row>
    <row r="922" spans="1:13" x14ac:dyDescent="0.3">
      <c r="A922" t="s">
        <v>1336</v>
      </c>
      <c r="B922" s="18">
        <v>45447</v>
      </c>
      <c r="C922" t="s">
        <v>48</v>
      </c>
      <c r="D922" t="s">
        <v>166</v>
      </c>
      <c r="E922">
        <v>160</v>
      </c>
      <c r="F922">
        <v>107.35</v>
      </c>
      <c r="G922" s="18">
        <v>45459</v>
      </c>
      <c r="H922" s="18">
        <v>45456</v>
      </c>
      <c r="I922">
        <v>160</v>
      </c>
      <c r="J922">
        <v>17176</v>
      </c>
      <c r="K922">
        <f>IF(tblPO[[#This Row],[Actual_Delivery_Date]]&lt;=tblPO[[#This Row],[Expected_Delivery_Date]],1,0)</f>
        <v>1</v>
      </c>
      <c r="L922">
        <f>IF(tblPO[[#This Row],[Actual_Delivery_Date]]&gt;tblPO[[#This Row],[Expected_Delivery_Date]],1,0)</f>
        <v>0</v>
      </c>
      <c r="M922">
        <f>tblPO[[#This Row],[Actual_Delivery_Date]]-tblPO[[#This Row],[PO_Date]]</f>
        <v>9</v>
      </c>
    </row>
    <row r="923" spans="1:13" x14ac:dyDescent="0.3">
      <c r="A923" t="s">
        <v>1335</v>
      </c>
      <c r="B923" s="18">
        <v>45448</v>
      </c>
      <c r="C923" t="s">
        <v>54</v>
      </c>
      <c r="D923" t="s">
        <v>181</v>
      </c>
      <c r="E923">
        <v>1273</v>
      </c>
      <c r="F923">
        <v>3.42</v>
      </c>
      <c r="G923" s="18">
        <v>45459</v>
      </c>
      <c r="H923" s="18">
        <v>45459</v>
      </c>
      <c r="I923">
        <v>1273</v>
      </c>
      <c r="J923">
        <v>4353.66</v>
      </c>
      <c r="K923">
        <f>IF(tblPO[[#This Row],[Actual_Delivery_Date]]&lt;=tblPO[[#This Row],[Expected_Delivery_Date]],1,0)</f>
        <v>1</v>
      </c>
      <c r="L923">
        <f>IF(tblPO[[#This Row],[Actual_Delivery_Date]]&gt;tblPO[[#This Row],[Expected_Delivery_Date]],1,0)</f>
        <v>0</v>
      </c>
      <c r="M923">
        <f>tblPO[[#This Row],[Actual_Delivery_Date]]-tblPO[[#This Row],[PO_Date]]</f>
        <v>11</v>
      </c>
    </row>
    <row r="924" spans="1:13" x14ac:dyDescent="0.3">
      <c r="A924" t="s">
        <v>1334</v>
      </c>
      <c r="B924" s="18">
        <v>45469</v>
      </c>
      <c r="C924" t="s">
        <v>42</v>
      </c>
      <c r="D924" t="s">
        <v>96</v>
      </c>
      <c r="E924">
        <v>45</v>
      </c>
      <c r="F924">
        <v>773.07</v>
      </c>
      <c r="G924" s="18">
        <v>45482</v>
      </c>
      <c r="H924" s="18">
        <v>45481</v>
      </c>
      <c r="I924">
        <v>45</v>
      </c>
      <c r="J924">
        <v>34788.15</v>
      </c>
      <c r="K924">
        <f>IF(tblPO[[#This Row],[Actual_Delivery_Date]]&lt;=tblPO[[#This Row],[Expected_Delivery_Date]],1,0)</f>
        <v>1</v>
      </c>
      <c r="L924">
        <f>IF(tblPO[[#This Row],[Actual_Delivery_Date]]&gt;tblPO[[#This Row],[Expected_Delivery_Date]],1,0)</f>
        <v>0</v>
      </c>
      <c r="M924">
        <f>tblPO[[#This Row],[Actual_Delivery_Date]]-tblPO[[#This Row],[PO_Date]]</f>
        <v>12</v>
      </c>
    </row>
    <row r="925" spans="1:13" x14ac:dyDescent="0.3">
      <c r="A925" t="s">
        <v>1333</v>
      </c>
      <c r="B925" s="18">
        <v>45453</v>
      </c>
      <c r="C925" t="s">
        <v>57</v>
      </c>
      <c r="D925" t="s">
        <v>193</v>
      </c>
      <c r="E925">
        <v>416</v>
      </c>
      <c r="F925">
        <v>34.840000000000003</v>
      </c>
      <c r="G925" s="18">
        <v>45483</v>
      </c>
      <c r="H925" s="18">
        <v>45501</v>
      </c>
      <c r="I925">
        <v>416</v>
      </c>
      <c r="J925">
        <v>14493.44</v>
      </c>
      <c r="K925">
        <f>IF(tblPO[[#This Row],[Actual_Delivery_Date]]&lt;=tblPO[[#This Row],[Expected_Delivery_Date]],1,0)</f>
        <v>0</v>
      </c>
      <c r="L925">
        <f>IF(tblPO[[#This Row],[Actual_Delivery_Date]]&gt;tblPO[[#This Row],[Expected_Delivery_Date]],1,0)</f>
        <v>1</v>
      </c>
      <c r="M925">
        <f>tblPO[[#This Row],[Actual_Delivery_Date]]-tblPO[[#This Row],[PO_Date]]</f>
        <v>48</v>
      </c>
    </row>
    <row r="926" spans="1:13" x14ac:dyDescent="0.3">
      <c r="A926" t="s">
        <v>1332</v>
      </c>
      <c r="B926" s="18">
        <v>45453</v>
      </c>
      <c r="C926" t="s">
        <v>53</v>
      </c>
      <c r="D926" t="s">
        <v>96</v>
      </c>
      <c r="E926">
        <v>97</v>
      </c>
      <c r="F926">
        <v>736.06</v>
      </c>
      <c r="G926" s="18">
        <v>45476</v>
      </c>
      <c r="H926" s="18">
        <v>45490</v>
      </c>
      <c r="I926">
        <v>97</v>
      </c>
      <c r="J926">
        <v>71397.820000000007</v>
      </c>
      <c r="K926">
        <f>IF(tblPO[[#This Row],[Actual_Delivery_Date]]&lt;=tblPO[[#This Row],[Expected_Delivery_Date]],1,0)</f>
        <v>0</v>
      </c>
      <c r="L926">
        <f>IF(tblPO[[#This Row],[Actual_Delivery_Date]]&gt;tblPO[[#This Row],[Expected_Delivery_Date]],1,0)</f>
        <v>1</v>
      </c>
      <c r="M926">
        <f>tblPO[[#This Row],[Actual_Delivery_Date]]-tblPO[[#This Row],[PO_Date]]</f>
        <v>37</v>
      </c>
    </row>
    <row r="927" spans="1:13" x14ac:dyDescent="0.3">
      <c r="A927" t="s">
        <v>1331</v>
      </c>
      <c r="B927" s="18">
        <v>45460</v>
      </c>
      <c r="C927" t="s">
        <v>56</v>
      </c>
      <c r="D927" t="s">
        <v>121</v>
      </c>
      <c r="E927">
        <v>70</v>
      </c>
      <c r="F927">
        <v>594.6</v>
      </c>
      <c r="G927" s="18">
        <v>45464</v>
      </c>
      <c r="H927" s="18">
        <v>45462</v>
      </c>
      <c r="I927">
        <v>70</v>
      </c>
      <c r="J927">
        <v>41622</v>
      </c>
      <c r="K927">
        <f>IF(tblPO[[#This Row],[Actual_Delivery_Date]]&lt;=tblPO[[#This Row],[Expected_Delivery_Date]],1,0)</f>
        <v>1</v>
      </c>
      <c r="L927">
        <f>IF(tblPO[[#This Row],[Actual_Delivery_Date]]&gt;tblPO[[#This Row],[Expected_Delivery_Date]],1,0)</f>
        <v>0</v>
      </c>
      <c r="M927">
        <f>tblPO[[#This Row],[Actual_Delivery_Date]]-tblPO[[#This Row],[PO_Date]]</f>
        <v>2</v>
      </c>
    </row>
    <row r="928" spans="1:13" x14ac:dyDescent="0.3">
      <c r="A928" t="s">
        <v>1330</v>
      </c>
      <c r="B928" s="18">
        <v>45454</v>
      </c>
      <c r="C928" t="s">
        <v>53</v>
      </c>
      <c r="D928" t="s">
        <v>90</v>
      </c>
      <c r="E928">
        <v>2</v>
      </c>
      <c r="F928">
        <v>33252.300000000003</v>
      </c>
      <c r="G928" s="18">
        <v>45472</v>
      </c>
      <c r="H928" s="18">
        <v>45472</v>
      </c>
      <c r="I928">
        <v>2</v>
      </c>
      <c r="J928">
        <v>66504.600000000006</v>
      </c>
      <c r="K928">
        <f>IF(tblPO[[#This Row],[Actual_Delivery_Date]]&lt;=tblPO[[#This Row],[Expected_Delivery_Date]],1,0)</f>
        <v>1</v>
      </c>
      <c r="L928">
        <f>IF(tblPO[[#This Row],[Actual_Delivery_Date]]&gt;tblPO[[#This Row],[Expected_Delivery_Date]],1,0)</f>
        <v>0</v>
      </c>
      <c r="M928">
        <f>tblPO[[#This Row],[Actual_Delivery_Date]]-tblPO[[#This Row],[PO_Date]]</f>
        <v>18</v>
      </c>
    </row>
    <row r="929" spans="1:13" x14ac:dyDescent="0.3">
      <c r="A929" t="s">
        <v>1329</v>
      </c>
      <c r="B929" s="18">
        <v>45454</v>
      </c>
      <c r="C929" t="s">
        <v>64</v>
      </c>
      <c r="D929" t="s">
        <v>132</v>
      </c>
      <c r="E929">
        <v>20</v>
      </c>
      <c r="F929">
        <v>2015.19</v>
      </c>
      <c r="G929" s="18">
        <v>45466</v>
      </c>
      <c r="H929" s="18">
        <v>45464</v>
      </c>
      <c r="I929">
        <v>20</v>
      </c>
      <c r="J929">
        <v>40303.800000000003</v>
      </c>
      <c r="K929">
        <f>IF(tblPO[[#This Row],[Actual_Delivery_Date]]&lt;=tblPO[[#This Row],[Expected_Delivery_Date]],1,0)</f>
        <v>1</v>
      </c>
      <c r="L929">
        <f>IF(tblPO[[#This Row],[Actual_Delivery_Date]]&gt;tblPO[[#This Row],[Expected_Delivery_Date]],1,0)</f>
        <v>0</v>
      </c>
      <c r="M929">
        <f>tblPO[[#This Row],[Actual_Delivery_Date]]-tblPO[[#This Row],[PO_Date]]</f>
        <v>10</v>
      </c>
    </row>
    <row r="930" spans="1:13" x14ac:dyDescent="0.3">
      <c r="A930" t="s">
        <v>1328</v>
      </c>
      <c r="B930" s="18">
        <v>45459</v>
      </c>
      <c r="C930" t="s">
        <v>40</v>
      </c>
      <c r="D930" t="s">
        <v>113</v>
      </c>
      <c r="E930">
        <v>20</v>
      </c>
      <c r="F930">
        <v>515.66</v>
      </c>
      <c r="G930" s="18">
        <v>45469</v>
      </c>
      <c r="H930" s="18">
        <v>45467</v>
      </c>
      <c r="I930">
        <v>20</v>
      </c>
      <c r="J930">
        <v>10313.200000000001</v>
      </c>
      <c r="K930">
        <f>IF(tblPO[[#This Row],[Actual_Delivery_Date]]&lt;=tblPO[[#This Row],[Expected_Delivery_Date]],1,0)</f>
        <v>1</v>
      </c>
      <c r="L930">
        <f>IF(tblPO[[#This Row],[Actual_Delivery_Date]]&gt;tblPO[[#This Row],[Expected_Delivery_Date]],1,0)</f>
        <v>0</v>
      </c>
      <c r="M930">
        <f>tblPO[[#This Row],[Actual_Delivery_Date]]-tblPO[[#This Row],[PO_Date]]</f>
        <v>8</v>
      </c>
    </row>
    <row r="931" spans="1:13" x14ac:dyDescent="0.3">
      <c r="A931" t="s">
        <v>1327</v>
      </c>
      <c r="B931" s="18">
        <v>45459</v>
      </c>
      <c r="C931" t="s">
        <v>39</v>
      </c>
      <c r="D931" t="s">
        <v>162</v>
      </c>
      <c r="E931">
        <v>294</v>
      </c>
      <c r="F931">
        <v>45.28</v>
      </c>
      <c r="G931" s="18">
        <v>45481</v>
      </c>
      <c r="H931" s="18">
        <v>45481</v>
      </c>
      <c r="I931">
        <v>294</v>
      </c>
      <c r="J931">
        <v>13312.32</v>
      </c>
      <c r="K931">
        <f>IF(tblPO[[#This Row],[Actual_Delivery_Date]]&lt;=tblPO[[#This Row],[Expected_Delivery_Date]],1,0)</f>
        <v>1</v>
      </c>
      <c r="L931">
        <f>IF(tblPO[[#This Row],[Actual_Delivery_Date]]&gt;tblPO[[#This Row],[Expected_Delivery_Date]],1,0)</f>
        <v>0</v>
      </c>
      <c r="M931">
        <f>tblPO[[#This Row],[Actual_Delivery_Date]]-tblPO[[#This Row],[PO_Date]]</f>
        <v>22</v>
      </c>
    </row>
    <row r="932" spans="1:13" x14ac:dyDescent="0.3">
      <c r="A932" t="s">
        <v>1326</v>
      </c>
      <c r="B932" s="18">
        <v>45455</v>
      </c>
      <c r="C932" t="s">
        <v>40</v>
      </c>
      <c r="D932" t="s">
        <v>138</v>
      </c>
      <c r="E932">
        <v>2</v>
      </c>
      <c r="F932">
        <v>4094.09</v>
      </c>
      <c r="G932" s="18">
        <v>45458</v>
      </c>
      <c r="H932" s="18">
        <v>45455</v>
      </c>
      <c r="I932">
        <v>2</v>
      </c>
      <c r="J932">
        <v>8188.18</v>
      </c>
      <c r="K932">
        <f>IF(tblPO[[#This Row],[Actual_Delivery_Date]]&lt;=tblPO[[#This Row],[Expected_Delivery_Date]],1,0)</f>
        <v>1</v>
      </c>
      <c r="L932">
        <f>IF(tblPO[[#This Row],[Actual_Delivery_Date]]&gt;tblPO[[#This Row],[Expected_Delivery_Date]],1,0)</f>
        <v>0</v>
      </c>
      <c r="M932">
        <f>tblPO[[#This Row],[Actual_Delivery_Date]]-tblPO[[#This Row],[PO_Date]]</f>
        <v>0</v>
      </c>
    </row>
    <row r="933" spans="1:13" x14ac:dyDescent="0.3">
      <c r="A933" t="s">
        <v>1325</v>
      </c>
      <c r="B933" s="18">
        <v>45464</v>
      </c>
      <c r="C933" t="s">
        <v>41</v>
      </c>
      <c r="D933" t="s">
        <v>205</v>
      </c>
      <c r="E933">
        <v>59</v>
      </c>
      <c r="F933">
        <v>407.06</v>
      </c>
      <c r="G933" s="18">
        <v>45478</v>
      </c>
      <c r="H933" s="18">
        <v>45475</v>
      </c>
      <c r="I933">
        <v>59</v>
      </c>
      <c r="J933">
        <v>24016.54</v>
      </c>
      <c r="K933">
        <f>IF(tblPO[[#This Row],[Actual_Delivery_Date]]&lt;=tblPO[[#This Row],[Expected_Delivery_Date]],1,0)</f>
        <v>1</v>
      </c>
      <c r="L933">
        <f>IF(tblPO[[#This Row],[Actual_Delivery_Date]]&gt;tblPO[[#This Row],[Expected_Delivery_Date]],1,0)</f>
        <v>0</v>
      </c>
      <c r="M933">
        <f>tblPO[[#This Row],[Actual_Delivery_Date]]-tblPO[[#This Row],[PO_Date]]</f>
        <v>11</v>
      </c>
    </row>
    <row r="934" spans="1:13" x14ac:dyDescent="0.3">
      <c r="A934" t="s">
        <v>1324</v>
      </c>
      <c r="B934" s="18">
        <v>45467</v>
      </c>
      <c r="C934" t="s">
        <v>44</v>
      </c>
      <c r="D934" t="s">
        <v>201</v>
      </c>
      <c r="E934">
        <v>318</v>
      </c>
      <c r="F934">
        <v>35.94</v>
      </c>
      <c r="G934" s="18">
        <v>45484</v>
      </c>
      <c r="H934" s="18">
        <v>45482</v>
      </c>
      <c r="I934">
        <v>318</v>
      </c>
      <c r="J934">
        <v>11428.92</v>
      </c>
      <c r="K934">
        <f>IF(tblPO[[#This Row],[Actual_Delivery_Date]]&lt;=tblPO[[#This Row],[Expected_Delivery_Date]],1,0)</f>
        <v>1</v>
      </c>
      <c r="L934">
        <f>IF(tblPO[[#This Row],[Actual_Delivery_Date]]&gt;tblPO[[#This Row],[Expected_Delivery_Date]],1,0)</f>
        <v>0</v>
      </c>
      <c r="M934">
        <f>tblPO[[#This Row],[Actual_Delivery_Date]]-tblPO[[#This Row],[PO_Date]]</f>
        <v>15</v>
      </c>
    </row>
    <row r="935" spans="1:13" x14ac:dyDescent="0.3">
      <c r="A935" t="s">
        <v>1323</v>
      </c>
      <c r="B935" s="18">
        <v>45473</v>
      </c>
      <c r="C935" t="s">
        <v>59</v>
      </c>
      <c r="D935" t="s">
        <v>110</v>
      </c>
      <c r="E935">
        <v>10</v>
      </c>
      <c r="F935">
        <v>3287.54</v>
      </c>
      <c r="G935" s="18">
        <v>45479</v>
      </c>
      <c r="H935" s="18">
        <v>45477</v>
      </c>
      <c r="I935">
        <v>10</v>
      </c>
      <c r="J935">
        <v>32875.4</v>
      </c>
      <c r="K935">
        <f>IF(tblPO[[#This Row],[Actual_Delivery_Date]]&lt;=tblPO[[#This Row],[Expected_Delivery_Date]],1,0)</f>
        <v>1</v>
      </c>
      <c r="L935">
        <f>IF(tblPO[[#This Row],[Actual_Delivery_Date]]&gt;tblPO[[#This Row],[Expected_Delivery_Date]],1,0)</f>
        <v>0</v>
      </c>
      <c r="M935">
        <f>tblPO[[#This Row],[Actual_Delivery_Date]]-tblPO[[#This Row],[PO_Date]]</f>
        <v>4</v>
      </c>
    </row>
    <row r="936" spans="1:13" x14ac:dyDescent="0.3">
      <c r="A936" t="s">
        <v>1322</v>
      </c>
      <c r="B936" s="18">
        <v>45453</v>
      </c>
      <c r="C936" t="s">
        <v>38</v>
      </c>
      <c r="D936" t="s">
        <v>245</v>
      </c>
      <c r="E936">
        <v>8</v>
      </c>
      <c r="F936">
        <v>4145.7</v>
      </c>
      <c r="G936" s="18">
        <v>45470</v>
      </c>
      <c r="H936" s="18">
        <v>45469</v>
      </c>
      <c r="I936">
        <v>8</v>
      </c>
      <c r="J936">
        <v>33165.599999999999</v>
      </c>
      <c r="K936">
        <f>IF(tblPO[[#This Row],[Actual_Delivery_Date]]&lt;=tblPO[[#This Row],[Expected_Delivery_Date]],1,0)</f>
        <v>1</v>
      </c>
      <c r="L936">
        <f>IF(tblPO[[#This Row],[Actual_Delivery_Date]]&gt;tblPO[[#This Row],[Expected_Delivery_Date]],1,0)</f>
        <v>0</v>
      </c>
      <c r="M936">
        <f>tblPO[[#This Row],[Actual_Delivery_Date]]-tblPO[[#This Row],[PO_Date]]</f>
        <v>16</v>
      </c>
    </row>
    <row r="937" spans="1:13" x14ac:dyDescent="0.3">
      <c r="A937" t="s">
        <v>1321</v>
      </c>
      <c r="B937" s="18">
        <v>45472</v>
      </c>
      <c r="C937" t="s">
        <v>46</v>
      </c>
      <c r="D937" t="s">
        <v>94</v>
      </c>
      <c r="E937">
        <v>169</v>
      </c>
      <c r="F937">
        <v>545.04</v>
      </c>
      <c r="G937" s="18">
        <v>45497</v>
      </c>
      <c r="H937" s="18">
        <v>45494</v>
      </c>
      <c r="I937">
        <v>169</v>
      </c>
      <c r="J937">
        <v>92111.76</v>
      </c>
      <c r="K937">
        <f>IF(tblPO[[#This Row],[Actual_Delivery_Date]]&lt;=tblPO[[#This Row],[Expected_Delivery_Date]],1,0)</f>
        <v>1</v>
      </c>
      <c r="L937">
        <f>IF(tblPO[[#This Row],[Actual_Delivery_Date]]&gt;tblPO[[#This Row],[Expected_Delivery_Date]],1,0)</f>
        <v>0</v>
      </c>
      <c r="M937">
        <f>tblPO[[#This Row],[Actual_Delivery_Date]]-tblPO[[#This Row],[PO_Date]]</f>
        <v>22</v>
      </c>
    </row>
    <row r="938" spans="1:13" x14ac:dyDescent="0.3">
      <c r="A938" t="s">
        <v>1320</v>
      </c>
      <c r="B938" s="18">
        <v>45461</v>
      </c>
      <c r="C938" t="s">
        <v>52</v>
      </c>
      <c r="D938" t="s">
        <v>243</v>
      </c>
      <c r="E938">
        <v>59</v>
      </c>
      <c r="F938">
        <v>178.72</v>
      </c>
      <c r="G938" s="18">
        <v>45476</v>
      </c>
      <c r="H938" s="18">
        <v>45475</v>
      </c>
      <c r="I938">
        <v>59</v>
      </c>
      <c r="J938">
        <v>10544.48</v>
      </c>
      <c r="K938">
        <f>IF(tblPO[[#This Row],[Actual_Delivery_Date]]&lt;=tblPO[[#This Row],[Expected_Delivery_Date]],1,0)</f>
        <v>1</v>
      </c>
      <c r="L938">
        <f>IF(tblPO[[#This Row],[Actual_Delivery_Date]]&gt;tblPO[[#This Row],[Expected_Delivery_Date]],1,0)</f>
        <v>0</v>
      </c>
      <c r="M938">
        <f>tblPO[[#This Row],[Actual_Delivery_Date]]-tblPO[[#This Row],[PO_Date]]</f>
        <v>14</v>
      </c>
    </row>
    <row r="939" spans="1:13" x14ac:dyDescent="0.3">
      <c r="A939" t="s">
        <v>1319</v>
      </c>
      <c r="B939" s="18">
        <v>45468</v>
      </c>
      <c r="C939" t="s">
        <v>39</v>
      </c>
      <c r="D939" t="s">
        <v>156</v>
      </c>
      <c r="E939">
        <v>97</v>
      </c>
      <c r="F939">
        <v>63.57</v>
      </c>
      <c r="G939" s="18">
        <v>45498</v>
      </c>
      <c r="H939" s="18">
        <v>45497</v>
      </c>
      <c r="I939">
        <v>97</v>
      </c>
      <c r="J939">
        <v>6166.29</v>
      </c>
      <c r="K939">
        <f>IF(tblPO[[#This Row],[Actual_Delivery_Date]]&lt;=tblPO[[#This Row],[Expected_Delivery_Date]],1,0)</f>
        <v>1</v>
      </c>
      <c r="L939">
        <f>IF(tblPO[[#This Row],[Actual_Delivery_Date]]&gt;tblPO[[#This Row],[Expected_Delivery_Date]],1,0)</f>
        <v>0</v>
      </c>
      <c r="M939">
        <f>tblPO[[#This Row],[Actual_Delivery_Date]]-tblPO[[#This Row],[PO_Date]]</f>
        <v>29</v>
      </c>
    </row>
    <row r="940" spans="1:13" x14ac:dyDescent="0.3">
      <c r="A940" t="s">
        <v>1318</v>
      </c>
      <c r="B940" s="18">
        <v>45469</v>
      </c>
      <c r="C940" t="s">
        <v>47</v>
      </c>
      <c r="D940" t="s">
        <v>231</v>
      </c>
      <c r="E940">
        <v>171</v>
      </c>
      <c r="F940">
        <v>113.65</v>
      </c>
      <c r="G940" s="18">
        <v>45480</v>
      </c>
      <c r="H940" s="18">
        <v>45499</v>
      </c>
      <c r="I940">
        <v>171</v>
      </c>
      <c r="J940">
        <v>19434.150000000001</v>
      </c>
      <c r="K940">
        <f>IF(tblPO[[#This Row],[Actual_Delivery_Date]]&lt;=tblPO[[#This Row],[Expected_Delivery_Date]],1,0)</f>
        <v>0</v>
      </c>
      <c r="L940">
        <f>IF(tblPO[[#This Row],[Actual_Delivery_Date]]&gt;tblPO[[#This Row],[Expected_Delivery_Date]],1,0)</f>
        <v>1</v>
      </c>
      <c r="M940">
        <f>tblPO[[#This Row],[Actual_Delivery_Date]]-tblPO[[#This Row],[PO_Date]]</f>
        <v>30</v>
      </c>
    </row>
    <row r="941" spans="1:13" x14ac:dyDescent="0.3">
      <c r="A941" t="s">
        <v>1317</v>
      </c>
      <c r="B941" s="18">
        <v>45467</v>
      </c>
      <c r="C941" t="s">
        <v>45</v>
      </c>
      <c r="D941" t="s">
        <v>215</v>
      </c>
      <c r="E941">
        <v>8</v>
      </c>
      <c r="F941">
        <v>3721.43</v>
      </c>
      <c r="G941" s="18">
        <v>45472</v>
      </c>
      <c r="H941" s="18">
        <v>45469</v>
      </c>
      <c r="I941">
        <v>8</v>
      </c>
      <c r="J941">
        <v>29771.439999999999</v>
      </c>
      <c r="K941">
        <f>IF(tblPO[[#This Row],[Actual_Delivery_Date]]&lt;=tblPO[[#This Row],[Expected_Delivery_Date]],1,0)</f>
        <v>1</v>
      </c>
      <c r="L941">
        <f>IF(tblPO[[#This Row],[Actual_Delivery_Date]]&gt;tblPO[[#This Row],[Expected_Delivery_Date]],1,0)</f>
        <v>0</v>
      </c>
      <c r="M941">
        <f>tblPO[[#This Row],[Actual_Delivery_Date]]-tblPO[[#This Row],[PO_Date]]</f>
        <v>2</v>
      </c>
    </row>
    <row r="942" spans="1:13" x14ac:dyDescent="0.3">
      <c r="A942" t="s">
        <v>1316</v>
      </c>
      <c r="B942" s="18">
        <v>45477</v>
      </c>
      <c r="C942" t="s">
        <v>43</v>
      </c>
      <c r="D942" t="s">
        <v>146</v>
      </c>
      <c r="E942">
        <v>19</v>
      </c>
      <c r="F942">
        <v>2518.69</v>
      </c>
      <c r="G942" s="18">
        <v>45491</v>
      </c>
      <c r="H942" s="18">
        <v>45488</v>
      </c>
      <c r="I942">
        <v>19</v>
      </c>
      <c r="J942">
        <v>47855.11</v>
      </c>
      <c r="K942">
        <f>IF(tblPO[[#This Row],[Actual_Delivery_Date]]&lt;=tblPO[[#This Row],[Expected_Delivery_Date]],1,0)</f>
        <v>1</v>
      </c>
      <c r="L942">
        <f>IF(tblPO[[#This Row],[Actual_Delivery_Date]]&gt;tblPO[[#This Row],[Expected_Delivery_Date]],1,0)</f>
        <v>0</v>
      </c>
      <c r="M942">
        <f>tblPO[[#This Row],[Actual_Delivery_Date]]-tblPO[[#This Row],[PO_Date]]</f>
        <v>11</v>
      </c>
    </row>
    <row r="943" spans="1:13" x14ac:dyDescent="0.3">
      <c r="A943" t="s">
        <v>1315</v>
      </c>
      <c r="B943" s="18">
        <v>45479</v>
      </c>
      <c r="C943" t="s">
        <v>60</v>
      </c>
      <c r="D943" t="s">
        <v>117</v>
      </c>
      <c r="E943">
        <v>125</v>
      </c>
      <c r="F943">
        <v>227.19</v>
      </c>
      <c r="G943" s="18">
        <v>45490</v>
      </c>
      <c r="H943" s="18">
        <v>45487</v>
      </c>
      <c r="I943">
        <v>125</v>
      </c>
      <c r="J943">
        <v>28398.75</v>
      </c>
      <c r="K943">
        <f>IF(tblPO[[#This Row],[Actual_Delivery_Date]]&lt;=tblPO[[#This Row],[Expected_Delivery_Date]],1,0)</f>
        <v>1</v>
      </c>
      <c r="L943">
        <f>IF(tblPO[[#This Row],[Actual_Delivery_Date]]&gt;tblPO[[#This Row],[Expected_Delivery_Date]],1,0)</f>
        <v>0</v>
      </c>
      <c r="M943">
        <f>tblPO[[#This Row],[Actual_Delivery_Date]]-tblPO[[#This Row],[PO_Date]]</f>
        <v>8</v>
      </c>
    </row>
    <row r="944" spans="1:13" x14ac:dyDescent="0.3">
      <c r="A944" t="s">
        <v>1314</v>
      </c>
      <c r="B944" s="18">
        <v>45497</v>
      </c>
      <c r="C944" t="s">
        <v>54</v>
      </c>
      <c r="D944" t="s">
        <v>207</v>
      </c>
      <c r="E944">
        <v>741</v>
      </c>
      <c r="F944">
        <v>9.4600000000000009</v>
      </c>
      <c r="G944" s="18">
        <v>45514</v>
      </c>
      <c r="H944" s="18">
        <v>45514</v>
      </c>
      <c r="I944">
        <v>741</v>
      </c>
      <c r="J944">
        <v>7009.86</v>
      </c>
      <c r="K944">
        <f>IF(tblPO[[#This Row],[Actual_Delivery_Date]]&lt;=tblPO[[#This Row],[Expected_Delivery_Date]],1,0)</f>
        <v>1</v>
      </c>
      <c r="L944">
        <f>IF(tblPO[[#This Row],[Actual_Delivery_Date]]&gt;tblPO[[#This Row],[Expected_Delivery_Date]],1,0)</f>
        <v>0</v>
      </c>
      <c r="M944">
        <f>tblPO[[#This Row],[Actual_Delivery_Date]]-tblPO[[#This Row],[PO_Date]]</f>
        <v>17</v>
      </c>
    </row>
    <row r="945" spans="1:13" x14ac:dyDescent="0.3">
      <c r="A945" t="s">
        <v>1313</v>
      </c>
      <c r="B945" s="18">
        <v>45477</v>
      </c>
      <c r="C945" t="s">
        <v>43</v>
      </c>
      <c r="D945" t="s">
        <v>164</v>
      </c>
      <c r="E945">
        <v>74</v>
      </c>
      <c r="F945">
        <v>108.34</v>
      </c>
      <c r="G945" s="18">
        <v>45484</v>
      </c>
      <c r="H945" s="18">
        <v>45484</v>
      </c>
      <c r="I945">
        <v>74</v>
      </c>
      <c r="J945">
        <v>8017.16</v>
      </c>
      <c r="K945">
        <f>IF(tblPO[[#This Row],[Actual_Delivery_Date]]&lt;=tblPO[[#This Row],[Expected_Delivery_Date]],1,0)</f>
        <v>1</v>
      </c>
      <c r="L945">
        <f>IF(tblPO[[#This Row],[Actual_Delivery_Date]]&gt;tblPO[[#This Row],[Expected_Delivery_Date]],1,0)</f>
        <v>0</v>
      </c>
      <c r="M945">
        <f>tblPO[[#This Row],[Actual_Delivery_Date]]-tblPO[[#This Row],[PO_Date]]</f>
        <v>7</v>
      </c>
    </row>
    <row r="946" spans="1:13" x14ac:dyDescent="0.3">
      <c r="A946" t="s">
        <v>1312</v>
      </c>
      <c r="B946" s="18">
        <v>45496</v>
      </c>
      <c r="C946" t="s">
        <v>46</v>
      </c>
      <c r="D946" t="s">
        <v>108</v>
      </c>
      <c r="E946">
        <v>4</v>
      </c>
      <c r="F946">
        <v>14499.06</v>
      </c>
      <c r="G946" s="18">
        <v>45522</v>
      </c>
      <c r="H946" s="18">
        <v>45521</v>
      </c>
      <c r="I946">
        <v>4</v>
      </c>
      <c r="J946">
        <v>57996.24</v>
      </c>
      <c r="K946">
        <f>IF(tblPO[[#This Row],[Actual_Delivery_Date]]&lt;=tblPO[[#This Row],[Expected_Delivery_Date]],1,0)</f>
        <v>1</v>
      </c>
      <c r="L946">
        <f>IF(tblPO[[#This Row],[Actual_Delivery_Date]]&gt;tblPO[[#This Row],[Expected_Delivery_Date]],1,0)</f>
        <v>0</v>
      </c>
      <c r="M946">
        <f>tblPO[[#This Row],[Actual_Delivery_Date]]-tblPO[[#This Row],[PO_Date]]</f>
        <v>25</v>
      </c>
    </row>
    <row r="947" spans="1:13" x14ac:dyDescent="0.3">
      <c r="A947" t="s">
        <v>1311</v>
      </c>
      <c r="B947" s="18">
        <v>45477</v>
      </c>
      <c r="C947" t="s">
        <v>40</v>
      </c>
      <c r="D947" t="s">
        <v>138</v>
      </c>
      <c r="E947">
        <v>21</v>
      </c>
      <c r="F947">
        <v>4098.05</v>
      </c>
      <c r="G947" s="18">
        <v>45485</v>
      </c>
      <c r="H947" s="18">
        <v>45485</v>
      </c>
      <c r="I947">
        <v>21</v>
      </c>
      <c r="J947">
        <v>86059.05</v>
      </c>
      <c r="K947">
        <f>IF(tblPO[[#This Row],[Actual_Delivery_Date]]&lt;=tblPO[[#This Row],[Expected_Delivery_Date]],1,0)</f>
        <v>1</v>
      </c>
      <c r="L947">
        <f>IF(tblPO[[#This Row],[Actual_Delivery_Date]]&gt;tblPO[[#This Row],[Expected_Delivery_Date]],1,0)</f>
        <v>0</v>
      </c>
      <c r="M947">
        <f>tblPO[[#This Row],[Actual_Delivery_Date]]-tblPO[[#This Row],[PO_Date]]</f>
        <v>8</v>
      </c>
    </row>
    <row r="948" spans="1:13" x14ac:dyDescent="0.3">
      <c r="A948" t="s">
        <v>1310</v>
      </c>
      <c r="B948" s="18">
        <v>45488</v>
      </c>
      <c r="C948" t="s">
        <v>52</v>
      </c>
      <c r="D948" t="s">
        <v>251</v>
      </c>
      <c r="E948">
        <v>207</v>
      </c>
      <c r="F948">
        <v>83.62</v>
      </c>
      <c r="G948" s="18">
        <v>45502</v>
      </c>
      <c r="H948" s="18">
        <v>45499</v>
      </c>
      <c r="I948">
        <v>207</v>
      </c>
      <c r="J948">
        <v>17309.34</v>
      </c>
      <c r="K948">
        <f>IF(tblPO[[#This Row],[Actual_Delivery_Date]]&lt;=tblPO[[#This Row],[Expected_Delivery_Date]],1,0)</f>
        <v>1</v>
      </c>
      <c r="L948">
        <f>IF(tblPO[[#This Row],[Actual_Delivery_Date]]&gt;tblPO[[#This Row],[Expected_Delivery_Date]],1,0)</f>
        <v>0</v>
      </c>
      <c r="M948">
        <f>tblPO[[#This Row],[Actual_Delivery_Date]]-tblPO[[#This Row],[PO_Date]]</f>
        <v>11</v>
      </c>
    </row>
    <row r="949" spans="1:13" x14ac:dyDescent="0.3">
      <c r="A949" t="s">
        <v>1309</v>
      </c>
      <c r="B949" s="18">
        <v>45475</v>
      </c>
      <c r="C949" t="s">
        <v>46</v>
      </c>
      <c r="D949" t="s">
        <v>94</v>
      </c>
      <c r="E949">
        <v>188</v>
      </c>
      <c r="F949">
        <v>513.08000000000004</v>
      </c>
      <c r="G949" s="18">
        <v>45503</v>
      </c>
      <c r="H949" s="18">
        <v>45500</v>
      </c>
      <c r="I949">
        <v>188</v>
      </c>
      <c r="J949">
        <v>96459.04</v>
      </c>
      <c r="K949">
        <f>IF(tblPO[[#This Row],[Actual_Delivery_Date]]&lt;=tblPO[[#This Row],[Expected_Delivery_Date]],1,0)</f>
        <v>1</v>
      </c>
      <c r="L949">
        <f>IF(tblPO[[#This Row],[Actual_Delivery_Date]]&gt;tblPO[[#This Row],[Expected_Delivery_Date]],1,0)</f>
        <v>0</v>
      </c>
      <c r="M949">
        <f>tblPO[[#This Row],[Actual_Delivery_Date]]-tblPO[[#This Row],[PO_Date]]</f>
        <v>25</v>
      </c>
    </row>
    <row r="950" spans="1:13" x14ac:dyDescent="0.3">
      <c r="A950" t="s">
        <v>1308</v>
      </c>
      <c r="B950" s="18">
        <v>45474</v>
      </c>
      <c r="C950" t="s">
        <v>45</v>
      </c>
      <c r="D950" t="s">
        <v>233</v>
      </c>
      <c r="E950">
        <v>163</v>
      </c>
      <c r="F950">
        <v>198.61</v>
      </c>
      <c r="G950" s="18">
        <v>45478</v>
      </c>
      <c r="H950" s="18">
        <v>45476</v>
      </c>
      <c r="I950">
        <v>163</v>
      </c>
      <c r="J950">
        <v>32373.43</v>
      </c>
      <c r="K950">
        <f>IF(tblPO[[#This Row],[Actual_Delivery_Date]]&lt;=tblPO[[#This Row],[Expected_Delivery_Date]],1,0)</f>
        <v>1</v>
      </c>
      <c r="L950">
        <f>IF(tblPO[[#This Row],[Actual_Delivery_Date]]&gt;tblPO[[#This Row],[Expected_Delivery_Date]],1,0)</f>
        <v>0</v>
      </c>
      <c r="M950">
        <f>tblPO[[#This Row],[Actual_Delivery_Date]]-tblPO[[#This Row],[PO_Date]]</f>
        <v>2</v>
      </c>
    </row>
    <row r="951" spans="1:13" x14ac:dyDescent="0.3">
      <c r="A951" t="s">
        <v>1307</v>
      </c>
      <c r="B951" s="18">
        <v>45476</v>
      </c>
      <c r="C951" t="s">
        <v>66</v>
      </c>
      <c r="D951" t="s">
        <v>229</v>
      </c>
      <c r="E951">
        <v>8</v>
      </c>
      <c r="F951">
        <v>1580.03</v>
      </c>
      <c r="G951" s="18">
        <v>45479</v>
      </c>
      <c r="H951" s="18">
        <v>45476</v>
      </c>
      <c r="I951">
        <v>8</v>
      </c>
      <c r="J951">
        <v>12640.24</v>
      </c>
      <c r="K951">
        <f>IF(tblPO[[#This Row],[Actual_Delivery_Date]]&lt;=tblPO[[#This Row],[Expected_Delivery_Date]],1,0)</f>
        <v>1</v>
      </c>
      <c r="L951">
        <f>IF(tblPO[[#This Row],[Actual_Delivery_Date]]&gt;tblPO[[#This Row],[Expected_Delivery_Date]],1,0)</f>
        <v>0</v>
      </c>
      <c r="M951">
        <f>tblPO[[#This Row],[Actual_Delivery_Date]]-tblPO[[#This Row],[PO_Date]]</f>
        <v>0</v>
      </c>
    </row>
    <row r="952" spans="1:13" x14ac:dyDescent="0.3">
      <c r="A952" t="s">
        <v>1306</v>
      </c>
      <c r="B952" s="18">
        <v>45481</v>
      </c>
      <c r="C952" t="s">
        <v>45</v>
      </c>
      <c r="D952" t="s">
        <v>239</v>
      </c>
      <c r="E952">
        <v>114</v>
      </c>
      <c r="F952">
        <v>91.55</v>
      </c>
      <c r="G952" s="18">
        <v>45487</v>
      </c>
      <c r="H952" s="18">
        <v>45485</v>
      </c>
      <c r="I952">
        <v>114</v>
      </c>
      <c r="J952">
        <v>10436.700000000001</v>
      </c>
      <c r="K952">
        <f>IF(tblPO[[#This Row],[Actual_Delivery_Date]]&lt;=tblPO[[#This Row],[Expected_Delivery_Date]],1,0)</f>
        <v>1</v>
      </c>
      <c r="L952">
        <f>IF(tblPO[[#This Row],[Actual_Delivery_Date]]&gt;tblPO[[#This Row],[Expected_Delivery_Date]],1,0)</f>
        <v>0</v>
      </c>
      <c r="M952">
        <f>tblPO[[#This Row],[Actual_Delivery_Date]]-tblPO[[#This Row],[PO_Date]]</f>
        <v>4</v>
      </c>
    </row>
    <row r="953" spans="1:13" x14ac:dyDescent="0.3">
      <c r="A953" t="s">
        <v>1305</v>
      </c>
      <c r="B953" s="18">
        <v>45500</v>
      </c>
      <c r="C953" t="s">
        <v>48</v>
      </c>
      <c r="D953" t="s">
        <v>176</v>
      </c>
      <c r="E953">
        <v>160</v>
      </c>
      <c r="F953">
        <v>54.23</v>
      </c>
      <c r="G953" s="18">
        <v>45522</v>
      </c>
      <c r="H953" s="18">
        <v>45520</v>
      </c>
      <c r="I953">
        <v>160</v>
      </c>
      <c r="J953">
        <v>8676.7999999999993</v>
      </c>
      <c r="K953">
        <f>IF(tblPO[[#This Row],[Actual_Delivery_Date]]&lt;=tblPO[[#This Row],[Expected_Delivery_Date]],1,0)</f>
        <v>1</v>
      </c>
      <c r="L953">
        <f>IF(tblPO[[#This Row],[Actual_Delivery_Date]]&gt;tblPO[[#This Row],[Expected_Delivery_Date]],1,0)</f>
        <v>0</v>
      </c>
      <c r="M953">
        <f>tblPO[[#This Row],[Actual_Delivery_Date]]-tblPO[[#This Row],[PO_Date]]</f>
        <v>20</v>
      </c>
    </row>
    <row r="954" spans="1:13" x14ac:dyDescent="0.3">
      <c r="A954" t="s">
        <v>1304</v>
      </c>
      <c r="B954" s="18">
        <v>45477</v>
      </c>
      <c r="C954" t="s">
        <v>49</v>
      </c>
      <c r="D954" t="s">
        <v>179</v>
      </c>
      <c r="E954">
        <v>488</v>
      </c>
      <c r="F954">
        <v>19.420000000000002</v>
      </c>
      <c r="G954" s="18">
        <v>45487</v>
      </c>
      <c r="H954" s="18">
        <v>45486</v>
      </c>
      <c r="I954">
        <v>488</v>
      </c>
      <c r="J954">
        <v>9476.9599999999991</v>
      </c>
      <c r="K954">
        <f>IF(tblPO[[#This Row],[Actual_Delivery_Date]]&lt;=tblPO[[#This Row],[Expected_Delivery_Date]],1,0)</f>
        <v>1</v>
      </c>
      <c r="L954">
        <f>IF(tblPO[[#This Row],[Actual_Delivery_Date]]&gt;tblPO[[#This Row],[Expected_Delivery_Date]],1,0)</f>
        <v>0</v>
      </c>
      <c r="M954">
        <f>tblPO[[#This Row],[Actual_Delivery_Date]]-tblPO[[#This Row],[PO_Date]]</f>
        <v>9</v>
      </c>
    </row>
    <row r="955" spans="1:13" x14ac:dyDescent="0.3">
      <c r="A955" t="s">
        <v>1303</v>
      </c>
      <c r="B955" s="18">
        <v>45474</v>
      </c>
      <c r="C955" t="s">
        <v>55</v>
      </c>
      <c r="D955" t="s">
        <v>251</v>
      </c>
      <c r="E955">
        <v>373</v>
      </c>
      <c r="F955">
        <v>94.45</v>
      </c>
      <c r="G955" s="18">
        <v>45498</v>
      </c>
      <c r="H955" s="18">
        <v>45496</v>
      </c>
      <c r="I955">
        <v>361</v>
      </c>
      <c r="J955">
        <v>35229.85</v>
      </c>
      <c r="K955">
        <f>IF(tblPO[[#This Row],[Actual_Delivery_Date]]&lt;=tblPO[[#This Row],[Expected_Delivery_Date]],1,0)</f>
        <v>1</v>
      </c>
      <c r="L955">
        <f>IF(tblPO[[#This Row],[Actual_Delivery_Date]]&gt;tblPO[[#This Row],[Expected_Delivery_Date]],1,0)</f>
        <v>0</v>
      </c>
      <c r="M955">
        <f>tblPO[[#This Row],[Actual_Delivery_Date]]-tblPO[[#This Row],[PO_Date]]</f>
        <v>22</v>
      </c>
    </row>
    <row r="956" spans="1:13" x14ac:dyDescent="0.3">
      <c r="A956" t="s">
        <v>1302</v>
      </c>
      <c r="B956" s="18">
        <v>45476</v>
      </c>
      <c r="C956" t="s">
        <v>50</v>
      </c>
      <c r="D956" t="s">
        <v>121</v>
      </c>
      <c r="E956">
        <v>21</v>
      </c>
      <c r="F956">
        <v>700.48</v>
      </c>
      <c r="G956" s="18">
        <v>45485</v>
      </c>
      <c r="H956" s="18">
        <v>45485</v>
      </c>
      <c r="I956">
        <v>21</v>
      </c>
      <c r="J956">
        <v>14710.08</v>
      </c>
      <c r="K956">
        <f>IF(tblPO[[#This Row],[Actual_Delivery_Date]]&lt;=tblPO[[#This Row],[Expected_Delivery_Date]],1,0)</f>
        <v>1</v>
      </c>
      <c r="L956">
        <f>IF(tblPO[[#This Row],[Actual_Delivery_Date]]&gt;tblPO[[#This Row],[Expected_Delivery_Date]],1,0)</f>
        <v>0</v>
      </c>
      <c r="M956">
        <f>tblPO[[#This Row],[Actual_Delivery_Date]]-tblPO[[#This Row],[PO_Date]]</f>
        <v>9</v>
      </c>
    </row>
    <row r="957" spans="1:13" x14ac:dyDescent="0.3">
      <c r="A957" t="s">
        <v>1301</v>
      </c>
      <c r="B957" s="18">
        <v>45479</v>
      </c>
      <c r="C957" t="s">
        <v>40</v>
      </c>
      <c r="D957" t="s">
        <v>140</v>
      </c>
      <c r="E957">
        <v>155</v>
      </c>
      <c r="F957">
        <v>448.5</v>
      </c>
      <c r="G957" s="18">
        <v>45490</v>
      </c>
      <c r="H957" s="18">
        <v>45489</v>
      </c>
      <c r="I957">
        <v>155</v>
      </c>
      <c r="J957">
        <v>69517.5</v>
      </c>
      <c r="K957">
        <f>IF(tblPO[[#This Row],[Actual_Delivery_Date]]&lt;=tblPO[[#This Row],[Expected_Delivery_Date]],1,0)</f>
        <v>1</v>
      </c>
      <c r="L957">
        <f>IF(tblPO[[#This Row],[Actual_Delivery_Date]]&gt;tblPO[[#This Row],[Expected_Delivery_Date]],1,0)</f>
        <v>0</v>
      </c>
      <c r="M957">
        <f>tblPO[[#This Row],[Actual_Delivery_Date]]-tblPO[[#This Row],[PO_Date]]</f>
        <v>10</v>
      </c>
    </row>
    <row r="958" spans="1:13" x14ac:dyDescent="0.3">
      <c r="A958" t="s">
        <v>1300</v>
      </c>
      <c r="B958" s="18">
        <v>45478</v>
      </c>
      <c r="C958" t="s">
        <v>61</v>
      </c>
      <c r="D958" t="s">
        <v>227</v>
      </c>
      <c r="E958">
        <v>24</v>
      </c>
      <c r="F958">
        <v>1115.6600000000001</v>
      </c>
      <c r="G958" s="18">
        <v>45491</v>
      </c>
      <c r="H958" s="18">
        <v>45490</v>
      </c>
      <c r="I958">
        <v>24</v>
      </c>
      <c r="J958">
        <v>26775.84</v>
      </c>
      <c r="K958">
        <f>IF(tblPO[[#This Row],[Actual_Delivery_Date]]&lt;=tblPO[[#This Row],[Expected_Delivery_Date]],1,0)</f>
        <v>1</v>
      </c>
      <c r="L958">
        <f>IF(tblPO[[#This Row],[Actual_Delivery_Date]]&gt;tblPO[[#This Row],[Expected_Delivery_Date]],1,0)</f>
        <v>0</v>
      </c>
      <c r="M958">
        <f>tblPO[[#This Row],[Actual_Delivery_Date]]-tblPO[[#This Row],[PO_Date]]</f>
        <v>12</v>
      </c>
    </row>
    <row r="959" spans="1:13" x14ac:dyDescent="0.3">
      <c r="A959" t="s">
        <v>1299</v>
      </c>
      <c r="B959" s="18">
        <v>45493</v>
      </c>
      <c r="C959" t="s">
        <v>45</v>
      </c>
      <c r="D959" t="s">
        <v>221</v>
      </c>
      <c r="E959">
        <v>2</v>
      </c>
      <c r="F959">
        <v>1788.41</v>
      </c>
      <c r="G959" s="18">
        <v>45510</v>
      </c>
      <c r="H959" s="18">
        <v>45508</v>
      </c>
      <c r="I959">
        <v>2</v>
      </c>
      <c r="J959">
        <v>3576.82</v>
      </c>
      <c r="K959">
        <f>IF(tblPO[[#This Row],[Actual_Delivery_Date]]&lt;=tblPO[[#This Row],[Expected_Delivery_Date]],1,0)</f>
        <v>1</v>
      </c>
      <c r="L959">
        <f>IF(tblPO[[#This Row],[Actual_Delivery_Date]]&gt;tblPO[[#This Row],[Expected_Delivery_Date]],1,0)</f>
        <v>0</v>
      </c>
      <c r="M959">
        <f>tblPO[[#This Row],[Actual_Delivery_Date]]-tblPO[[#This Row],[PO_Date]]</f>
        <v>15</v>
      </c>
    </row>
    <row r="960" spans="1:13" x14ac:dyDescent="0.3">
      <c r="A960" t="s">
        <v>1298</v>
      </c>
      <c r="B960" s="18">
        <v>45474</v>
      </c>
      <c r="C960" t="s">
        <v>41</v>
      </c>
      <c r="D960" t="s">
        <v>185</v>
      </c>
      <c r="E960">
        <v>576</v>
      </c>
      <c r="F960">
        <v>8.1300000000000008</v>
      </c>
      <c r="G960" s="18">
        <v>45480</v>
      </c>
      <c r="H960" s="18">
        <v>45480</v>
      </c>
      <c r="I960">
        <v>576</v>
      </c>
      <c r="J960">
        <v>4682.88</v>
      </c>
      <c r="K960">
        <f>IF(tblPO[[#This Row],[Actual_Delivery_Date]]&lt;=tblPO[[#This Row],[Expected_Delivery_Date]],1,0)</f>
        <v>1</v>
      </c>
      <c r="L960">
        <f>IF(tblPO[[#This Row],[Actual_Delivery_Date]]&gt;tblPO[[#This Row],[Expected_Delivery_Date]],1,0)</f>
        <v>0</v>
      </c>
      <c r="M960">
        <f>tblPO[[#This Row],[Actual_Delivery_Date]]-tblPO[[#This Row],[PO_Date]]</f>
        <v>6</v>
      </c>
    </row>
    <row r="961" spans="1:13" x14ac:dyDescent="0.3">
      <c r="A961" t="s">
        <v>1297</v>
      </c>
      <c r="B961" s="18">
        <v>45485</v>
      </c>
      <c r="C961" t="s">
        <v>40</v>
      </c>
      <c r="D961" t="s">
        <v>123</v>
      </c>
      <c r="E961">
        <v>6</v>
      </c>
      <c r="F961">
        <v>1217.5999999999999</v>
      </c>
      <c r="G961" s="18">
        <v>45503</v>
      </c>
      <c r="H961" s="18">
        <v>45501</v>
      </c>
      <c r="I961">
        <v>6</v>
      </c>
      <c r="J961">
        <v>7305.6</v>
      </c>
      <c r="K961">
        <f>IF(tblPO[[#This Row],[Actual_Delivery_Date]]&lt;=tblPO[[#This Row],[Expected_Delivery_Date]],1,0)</f>
        <v>1</v>
      </c>
      <c r="L961">
        <f>IF(tblPO[[#This Row],[Actual_Delivery_Date]]&gt;tblPO[[#This Row],[Expected_Delivery_Date]],1,0)</f>
        <v>0</v>
      </c>
      <c r="M961">
        <f>tblPO[[#This Row],[Actual_Delivery_Date]]-tblPO[[#This Row],[PO_Date]]</f>
        <v>16</v>
      </c>
    </row>
    <row r="962" spans="1:13" x14ac:dyDescent="0.3">
      <c r="A962" t="s">
        <v>1296</v>
      </c>
      <c r="B962" s="18">
        <v>45493</v>
      </c>
      <c r="C962" t="s">
        <v>44</v>
      </c>
      <c r="D962" t="s">
        <v>188</v>
      </c>
      <c r="E962">
        <v>792</v>
      </c>
      <c r="F962">
        <v>30.01</v>
      </c>
      <c r="G962" s="18">
        <v>45519</v>
      </c>
      <c r="H962" s="18">
        <v>45518</v>
      </c>
      <c r="I962">
        <v>792</v>
      </c>
      <c r="J962">
        <v>23767.919999999998</v>
      </c>
      <c r="K962">
        <f>IF(tblPO[[#This Row],[Actual_Delivery_Date]]&lt;=tblPO[[#This Row],[Expected_Delivery_Date]],1,0)</f>
        <v>1</v>
      </c>
      <c r="L962">
        <f>IF(tblPO[[#This Row],[Actual_Delivery_Date]]&gt;tblPO[[#This Row],[Expected_Delivery_Date]],1,0)</f>
        <v>0</v>
      </c>
      <c r="M962">
        <f>tblPO[[#This Row],[Actual_Delivery_Date]]-tblPO[[#This Row],[PO_Date]]</f>
        <v>25</v>
      </c>
    </row>
    <row r="963" spans="1:13" x14ac:dyDescent="0.3">
      <c r="A963" t="s">
        <v>1295</v>
      </c>
      <c r="B963" s="18">
        <v>45490</v>
      </c>
      <c r="C963" t="s">
        <v>43</v>
      </c>
      <c r="D963" t="s">
        <v>166</v>
      </c>
      <c r="E963">
        <v>90</v>
      </c>
      <c r="F963">
        <v>74.650000000000006</v>
      </c>
      <c r="G963" s="18">
        <v>45506</v>
      </c>
      <c r="H963" s="18">
        <v>45505</v>
      </c>
      <c r="I963">
        <v>90</v>
      </c>
      <c r="J963">
        <v>6718.5</v>
      </c>
      <c r="K963">
        <f>IF(tblPO[[#This Row],[Actual_Delivery_Date]]&lt;=tblPO[[#This Row],[Expected_Delivery_Date]],1,0)</f>
        <v>1</v>
      </c>
      <c r="L963">
        <f>IF(tblPO[[#This Row],[Actual_Delivery_Date]]&gt;tblPO[[#This Row],[Expected_Delivery_Date]],1,0)</f>
        <v>0</v>
      </c>
      <c r="M963">
        <f>tblPO[[#This Row],[Actual_Delivery_Date]]-tblPO[[#This Row],[PO_Date]]</f>
        <v>15</v>
      </c>
    </row>
    <row r="964" spans="1:13" x14ac:dyDescent="0.3">
      <c r="A964" t="s">
        <v>1294</v>
      </c>
      <c r="B964" s="18">
        <v>45484</v>
      </c>
      <c r="C964" t="s">
        <v>39</v>
      </c>
      <c r="D964" t="s">
        <v>170</v>
      </c>
      <c r="E964">
        <v>389</v>
      </c>
      <c r="F964">
        <v>94.59</v>
      </c>
      <c r="G964" s="18">
        <v>45503</v>
      </c>
      <c r="H964" s="18">
        <v>45500</v>
      </c>
      <c r="I964">
        <v>389</v>
      </c>
      <c r="J964">
        <v>36795.51</v>
      </c>
      <c r="K964">
        <f>IF(tblPO[[#This Row],[Actual_Delivery_Date]]&lt;=tblPO[[#This Row],[Expected_Delivery_Date]],1,0)</f>
        <v>1</v>
      </c>
      <c r="L964">
        <f>IF(tblPO[[#This Row],[Actual_Delivery_Date]]&gt;tblPO[[#This Row],[Expected_Delivery_Date]],1,0)</f>
        <v>0</v>
      </c>
      <c r="M964">
        <f>tblPO[[#This Row],[Actual_Delivery_Date]]-tblPO[[#This Row],[PO_Date]]</f>
        <v>16</v>
      </c>
    </row>
    <row r="965" spans="1:13" x14ac:dyDescent="0.3">
      <c r="A965" t="s">
        <v>1293</v>
      </c>
      <c r="B965" s="18">
        <v>45496</v>
      </c>
      <c r="C965" t="s">
        <v>58</v>
      </c>
      <c r="D965" t="s">
        <v>156</v>
      </c>
      <c r="E965">
        <v>753</v>
      </c>
      <c r="F965">
        <v>68.58</v>
      </c>
      <c r="G965" s="18">
        <v>45515</v>
      </c>
      <c r="H965" s="18">
        <v>45515</v>
      </c>
      <c r="I965">
        <v>753</v>
      </c>
      <c r="J965">
        <v>51640.74</v>
      </c>
      <c r="K965">
        <f>IF(tblPO[[#This Row],[Actual_Delivery_Date]]&lt;=tblPO[[#This Row],[Expected_Delivery_Date]],1,0)</f>
        <v>1</v>
      </c>
      <c r="L965">
        <f>IF(tblPO[[#This Row],[Actual_Delivery_Date]]&gt;tblPO[[#This Row],[Expected_Delivery_Date]],1,0)</f>
        <v>0</v>
      </c>
      <c r="M965">
        <f>tblPO[[#This Row],[Actual_Delivery_Date]]-tblPO[[#This Row],[PO_Date]]</f>
        <v>19</v>
      </c>
    </row>
    <row r="966" spans="1:13" x14ac:dyDescent="0.3">
      <c r="A966" t="s">
        <v>1292</v>
      </c>
      <c r="B966" s="18">
        <v>45476</v>
      </c>
      <c r="C966" t="s">
        <v>41</v>
      </c>
      <c r="D966" t="s">
        <v>205</v>
      </c>
      <c r="E966">
        <v>11</v>
      </c>
      <c r="F966">
        <v>412.09</v>
      </c>
      <c r="G966" s="18">
        <v>45494</v>
      </c>
      <c r="H966" s="18">
        <v>45492</v>
      </c>
      <c r="I966">
        <v>10</v>
      </c>
      <c r="J966">
        <v>4532.99</v>
      </c>
      <c r="K966">
        <f>IF(tblPO[[#This Row],[Actual_Delivery_Date]]&lt;=tblPO[[#This Row],[Expected_Delivery_Date]],1,0)</f>
        <v>1</v>
      </c>
      <c r="L966">
        <f>IF(tblPO[[#This Row],[Actual_Delivery_Date]]&gt;tblPO[[#This Row],[Expected_Delivery_Date]],1,0)</f>
        <v>0</v>
      </c>
      <c r="M966">
        <f>tblPO[[#This Row],[Actual_Delivery_Date]]-tblPO[[#This Row],[PO_Date]]</f>
        <v>16</v>
      </c>
    </row>
    <row r="967" spans="1:13" x14ac:dyDescent="0.3">
      <c r="A967" t="s">
        <v>1291</v>
      </c>
      <c r="B967" s="18">
        <v>45492</v>
      </c>
      <c r="C967" t="s">
        <v>38</v>
      </c>
      <c r="D967" t="s">
        <v>239</v>
      </c>
      <c r="E967">
        <v>227</v>
      </c>
      <c r="F967">
        <v>92.15</v>
      </c>
      <c r="G967" s="18">
        <v>45501</v>
      </c>
      <c r="H967" s="18">
        <v>45498</v>
      </c>
      <c r="I967">
        <v>227</v>
      </c>
      <c r="J967">
        <v>20918.05</v>
      </c>
      <c r="K967">
        <f>IF(tblPO[[#This Row],[Actual_Delivery_Date]]&lt;=tblPO[[#This Row],[Expected_Delivery_Date]],1,0)</f>
        <v>1</v>
      </c>
      <c r="L967">
        <f>IF(tblPO[[#This Row],[Actual_Delivery_Date]]&gt;tblPO[[#This Row],[Expected_Delivery_Date]],1,0)</f>
        <v>0</v>
      </c>
      <c r="M967">
        <f>tblPO[[#This Row],[Actual_Delivery_Date]]-tblPO[[#This Row],[PO_Date]]</f>
        <v>6</v>
      </c>
    </row>
    <row r="968" spans="1:13" x14ac:dyDescent="0.3">
      <c r="A968" t="s">
        <v>1290</v>
      </c>
      <c r="B968" s="18">
        <v>45480</v>
      </c>
      <c r="C968" t="s">
        <v>54</v>
      </c>
      <c r="D968" t="s">
        <v>195</v>
      </c>
      <c r="E968">
        <v>194</v>
      </c>
      <c r="F968">
        <v>499.35</v>
      </c>
      <c r="G968" s="18">
        <v>45490</v>
      </c>
      <c r="H968" s="18">
        <v>45488</v>
      </c>
      <c r="I968">
        <v>194</v>
      </c>
      <c r="J968">
        <v>96873.9</v>
      </c>
      <c r="K968">
        <f>IF(tblPO[[#This Row],[Actual_Delivery_Date]]&lt;=tblPO[[#This Row],[Expected_Delivery_Date]],1,0)</f>
        <v>1</v>
      </c>
      <c r="L968">
        <f>IF(tblPO[[#This Row],[Actual_Delivery_Date]]&gt;tblPO[[#This Row],[Expected_Delivery_Date]],1,0)</f>
        <v>0</v>
      </c>
      <c r="M968">
        <f>tblPO[[#This Row],[Actual_Delivery_Date]]-tblPO[[#This Row],[PO_Date]]</f>
        <v>8</v>
      </c>
    </row>
    <row r="969" spans="1:13" x14ac:dyDescent="0.3">
      <c r="A969" t="s">
        <v>1289</v>
      </c>
      <c r="B969" s="18">
        <v>45480</v>
      </c>
      <c r="C969" t="s">
        <v>42</v>
      </c>
      <c r="D969" t="s">
        <v>92</v>
      </c>
      <c r="E969">
        <v>22</v>
      </c>
      <c r="F969">
        <v>4616.8100000000004</v>
      </c>
      <c r="G969" s="18">
        <v>45500</v>
      </c>
      <c r="H969" s="18">
        <v>45500</v>
      </c>
      <c r="I969">
        <v>22</v>
      </c>
      <c r="J969">
        <v>101569.82</v>
      </c>
      <c r="K969">
        <f>IF(tblPO[[#This Row],[Actual_Delivery_Date]]&lt;=tblPO[[#This Row],[Expected_Delivery_Date]],1,0)</f>
        <v>1</v>
      </c>
      <c r="L969">
        <f>IF(tblPO[[#This Row],[Actual_Delivery_Date]]&gt;tblPO[[#This Row],[Expected_Delivery_Date]],1,0)</f>
        <v>0</v>
      </c>
      <c r="M969">
        <f>tblPO[[#This Row],[Actual_Delivery_Date]]-tblPO[[#This Row],[PO_Date]]</f>
        <v>20</v>
      </c>
    </row>
    <row r="970" spans="1:13" x14ac:dyDescent="0.3">
      <c r="A970" t="s">
        <v>1288</v>
      </c>
      <c r="B970" s="18">
        <v>45489</v>
      </c>
      <c r="C970" t="s">
        <v>46</v>
      </c>
      <c r="D970" t="s">
        <v>100</v>
      </c>
      <c r="E970">
        <v>3</v>
      </c>
      <c r="F970">
        <v>55792.1</v>
      </c>
      <c r="G970" s="18">
        <v>45515</v>
      </c>
      <c r="H970" s="18">
        <v>45515</v>
      </c>
      <c r="I970">
        <v>3</v>
      </c>
      <c r="J970">
        <v>167376.29999999999</v>
      </c>
      <c r="K970">
        <f>IF(tblPO[[#This Row],[Actual_Delivery_Date]]&lt;=tblPO[[#This Row],[Expected_Delivery_Date]],1,0)</f>
        <v>1</v>
      </c>
      <c r="L970">
        <f>IF(tblPO[[#This Row],[Actual_Delivery_Date]]&gt;tblPO[[#This Row],[Expected_Delivery_Date]],1,0)</f>
        <v>0</v>
      </c>
      <c r="M970">
        <f>tblPO[[#This Row],[Actual_Delivery_Date]]-tblPO[[#This Row],[PO_Date]]</f>
        <v>26</v>
      </c>
    </row>
    <row r="971" spans="1:13" x14ac:dyDescent="0.3">
      <c r="A971" t="s">
        <v>1287</v>
      </c>
      <c r="B971" s="18">
        <v>45474</v>
      </c>
      <c r="C971" t="s">
        <v>40</v>
      </c>
      <c r="D971" t="s">
        <v>115</v>
      </c>
      <c r="E971">
        <v>17</v>
      </c>
      <c r="F971">
        <v>3481.97</v>
      </c>
      <c r="G971" s="18">
        <v>45489</v>
      </c>
      <c r="H971" s="18">
        <v>45486</v>
      </c>
      <c r="I971">
        <v>17</v>
      </c>
      <c r="J971">
        <v>59193.49</v>
      </c>
      <c r="K971">
        <f>IF(tblPO[[#This Row],[Actual_Delivery_Date]]&lt;=tblPO[[#This Row],[Expected_Delivery_Date]],1,0)</f>
        <v>1</v>
      </c>
      <c r="L971">
        <f>IF(tblPO[[#This Row],[Actual_Delivery_Date]]&gt;tblPO[[#This Row],[Expected_Delivery_Date]],1,0)</f>
        <v>0</v>
      </c>
      <c r="M971">
        <f>tblPO[[#This Row],[Actual_Delivery_Date]]-tblPO[[#This Row],[PO_Date]]</f>
        <v>12</v>
      </c>
    </row>
    <row r="972" spans="1:13" x14ac:dyDescent="0.3">
      <c r="A972" t="s">
        <v>1286</v>
      </c>
      <c r="B972" s="18">
        <v>45491</v>
      </c>
      <c r="C972" t="s">
        <v>38</v>
      </c>
      <c r="D972" t="s">
        <v>233</v>
      </c>
      <c r="E972">
        <v>49</v>
      </c>
      <c r="F972">
        <v>211.6</v>
      </c>
      <c r="G972" s="18">
        <v>45499</v>
      </c>
      <c r="H972" s="18">
        <v>45499</v>
      </c>
      <c r="I972">
        <v>49</v>
      </c>
      <c r="J972">
        <v>10368.4</v>
      </c>
      <c r="K972">
        <f>IF(tblPO[[#This Row],[Actual_Delivery_Date]]&lt;=tblPO[[#This Row],[Expected_Delivery_Date]],1,0)</f>
        <v>1</v>
      </c>
      <c r="L972">
        <f>IF(tblPO[[#This Row],[Actual_Delivery_Date]]&gt;tblPO[[#This Row],[Expected_Delivery_Date]],1,0)</f>
        <v>0</v>
      </c>
      <c r="M972">
        <f>tblPO[[#This Row],[Actual_Delivery_Date]]-tblPO[[#This Row],[PO_Date]]</f>
        <v>8</v>
      </c>
    </row>
    <row r="973" spans="1:13" x14ac:dyDescent="0.3">
      <c r="A973" t="s">
        <v>1285</v>
      </c>
      <c r="B973" s="18">
        <v>45489</v>
      </c>
      <c r="C973" t="s">
        <v>46</v>
      </c>
      <c r="D973" t="s">
        <v>102</v>
      </c>
      <c r="E973">
        <v>165</v>
      </c>
      <c r="F973">
        <v>643.51</v>
      </c>
      <c r="G973" s="18">
        <v>45503</v>
      </c>
      <c r="H973" s="18">
        <v>45503</v>
      </c>
      <c r="I973">
        <v>165</v>
      </c>
      <c r="J973">
        <v>106179.15</v>
      </c>
      <c r="K973">
        <f>IF(tblPO[[#This Row],[Actual_Delivery_Date]]&lt;=tblPO[[#This Row],[Expected_Delivery_Date]],1,0)</f>
        <v>1</v>
      </c>
      <c r="L973">
        <f>IF(tblPO[[#This Row],[Actual_Delivery_Date]]&gt;tblPO[[#This Row],[Expected_Delivery_Date]],1,0)</f>
        <v>0</v>
      </c>
      <c r="M973">
        <f>tblPO[[#This Row],[Actual_Delivery_Date]]-tblPO[[#This Row],[PO_Date]]</f>
        <v>14</v>
      </c>
    </row>
    <row r="974" spans="1:13" x14ac:dyDescent="0.3">
      <c r="A974" t="s">
        <v>1284</v>
      </c>
      <c r="B974" s="18">
        <v>45501</v>
      </c>
      <c r="C974" t="s">
        <v>42</v>
      </c>
      <c r="D974" t="s">
        <v>81</v>
      </c>
      <c r="E974">
        <v>1</v>
      </c>
      <c r="F974">
        <v>26173.56</v>
      </c>
      <c r="G974" s="18">
        <v>45529</v>
      </c>
      <c r="H974" s="18">
        <v>45528</v>
      </c>
      <c r="I974">
        <v>1</v>
      </c>
      <c r="J974">
        <v>26173.56</v>
      </c>
      <c r="K974">
        <f>IF(tblPO[[#This Row],[Actual_Delivery_Date]]&lt;=tblPO[[#This Row],[Expected_Delivery_Date]],1,0)</f>
        <v>1</v>
      </c>
      <c r="L974">
        <f>IF(tblPO[[#This Row],[Actual_Delivery_Date]]&gt;tblPO[[#This Row],[Expected_Delivery_Date]],1,0)</f>
        <v>0</v>
      </c>
      <c r="M974">
        <f>tblPO[[#This Row],[Actual_Delivery_Date]]-tblPO[[#This Row],[PO_Date]]</f>
        <v>27</v>
      </c>
    </row>
    <row r="975" spans="1:13" x14ac:dyDescent="0.3">
      <c r="A975" t="s">
        <v>1283</v>
      </c>
      <c r="B975" s="18">
        <v>45485</v>
      </c>
      <c r="C975" t="s">
        <v>45</v>
      </c>
      <c r="D975" t="s">
        <v>225</v>
      </c>
      <c r="E975">
        <v>200</v>
      </c>
      <c r="F975">
        <v>216.36</v>
      </c>
      <c r="G975" s="18">
        <v>45500</v>
      </c>
      <c r="H975" s="18">
        <v>45497</v>
      </c>
      <c r="I975">
        <v>200</v>
      </c>
      <c r="J975">
        <v>43272</v>
      </c>
      <c r="K975">
        <f>IF(tblPO[[#This Row],[Actual_Delivery_Date]]&lt;=tblPO[[#This Row],[Expected_Delivery_Date]],1,0)</f>
        <v>1</v>
      </c>
      <c r="L975">
        <f>IF(tblPO[[#This Row],[Actual_Delivery_Date]]&gt;tblPO[[#This Row],[Expected_Delivery_Date]],1,0)</f>
        <v>0</v>
      </c>
      <c r="M975">
        <f>tblPO[[#This Row],[Actual_Delivery_Date]]-tblPO[[#This Row],[PO_Date]]</f>
        <v>12</v>
      </c>
    </row>
    <row r="976" spans="1:13" x14ac:dyDescent="0.3">
      <c r="A976" t="s">
        <v>1282</v>
      </c>
      <c r="B976" s="18">
        <v>45486</v>
      </c>
      <c r="C976" t="s">
        <v>44</v>
      </c>
      <c r="D976" t="s">
        <v>209</v>
      </c>
      <c r="E976">
        <v>177</v>
      </c>
      <c r="F976">
        <v>15.77</v>
      </c>
      <c r="G976" s="18">
        <v>45516</v>
      </c>
      <c r="H976" s="18">
        <v>45516</v>
      </c>
      <c r="I976">
        <v>177</v>
      </c>
      <c r="J976">
        <v>2791.29</v>
      </c>
      <c r="K976">
        <f>IF(tblPO[[#This Row],[Actual_Delivery_Date]]&lt;=tblPO[[#This Row],[Expected_Delivery_Date]],1,0)</f>
        <v>1</v>
      </c>
      <c r="L976">
        <f>IF(tblPO[[#This Row],[Actual_Delivery_Date]]&gt;tblPO[[#This Row],[Expected_Delivery_Date]],1,0)</f>
        <v>0</v>
      </c>
      <c r="M976">
        <f>tblPO[[#This Row],[Actual_Delivery_Date]]-tblPO[[#This Row],[PO_Date]]</f>
        <v>30</v>
      </c>
    </row>
    <row r="977" spans="1:13" x14ac:dyDescent="0.3">
      <c r="A977" t="s">
        <v>1281</v>
      </c>
      <c r="B977" s="18">
        <v>45485</v>
      </c>
      <c r="C977" t="s">
        <v>43</v>
      </c>
      <c r="D977" t="s">
        <v>152</v>
      </c>
      <c r="E977">
        <v>789</v>
      </c>
      <c r="F977">
        <v>81.819999999999993</v>
      </c>
      <c r="G977" s="18">
        <v>45503</v>
      </c>
      <c r="H977" s="18">
        <v>45502</v>
      </c>
      <c r="I977">
        <v>789</v>
      </c>
      <c r="J977">
        <v>64555.98</v>
      </c>
      <c r="K977">
        <f>IF(tblPO[[#This Row],[Actual_Delivery_Date]]&lt;=tblPO[[#This Row],[Expected_Delivery_Date]],1,0)</f>
        <v>1</v>
      </c>
      <c r="L977">
        <f>IF(tblPO[[#This Row],[Actual_Delivery_Date]]&gt;tblPO[[#This Row],[Expected_Delivery_Date]],1,0)</f>
        <v>0</v>
      </c>
      <c r="M977">
        <f>tblPO[[#This Row],[Actual_Delivery_Date]]-tblPO[[#This Row],[PO_Date]]</f>
        <v>17</v>
      </c>
    </row>
    <row r="978" spans="1:13" x14ac:dyDescent="0.3">
      <c r="A978" t="s">
        <v>1280</v>
      </c>
      <c r="B978" s="18">
        <v>45497</v>
      </c>
      <c r="C978" t="s">
        <v>46</v>
      </c>
      <c r="D978" t="s">
        <v>90</v>
      </c>
      <c r="E978">
        <v>7</v>
      </c>
      <c r="F978">
        <v>34678.93</v>
      </c>
      <c r="G978" s="18">
        <v>45516</v>
      </c>
      <c r="H978" s="18">
        <v>45513</v>
      </c>
      <c r="I978">
        <v>7</v>
      </c>
      <c r="J978">
        <v>242752.51</v>
      </c>
      <c r="K978">
        <f>IF(tblPO[[#This Row],[Actual_Delivery_Date]]&lt;=tblPO[[#This Row],[Expected_Delivery_Date]],1,0)</f>
        <v>1</v>
      </c>
      <c r="L978">
        <f>IF(tblPO[[#This Row],[Actual_Delivery_Date]]&gt;tblPO[[#This Row],[Expected_Delivery_Date]],1,0)</f>
        <v>0</v>
      </c>
      <c r="M978">
        <f>tblPO[[#This Row],[Actual_Delivery_Date]]-tblPO[[#This Row],[PO_Date]]</f>
        <v>16</v>
      </c>
    </row>
    <row r="979" spans="1:13" x14ac:dyDescent="0.3">
      <c r="A979" t="s">
        <v>1279</v>
      </c>
      <c r="B979" s="18">
        <v>45474</v>
      </c>
      <c r="C979" t="s">
        <v>41</v>
      </c>
      <c r="D979" t="s">
        <v>199</v>
      </c>
      <c r="E979">
        <v>183</v>
      </c>
      <c r="F979">
        <v>297.48</v>
      </c>
      <c r="G979" s="18">
        <v>45481</v>
      </c>
      <c r="H979" s="18">
        <v>45481</v>
      </c>
      <c r="I979">
        <v>183</v>
      </c>
      <c r="J979">
        <v>54438.84</v>
      </c>
      <c r="K979">
        <f>IF(tblPO[[#This Row],[Actual_Delivery_Date]]&lt;=tblPO[[#This Row],[Expected_Delivery_Date]],1,0)</f>
        <v>1</v>
      </c>
      <c r="L979">
        <f>IF(tblPO[[#This Row],[Actual_Delivery_Date]]&gt;tblPO[[#This Row],[Expected_Delivery_Date]],1,0)</f>
        <v>0</v>
      </c>
      <c r="M979">
        <f>tblPO[[#This Row],[Actual_Delivery_Date]]-tblPO[[#This Row],[PO_Date]]</f>
        <v>7</v>
      </c>
    </row>
    <row r="980" spans="1:13" x14ac:dyDescent="0.3">
      <c r="A980" t="s">
        <v>1278</v>
      </c>
      <c r="B980" s="18">
        <v>45492</v>
      </c>
      <c r="C980" t="s">
        <v>38</v>
      </c>
      <c r="D980" t="s">
        <v>243</v>
      </c>
      <c r="E980">
        <v>164</v>
      </c>
      <c r="F980">
        <v>176.46</v>
      </c>
      <c r="G980" s="18">
        <v>45500</v>
      </c>
      <c r="H980" s="18">
        <v>45497</v>
      </c>
      <c r="I980">
        <v>164</v>
      </c>
      <c r="J980">
        <v>28939.439999999999</v>
      </c>
      <c r="K980">
        <f>IF(tblPO[[#This Row],[Actual_Delivery_Date]]&lt;=tblPO[[#This Row],[Expected_Delivery_Date]],1,0)</f>
        <v>1</v>
      </c>
      <c r="L980">
        <f>IF(tblPO[[#This Row],[Actual_Delivery_Date]]&gt;tblPO[[#This Row],[Expected_Delivery_Date]],1,0)</f>
        <v>0</v>
      </c>
      <c r="M980">
        <f>tblPO[[#This Row],[Actual_Delivery_Date]]-tblPO[[#This Row],[PO_Date]]</f>
        <v>5</v>
      </c>
    </row>
    <row r="981" spans="1:13" x14ac:dyDescent="0.3">
      <c r="A981" t="s">
        <v>1277</v>
      </c>
      <c r="B981" s="18">
        <v>45492</v>
      </c>
      <c r="C981" t="s">
        <v>44</v>
      </c>
      <c r="D981" t="s">
        <v>179</v>
      </c>
      <c r="E981">
        <v>773</v>
      </c>
      <c r="F981">
        <v>17.87</v>
      </c>
      <c r="G981" s="18">
        <v>45506</v>
      </c>
      <c r="H981" s="18">
        <v>45504</v>
      </c>
      <c r="I981">
        <v>773</v>
      </c>
      <c r="J981">
        <v>13813.51</v>
      </c>
      <c r="K981">
        <f>IF(tblPO[[#This Row],[Actual_Delivery_Date]]&lt;=tblPO[[#This Row],[Expected_Delivery_Date]],1,0)</f>
        <v>1</v>
      </c>
      <c r="L981">
        <f>IF(tblPO[[#This Row],[Actual_Delivery_Date]]&gt;tblPO[[#This Row],[Expected_Delivery_Date]],1,0)</f>
        <v>0</v>
      </c>
      <c r="M981">
        <f>tblPO[[#This Row],[Actual_Delivery_Date]]-tblPO[[#This Row],[PO_Date]]</f>
        <v>12</v>
      </c>
    </row>
    <row r="982" spans="1:13" x14ac:dyDescent="0.3">
      <c r="A982" t="s">
        <v>1276</v>
      </c>
      <c r="B982" s="18">
        <v>45496</v>
      </c>
      <c r="C982" t="s">
        <v>41</v>
      </c>
      <c r="D982" t="s">
        <v>205</v>
      </c>
      <c r="E982">
        <v>74</v>
      </c>
      <c r="F982">
        <v>424.92</v>
      </c>
      <c r="G982" s="18">
        <v>45508</v>
      </c>
      <c r="H982" s="18">
        <v>45508</v>
      </c>
      <c r="I982">
        <v>74</v>
      </c>
      <c r="J982">
        <v>31444.080000000002</v>
      </c>
      <c r="K982">
        <f>IF(tblPO[[#This Row],[Actual_Delivery_Date]]&lt;=tblPO[[#This Row],[Expected_Delivery_Date]],1,0)</f>
        <v>1</v>
      </c>
      <c r="L982">
        <f>IF(tblPO[[#This Row],[Actual_Delivery_Date]]&gt;tblPO[[#This Row],[Expected_Delivery_Date]],1,0)</f>
        <v>0</v>
      </c>
      <c r="M982">
        <f>tblPO[[#This Row],[Actual_Delivery_Date]]-tblPO[[#This Row],[PO_Date]]</f>
        <v>12</v>
      </c>
    </row>
    <row r="983" spans="1:13" x14ac:dyDescent="0.3">
      <c r="A983" t="s">
        <v>1275</v>
      </c>
      <c r="B983" s="18">
        <v>45501</v>
      </c>
      <c r="C983" t="s">
        <v>38</v>
      </c>
      <c r="D983" t="s">
        <v>225</v>
      </c>
      <c r="E983">
        <v>196</v>
      </c>
      <c r="F983">
        <v>224.44</v>
      </c>
      <c r="G983" s="18">
        <v>45506</v>
      </c>
      <c r="H983" s="18">
        <v>45505</v>
      </c>
      <c r="I983">
        <v>196</v>
      </c>
      <c r="J983">
        <v>43990.239999999998</v>
      </c>
      <c r="K983">
        <f>IF(tblPO[[#This Row],[Actual_Delivery_Date]]&lt;=tblPO[[#This Row],[Expected_Delivery_Date]],1,0)</f>
        <v>1</v>
      </c>
      <c r="L983">
        <f>IF(tblPO[[#This Row],[Actual_Delivery_Date]]&gt;tblPO[[#This Row],[Expected_Delivery_Date]],1,0)</f>
        <v>0</v>
      </c>
      <c r="M983">
        <f>tblPO[[#This Row],[Actual_Delivery_Date]]-tblPO[[#This Row],[PO_Date]]</f>
        <v>4</v>
      </c>
    </row>
    <row r="984" spans="1:13" x14ac:dyDescent="0.3">
      <c r="A984" t="s">
        <v>1274</v>
      </c>
      <c r="B984" s="18">
        <v>45496</v>
      </c>
      <c r="C984" t="s">
        <v>62</v>
      </c>
      <c r="D984" t="s">
        <v>201</v>
      </c>
      <c r="E984">
        <v>457</v>
      </c>
      <c r="F984">
        <v>42.68</v>
      </c>
      <c r="G984" s="18">
        <v>45508</v>
      </c>
      <c r="H984" s="18">
        <v>45506</v>
      </c>
      <c r="I984">
        <v>457</v>
      </c>
      <c r="J984">
        <v>19504.759999999998</v>
      </c>
      <c r="K984">
        <f>IF(tblPO[[#This Row],[Actual_Delivery_Date]]&lt;=tblPO[[#This Row],[Expected_Delivery_Date]],1,0)</f>
        <v>1</v>
      </c>
      <c r="L984">
        <f>IF(tblPO[[#This Row],[Actual_Delivery_Date]]&gt;tblPO[[#This Row],[Expected_Delivery_Date]],1,0)</f>
        <v>0</v>
      </c>
      <c r="M984">
        <f>tblPO[[#This Row],[Actual_Delivery_Date]]-tblPO[[#This Row],[PO_Date]]</f>
        <v>10</v>
      </c>
    </row>
    <row r="985" spans="1:13" x14ac:dyDescent="0.3">
      <c r="A985" t="s">
        <v>1273</v>
      </c>
      <c r="B985" s="18">
        <v>45487</v>
      </c>
      <c r="C985" t="s">
        <v>42</v>
      </c>
      <c r="D985" t="s">
        <v>110</v>
      </c>
      <c r="E985">
        <v>24</v>
      </c>
      <c r="F985">
        <v>5312.95</v>
      </c>
      <c r="G985" s="18">
        <v>45515</v>
      </c>
      <c r="H985" s="18">
        <v>45514</v>
      </c>
      <c r="I985">
        <v>24</v>
      </c>
      <c r="J985">
        <v>127510.8</v>
      </c>
      <c r="K985">
        <f>IF(tblPO[[#This Row],[Actual_Delivery_Date]]&lt;=tblPO[[#This Row],[Expected_Delivery_Date]],1,0)</f>
        <v>1</v>
      </c>
      <c r="L985">
        <f>IF(tblPO[[#This Row],[Actual_Delivery_Date]]&gt;tblPO[[#This Row],[Expected_Delivery_Date]],1,0)</f>
        <v>0</v>
      </c>
      <c r="M985">
        <f>tblPO[[#This Row],[Actual_Delivery_Date]]-tblPO[[#This Row],[PO_Date]]</f>
        <v>27</v>
      </c>
    </row>
    <row r="986" spans="1:13" x14ac:dyDescent="0.3">
      <c r="A986" t="s">
        <v>1272</v>
      </c>
      <c r="B986" s="18">
        <v>45496</v>
      </c>
      <c r="C986" t="s">
        <v>46</v>
      </c>
      <c r="D986" t="s">
        <v>106</v>
      </c>
      <c r="E986">
        <v>3</v>
      </c>
      <c r="F986">
        <v>22526.34</v>
      </c>
      <c r="G986" s="18">
        <v>45512</v>
      </c>
      <c r="H986" s="18">
        <v>45510</v>
      </c>
      <c r="I986">
        <v>3</v>
      </c>
      <c r="J986">
        <v>67579.02</v>
      </c>
      <c r="K986">
        <f>IF(tblPO[[#This Row],[Actual_Delivery_Date]]&lt;=tblPO[[#This Row],[Expected_Delivery_Date]],1,0)</f>
        <v>1</v>
      </c>
      <c r="L986">
        <f>IF(tblPO[[#This Row],[Actual_Delivery_Date]]&gt;tblPO[[#This Row],[Expected_Delivery_Date]],1,0)</f>
        <v>0</v>
      </c>
      <c r="M986">
        <f>tblPO[[#This Row],[Actual_Delivery_Date]]-tblPO[[#This Row],[PO_Date]]</f>
        <v>14</v>
      </c>
    </row>
    <row r="987" spans="1:13" x14ac:dyDescent="0.3">
      <c r="A987" t="s">
        <v>1271</v>
      </c>
      <c r="B987" s="18">
        <v>45479</v>
      </c>
      <c r="C987" t="s">
        <v>47</v>
      </c>
      <c r="D987" t="s">
        <v>245</v>
      </c>
      <c r="E987">
        <v>8</v>
      </c>
      <c r="F987">
        <v>3346.74</v>
      </c>
      <c r="G987" s="18">
        <v>45488</v>
      </c>
      <c r="H987" s="18">
        <v>45486</v>
      </c>
      <c r="I987">
        <v>8</v>
      </c>
      <c r="J987">
        <v>26773.919999999998</v>
      </c>
      <c r="K987">
        <f>IF(tblPO[[#This Row],[Actual_Delivery_Date]]&lt;=tblPO[[#This Row],[Expected_Delivery_Date]],1,0)</f>
        <v>1</v>
      </c>
      <c r="L987">
        <f>IF(tblPO[[#This Row],[Actual_Delivery_Date]]&gt;tblPO[[#This Row],[Expected_Delivery_Date]],1,0)</f>
        <v>0</v>
      </c>
      <c r="M987">
        <f>tblPO[[#This Row],[Actual_Delivery_Date]]-tblPO[[#This Row],[PO_Date]]</f>
        <v>7</v>
      </c>
    </row>
    <row r="988" spans="1:13" x14ac:dyDescent="0.3">
      <c r="A988" t="s">
        <v>1270</v>
      </c>
      <c r="B988" s="18">
        <v>45488</v>
      </c>
      <c r="C988" t="s">
        <v>38</v>
      </c>
      <c r="D988" t="s">
        <v>239</v>
      </c>
      <c r="E988">
        <v>468</v>
      </c>
      <c r="F988">
        <v>93.17</v>
      </c>
      <c r="G988" s="18">
        <v>45494</v>
      </c>
      <c r="H988" s="18">
        <v>45492</v>
      </c>
      <c r="I988">
        <v>416</v>
      </c>
      <c r="J988">
        <v>43603.56</v>
      </c>
      <c r="K988">
        <f>IF(tblPO[[#This Row],[Actual_Delivery_Date]]&lt;=tblPO[[#This Row],[Expected_Delivery_Date]],1,0)</f>
        <v>1</v>
      </c>
      <c r="L988">
        <f>IF(tblPO[[#This Row],[Actual_Delivery_Date]]&gt;tblPO[[#This Row],[Expected_Delivery_Date]],1,0)</f>
        <v>0</v>
      </c>
      <c r="M988">
        <f>tblPO[[#This Row],[Actual_Delivery_Date]]-tblPO[[#This Row],[PO_Date]]</f>
        <v>4</v>
      </c>
    </row>
    <row r="989" spans="1:13" x14ac:dyDescent="0.3">
      <c r="A989" t="s">
        <v>1269</v>
      </c>
      <c r="B989" s="18">
        <v>45474</v>
      </c>
      <c r="C989" t="s">
        <v>41</v>
      </c>
      <c r="D989" t="s">
        <v>207</v>
      </c>
      <c r="E989">
        <v>400</v>
      </c>
      <c r="F989">
        <v>10.84</v>
      </c>
      <c r="G989" s="18">
        <v>45484</v>
      </c>
      <c r="H989" s="18">
        <v>45481</v>
      </c>
      <c r="I989">
        <v>363</v>
      </c>
      <c r="J989">
        <v>4336</v>
      </c>
      <c r="K989">
        <f>IF(tblPO[[#This Row],[Actual_Delivery_Date]]&lt;=tblPO[[#This Row],[Expected_Delivery_Date]],1,0)</f>
        <v>1</v>
      </c>
      <c r="L989">
        <f>IF(tblPO[[#This Row],[Actual_Delivery_Date]]&gt;tblPO[[#This Row],[Expected_Delivery_Date]],1,0)</f>
        <v>0</v>
      </c>
      <c r="M989">
        <f>tblPO[[#This Row],[Actual_Delivery_Date]]-tblPO[[#This Row],[PO_Date]]</f>
        <v>7</v>
      </c>
    </row>
    <row r="990" spans="1:13" x14ac:dyDescent="0.3">
      <c r="A990" t="s">
        <v>1268</v>
      </c>
      <c r="B990" s="18">
        <v>45477</v>
      </c>
      <c r="C990" t="s">
        <v>40</v>
      </c>
      <c r="D990" t="s">
        <v>142</v>
      </c>
      <c r="E990">
        <v>20</v>
      </c>
      <c r="F990">
        <v>191.5</v>
      </c>
      <c r="G990" s="18">
        <v>45486</v>
      </c>
      <c r="H990" s="18">
        <v>45483</v>
      </c>
      <c r="I990">
        <v>20</v>
      </c>
      <c r="J990">
        <v>3830</v>
      </c>
      <c r="K990">
        <f>IF(tblPO[[#This Row],[Actual_Delivery_Date]]&lt;=tblPO[[#This Row],[Expected_Delivery_Date]],1,0)</f>
        <v>1</v>
      </c>
      <c r="L990">
        <f>IF(tblPO[[#This Row],[Actual_Delivery_Date]]&gt;tblPO[[#This Row],[Expected_Delivery_Date]],1,0)</f>
        <v>0</v>
      </c>
      <c r="M990">
        <f>tblPO[[#This Row],[Actual_Delivery_Date]]-tblPO[[#This Row],[PO_Date]]</f>
        <v>6</v>
      </c>
    </row>
    <row r="991" spans="1:13" x14ac:dyDescent="0.3">
      <c r="A991" t="s">
        <v>1267</v>
      </c>
      <c r="B991" s="18">
        <v>45503</v>
      </c>
      <c r="C991" t="s">
        <v>39</v>
      </c>
      <c r="D991" t="s">
        <v>160</v>
      </c>
      <c r="E991">
        <v>322</v>
      </c>
      <c r="F991">
        <v>116.47</v>
      </c>
      <c r="G991" s="18">
        <v>45530</v>
      </c>
      <c r="H991" s="18">
        <v>45529</v>
      </c>
      <c r="I991">
        <v>322</v>
      </c>
      <c r="J991">
        <v>37503.339999999997</v>
      </c>
      <c r="K991">
        <f>IF(tblPO[[#This Row],[Actual_Delivery_Date]]&lt;=tblPO[[#This Row],[Expected_Delivery_Date]],1,0)</f>
        <v>1</v>
      </c>
      <c r="L991">
        <f>IF(tblPO[[#This Row],[Actual_Delivery_Date]]&gt;tblPO[[#This Row],[Expected_Delivery_Date]],1,0)</f>
        <v>0</v>
      </c>
      <c r="M991">
        <f>tblPO[[#This Row],[Actual_Delivery_Date]]-tblPO[[#This Row],[PO_Date]]</f>
        <v>26</v>
      </c>
    </row>
    <row r="992" spans="1:13" x14ac:dyDescent="0.3">
      <c r="A992" t="s">
        <v>1266</v>
      </c>
      <c r="B992" s="18">
        <v>45484</v>
      </c>
      <c r="C992" t="s">
        <v>43</v>
      </c>
      <c r="D992" t="s">
        <v>166</v>
      </c>
      <c r="E992">
        <v>401</v>
      </c>
      <c r="F992">
        <v>73.040000000000006</v>
      </c>
      <c r="G992" s="18">
        <v>45494</v>
      </c>
      <c r="H992" s="18">
        <v>45510</v>
      </c>
      <c r="I992">
        <v>401</v>
      </c>
      <c r="J992">
        <v>29289.040000000001</v>
      </c>
      <c r="K992">
        <f>IF(tblPO[[#This Row],[Actual_Delivery_Date]]&lt;=tblPO[[#This Row],[Expected_Delivery_Date]],1,0)</f>
        <v>0</v>
      </c>
      <c r="L992">
        <f>IF(tblPO[[#This Row],[Actual_Delivery_Date]]&gt;tblPO[[#This Row],[Expected_Delivery_Date]],1,0)</f>
        <v>1</v>
      </c>
      <c r="M992">
        <f>tblPO[[#This Row],[Actual_Delivery_Date]]-tblPO[[#This Row],[PO_Date]]</f>
        <v>26</v>
      </c>
    </row>
    <row r="993" spans="1:13" x14ac:dyDescent="0.3">
      <c r="A993" t="s">
        <v>1265</v>
      </c>
      <c r="B993" s="18">
        <v>45501</v>
      </c>
      <c r="C993" t="s">
        <v>47</v>
      </c>
      <c r="D993" t="s">
        <v>212</v>
      </c>
      <c r="E993">
        <v>101</v>
      </c>
      <c r="F993">
        <v>246.93</v>
      </c>
      <c r="G993" s="18">
        <v>45514</v>
      </c>
      <c r="H993" s="18">
        <v>45515</v>
      </c>
      <c r="I993">
        <v>101</v>
      </c>
      <c r="J993">
        <v>24939.93</v>
      </c>
      <c r="K993">
        <f>IF(tblPO[[#This Row],[Actual_Delivery_Date]]&lt;=tblPO[[#This Row],[Expected_Delivery_Date]],1,0)</f>
        <v>0</v>
      </c>
      <c r="L993">
        <f>IF(tblPO[[#This Row],[Actual_Delivery_Date]]&gt;tblPO[[#This Row],[Expected_Delivery_Date]],1,0)</f>
        <v>1</v>
      </c>
      <c r="M993">
        <f>tblPO[[#This Row],[Actual_Delivery_Date]]-tblPO[[#This Row],[PO_Date]]</f>
        <v>14</v>
      </c>
    </row>
    <row r="994" spans="1:13" x14ac:dyDescent="0.3">
      <c r="A994" t="s">
        <v>1264</v>
      </c>
      <c r="B994" s="18">
        <v>45474</v>
      </c>
      <c r="C994" t="s">
        <v>42</v>
      </c>
      <c r="D994" t="s">
        <v>88</v>
      </c>
      <c r="E994">
        <v>3</v>
      </c>
      <c r="F994">
        <v>18761.46</v>
      </c>
      <c r="G994" s="18">
        <v>45489</v>
      </c>
      <c r="H994" s="18">
        <v>45488</v>
      </c>
      <c r="I994">
        <v>3</v>
      </c>
      <c r="J994">
        <v>56284.38</v>
      </c>
      <c r="K994">
        <f>IF(tblPO[[#This Row],[Actual_Delivery_Date]]&lt;=tblPO[[#This Row],[Expected_Delivery_Date]],1,0)</f>
        <v>1</v>
      </c>
      <c r="L994">
        <f>IF(tblPO[[#This Row],[Actual_Delivery_Date]]&gt;tblPO[[#This Row],[Expected_Delivery_Date]],1,0)</f>
        <v>0</v>
      </c>
      <c r="M994">
        <f>tblPO[[#This Row],[Actual_Delivery_Date]]-tblPO[[#This Row],[PO_Date]]</f>
        <v>14</v>
      </c>
    </row>
    <row r="995" spans="1:13" x14ac:dyDescent="0.3">
      <c r="A995" t="s">
        <v>1263</v>
      </c>
      <c r="B995" s="18">
        <v>45488</v>
      </c>
      <c r="C995" t="s">
        <v>51</v>
      </c>
      <c r="D995" t="s">
        <v>152</v>
      </c>
      <c r="E995">
        <v>427</v>
      </c>
      <c r="F995">
        <v>76.69</v>
      </c>
      <c r="G995" s="18">
        <v>45506</v>
      </c>
      <c r="H995" s="18">
        <v>45504</v>
      </c>
      <c r="I995">
        <v>405</v>
      </c>
      <c r="J995">
        <v>32746.63</v>
      </c>
      <c r="K995">
        <f>IF(tblPO[[#This Row],[Actual_Delivery_Date]]&lt;=tblPO[[#This Row],[Expected_Delivery_Date]],1,0)</f>
        <v>1</v>
      </c>
      <c r="L995">
        <f>IF(tblPO[[#This Row],[Actual_Delivery_Date]]&gt;tblPO[[#This Row],[Expected_Delivery_Date]],1,0)</f>
        <v>0</v>
      </c>
      <c r="M995">
        <f>tblPO[[#This Row],[Actual_Delivery_Date]]-tblPO[[#This Row],[PO_Date]]</f>
        <v>16</v>
      </c>
    </row>
    <row r="996" spans="1:13" x14ac:dyDescent="0.3">
      <c r="A996" t="s">
        <v>1262</v>
      </c>
      <c r="B996" s="18">
        <v>45485</v>
      </c>
      <c r="C996" t="s">
        <v>41</v>
      </c>
      <c r="D996" t="s">
        <v>181</v>
      </c>
      <c r="E996">
        <v>1397</v>
      </c>
      <c r="F996">
        <v>4.08</v>
      </c>
      <c r="G996" s="18">
        <v>45489</v>
      </c>
      <c r="H996" s="18">
        <v>45506</v>
      </c>
      <c r="I996">
        <v>1397</v>
      </c>
      <c r="J996">
        <v>5699.76</v>
      </c>
      <c r="K996">
        <f>IF(tblPO[[#This Row],[Actual_Delivery_Date]]&lt;=tblPO[[#This Row],[Expected_Delivery_Date]],1,0)</f>
        <v>0</v>
      </c>
      <c r="L996">
        <f>IF(tblPO[[#This Row],[Actual_Delivery_Date]]&gt;tblPO[[#This Row],[Expected_Delivery_Date]],1,0)</f>
        <v>1</v>
      </c>
      <c r="M996">
        <f>tblPO[[#This Row],[Actual_Delivery_Date]]-tblPO[[#This Row],[PO_Date]]</f>
        <v>21</v>
      </c>
    </row>
    <row r="997" spans="1:13" x14ac:dyDescent="0.3">
      <c r="A997" t="s">
        <v>1261</v>
      </c>
      <c r="B997" s="18">
        <v>45486</v>
      </c>
      <c r="C997" t="s">
        <v>53</v>
      </c>
      <c r="D997" t="s">
        <v>96</v>
      </c>
      <c r="E997">
        <v>134</v>
      </c>
      <c r="F997">
        <v>731.57</v>
      </c>
      <c r="G997" s="18">
        <v>45500</v>
      </c>
      <c r="H997" s="18">
        <v>45500</v>
      </c>
      <c r="I997">
        <v>134</v>
      </c>
      <c r="J997">
        <v>98030.38</v>
      </c>
      <c r="K997">
        <f>IF(tblPO[[#This Row],[Actual_Delivery_Date]]&lt;=tblPO[[#This Row],[Expected_Delivery_Date]],1,0)</f>
        <v>1</v>
      </c>
      <c r="L997">
        <f>IF(tblPO[[#This Row],[Actual_Delivery_Date]]&gt;tblPO[[#This Row],[Expected_Delivery_Date]],1,0)</f>
        <v>0</v>
      </c>
      <c r="M997">
        <f>tblPO[[#This Row],[Actual_Delivery_Date]]-tblPO[[#This Row],[PO_Date]]</f>
        <v>14</v>
      </c>
    </row>
    <row r="998" spans="1:13" x14ac:dyDescent="0.3">
      <c r="A998" t="s">
        <v>1260</v>
      </c>
      <c r="B998" s="18">
        <v>45497</v>
      </c>
      <c r="C998" t="s">
        <v>54</v>
      </c>
      <c r="D998" t="s">
        <v>181</v>
      </c>
      <c r="E998">
        <v>305</v>
      </c>
      <c r="F998">
        <v>3.57</v>
      </c>
      <c r="G998" s="18">
        <v>45512</v>
      </c>
      <c r="H998" s="18">
        <v>45510</v>
      </c>
      <c r="I998">
        <v>305</v>
      </c>
      <c r="J998">
        <v>1088.8499999999999</v>
      </c>
      <c r="K998">
        <f>IF(tblPO[[#This Row],[Actual_Delivery_Date]]&lt;=tblPO[[#This Row],[Expected_Delivery_Date]],1,0)</f>
        <v>1</v>
      </c>
      <c r="L998">
        <f>IF(tblPO[[#This Row],[Actual_Delivery_Date]]&gt;tblPO[[#This Row],[Expected_Delivery_Date]],1,0)</f>
        <v>0</v>
      </c>
      <c r="M998">
        <f>tblPO[[#This Row],[Actual_Delivery_Date]]-tblPO[[#This Row],[PO_Date]]</f>
        <v>13</v>
      </c>
    </row>
    <row r="999" spans="1:13" x14ac:dyDescent="0.3">
      <c r="A999" t="s">
        <v>1259</v>
      </c>
      <c r="B999" s="18">
        <v>45499</v>
      </c>
      <c r="C999" t="s">
        <v>58</v>
      </c>
      <c r="D999" t="s">
        <v>149</v>
      </c>
      <c r="E999">
        <v>635</v>
      </c>
      <c r="F999">
        <v>86.54</v>
      </c>
      <c r="G999" s="18">
        <v>45527</v>
      </c>
      <c r="H999" s="18">
        <v>45527</v>
      </c>
      <c r="I999">
        <v>635</v>
      </c>
      <c r="J999">
        <v>54952.9</v>
      </c>
      <c r="K999">
        <f>IF(tblPO[[#This Row],[Actual_Delivery_Date]]&lt;=tblPO[[#This Row],[Expected_Delivery_Date]],1,0)</f>
        <v>1</v>
      </c>
      <c r="L999">
        <f>IF(tblPO[[#This Row],[Actual_Delivery_Date]]&gt;tblPO[[#This Row],[Expected_Delivery_Date]],1,0)</f>
        <v>0</v>
      </c>
      <c r="M999">
        <f>tblPO[[#This Row],[Actual_Delivery_Date]]-tblPO[[#This Row],[PO_Date]]</f>
        <v>28</v>
      </c>
    </row>
    <row r="1000" spans="1:13" x14ac:dyDescent="0.3">
      <c r="A1000" t="s">
        <v>1258</v>
      </c>
      <c r="B1000" s="18">
        <v>45501</v>
      </c>
      <c r="C1000" t="s">
        <v>40</v>
      </c>
      <c r="D1000" t="s">
        <v>134</v>
      </c>
      <c r="E1000">
        <v>19</v>
      </c>
      <c r="F1000">
        <v>4527.25</v>
      </c>
      <c r="G1000" s="18">
        <v>45518</v>
      </c>
      <c r="H1000" s="18">
        <v>45518</v>
      </c>
      <c r="I1000">
        <v>19</v>
      </c>
      <c r="J1000">
        <v>86017.75</v>
      </c>
      <c r="K1000">
        <f>IF(tblPO[[#This Row],[Actual_Delivery_Date]]&lt;=tblPO[[#This Row],[Expected_Delivery_Date]],1,0)</f>
        <v>1</v>
      </c>
      <c r="L1000">
        <f>IF(tblPO[[#This Row],[Actual_Delivery_Date]]&gt;tblPO[[#This Row],[Expected_Delivery_Date]],1,0)</f>
        <v>0</v>
      </c>
      <c r="M1000">
        <f>tblPO[[#This Row],[Actual_Delivery_Date]]-tblPO[[#This Row],[PO_Date]]</f>
        <v>17</v>
      </c>
    </row>
    <row r="1001" spans="1:13" x14ac:dyDescent="0.3">
      <c r="A1001" t="s">
        <v>1257</v>
      </c>
      <c r="B1001" s="18">
        <v>45481</v>
      </c>
      <c r="C1001" t="s">
        <v>48</v>
      </c>
      <c r="D1001" t="s">
        <v>162</v>
      </c>
      <c r="E1001">
        <v>296</v>
      </c>
      <c r="F1001">
        <v>50.04</v>
      </c>
      <c r="G1001" s="18">
        <v>45499</v>
      </c>
      <c r="H1001" s="18">
        <v>45496</v>
      </c>
      <c r="I1001">
        <v>296</v>
      </c>
      <c r="J1001">
        <v>14811.84</v>
      </c>
      <c r="K1001">
        <f>IF(tblPO[[#This Row],[Actual_Delivery_Date]]&lt;=tblPO[[#This Row],[Expected_Delivery_Date]],1,0)</f>
        <v>1</v>
      </c>
      <c r="L1001">
        <f>IF(tblPO[[#This Row],[Actual_Delivery_Date]]&gt;tblPO[[#This Row],[Expected_Delivery_Date]],1,0)</f>
        <v>0</v>
      </c>
      <c r="M1001">
        <f>tblPO[[#This Row],[Actual_Delivery_Date]]-tblPO[[#This Row],[PO_Date]]</f>
        <v>15</v>
      </c>
    </row>
    <row r="1002" spans="1:13" x14ac:dyDescent="0.3">
      <c r="A1002" t="s">
        <v>1256</v>
      </c>
      <c r="B1002" s="18">
        <v>45502</v>
      </c>
      <c r="C1002" t="s">
        <v>39</v>
      </c>
      <c r="D1002" t="s">
        <v>154</v>
      </c>
      <c r="E1002">
        <v>384</v>
      </c>
      <c r="F1002">
        <v>77.22</v>
      </c>
      <c r="G1002" s="18">
        <v>45526</v>
      </c>
      <c r="H1002" s="18">
        <v>45524</v>
      </c>
      <c r="I1002">
        <v>384</v>
      </c>
      <c r="J1002">
        <v>29652.48</v>
      </c>
      <c r="K1002">
        <f>IF(tblPO[[#This Row],[Actual_Delivery_Date]]&lt;=tblPO[[#This Row],[Expected_Delivery_Date]],1,0)</f>
        <v>1</v>
      </c>
      <c r="L1002">
        <f>IF(tblPO[[#This Row],[Actual_Delivery_Date]]&gt;tblPO[[#This Row],[Expected_Delivery_Date]],1,0)</f>
        <v>0</v>
      </c>
      <c r="M1002">
        <f>tblPO[[#This Row],[Actual_Delivery_Date]]-tblPO[[#This Row],[PO_Date]]</f>
        <v>22</v>
      </c>
    </row>
    <row r="1003" spans="1:13" x14ac:dyDescent="0.3">
      <c r="A1003" t="s">
        <v>1255</v>
      </c>
      <c r="B1003" s="18">
        <v>45495</v>
      </c>
      <c r="C1003" t="s">
        <v>59</v>
      </c>
      <c r="D1003" t="s">
        <v>90</v>
      </c>
      <c r="E1003">
        <v>2</v>
      </c>
      <c r="F1003">
        <v>20960.189999999999</v>
      </c>
      <c r="G1003" s="18">
        <v>45502</v>
      </c>
      <c r="H1003" s="18">
        <v>45518</v>
      </c>
      <c r="I1003">
        <v>2</v>
      </c>
      <c r="J1003">
        <v>41920.379999999997</v>
      </c>
      <c r="K1003">
        <f>IF(tblPO[[#This Row],[Actual_Delivery_Date]]&lt;=tblPO[[#This Row],[Expected_Delivery_Date]],1,0)</f>
        <v>0</v>
      </c>
      <c r="L1003">
        <f>IF(tblPO[[#This Row],[Actual_Delivery_Date]]&gt;tblPO[[#This Row],[Expected_Delivery_Date]],1,0)</f>
        <v>1</v>
      </c>
      <c r="M1003">
        <f>tblPO[[#This Row],[Actual_Delivery_Date]]-tblPO[[#This Row],[PO_Date]]</f>
        <v>23</v>
      </c>
    </row>
    <row r="1004" spans="1:13" x14ac:dyDescent="0.3">
      <c r="A1004" t="s">
        <v>1254</v>
      </c>
      <c r="B1004" s="18">
        <v>45501</v>
      </c>
      <c r="C1004" t="s">
        <v>52</v>
      </c>
      <c r="D1004" t="s">
        <v>247</v>
      </c>
      <c r="E1004">
        <v>95</v>
      </c>
      <c r="F1004">
        <v>615.62</v>
      </c>
      <c r="G1004" s="18">
        <v>45511</v>
      </c>
      <c r="H1004" s="18">
        <v>45516</v>
      </c>
      <c r="I1004">
        <v>87</v>
      </c>
      <c r="J1004">
        <v>58483.9</v>
      </c>
      <c r="K1004">
        <f>IF(tblPO[[#This Row],[Actual_Delivery_Date]]&lt;=tblPO[[#This Row],[Expected_Delivery_Date]],1,0)</f>
        <v>0</v>
      </c>
      <c r="L1004">
        <f>IF(tblPO[[#This Row],[Actual_Delivery_Date]]&gt;tblPO[[#This Row],[Expected_Delivery_Date]],1,0)</f>
        <v>1</v>
      </c>
      <c r="M1004">
        <f>tblPO[[#This Row],[Actual_Delivery_Date]]-tblPO[[#This Row],[PO_Date]]</f>
        <v>15</v>
      </c>
    </row>
    <row r="1005" spans="1:13" x14ac:dyDescent="0.3">
      <c r="A1005" t="s">
        <v>1253</v>
      </c>
      <c r="B1005" s="18">
        <v>45504</v>
      </c>
      <c r="C1005" t="s">
        <v>47</v>
      </c>
      <c r="D1005" t="s">
        <v>227</v>
      </c>
      <c r="E1005">
        <v>19</v>
      </c>
      <c r="F1005">
        <v>1012.31</v>
      </c>
      <c r="G1005" s="18">
        <v>45520</v>
      </c>
      <c r="H1005" s="18">
        <v>45522</v>
      </c>
      <c r="I1005">
        <v>19</v>
      </c>
      <c r="J1005">
        <v>19233.89</v>
      </c>
      <c r="K1005">
        <f>IF(tblPO[[#This Row],[Actual_Delivery_Date]]&lt;=tblPO[[#This Row],[Expected_Delivery_Date]],1,0)</f>
        <v>0</v>
      </c>
      <c r="L1005">
        <f>IF(tblPO[[#This Row],[Actual_Delivery_Date]]&gt;tblPO[[#This Row],[Expected_Delivery_Date]],1,0)</f>
        <v>1</v>
      </c>
      <c r="M1005">
        <f>tblPO[[#This Row],[Actual_Delivery_Date]]-tblPO[[#This Row],[PO_Date]]</f>
        <v>18</v>
      </c>
    </row>
    <row r="1006" spans="1:13" x14ac:dyDescent="0.3">
      <c r="A1006" t="s">
        <v>1252</v>
      </c>
      <c r="B1006" s="18">
        <v>45484</v>
      </c>
      <c r="C1006" t="s">
        <v>41</v>
      </c>
      <c r="D1006" t="s">
        <v>201</v>
      </c>
      <c r="E1006">
        <v>141</v>
      </c>
      <c r="F1006">
        <v>40.03</v>
      </c>
      <c r="G1006" s="18">
        <v>45493</v>
      </c>
      <c r="H1006" s="18">
        <v>45490</v>
      </c>
      <c r="I1006">
        <v>141</v>
      </c>
      <c r="J1006">
        <v>5644.23</v>
      </c>
      <c r="K1006">
        <f>IF(tblPO[[#This Row],[Actual_Delivery_Date]]&lt;=tblPO[[#This Row],[Expected_Delivery_Date]],1,0)</f>
        <v>1</v>
      </c>
      <c r="L1006">
        <f>IF(tblPO[[#This Row],[Actual_Delivery_Date]]&gt;tblPO[[#This Row],[Expected_Delivery_Date]],1,0)</f>
        <v>0</v>
      </c>
      <c r="M1006">
        <f>tblPO[[#This Row],[Actual_Delivery_Date]]-tblPO[[#This Row],[PO_Date]]</f>
        <v>6</v>
      </c>
    </row>
    <row r="1007" spans="1:13" x14ac:dyDescent="0.3">
      <c r="A1007" t="s">
        <v>1251</v>
      </c>
      <c r="B1007" s="18">
        <v>45492</v>
      </c>
      <c r="C1007" t="s">
        <v>54</v>
      </c>
      <c r="D1007" t="s">
        <v>205</v>
      </c>
      <c r="E1007">
        <v>107</v>
      </c>
      <c r="F1007">
        <v>360.92</v>
      </c>
      <c r="G1007" s="18">
        <v>45495</v>
      </c>
      <c r="H1007" s="18">
        <v>45493</v>
      </c>
      <c r="I1007">
        <v>107</v>
      </c>
      <c r="J1007">
        <v>38618.44</v>
      </c>
      <c r="K1007">
        <f>IF(tblPO[[#This Row],[Actual_Delivery_Date]]&lt;=tblPO[[#This Row],[Expected_Delivery_Date]],1,0)</f>
        <v>1</v>
      </c>
      <c r="L1007">
        <f>IF(tblPO[[#This Row],[Actual_Delivery_Date]]&gt;tblPO[[#This Row],[Expected_Delivery_Date]],1,0)</f>
        <v>0</v>
      </c>
      <c r="M1007">
        <f>tblPO[[#This Row],[Actual_Delivery_Date]]-tblPO[[#This Row],[PO_Date]]</f>
        <v>1</v>
      </c>
    </row>
    <row r="1008" spans="1:13" x14ac:dyDescent="0.3">
      <c r="A1008" t="s">
        <v>1250</v>
      </c>
      <c r="B1008" s="18">
        <v>45499</v>
      </c>
      <c r="C1008" t="s">
        <v>41</v>
      </c>
      <c r="D1008" t="s">
        <v>197</v>
      </c>
      <c r="E1008">
        <v>103</v>
      </c>
      <c r="F1008">
        <v>253.88</v>
      </c>
      <c r="G1008" s="18">
        <v>45506</v>
      </c>
      <c r="H1008" s="18">
        <v>45504</v>
      </c>
      <c r="I1008">
        <v>103</v>
      </c>
      <c r="J1008">
        <v>26149.64</v>
      </c>
      <c r="K1008">
        <f>IF(tblPO[[#This Row],[Actual_Delivery_Date]]&lt;=tblPO[[#This Row],[Expected_Delivery_Date]],1,0)</f>
        <v>1</v>
      </c>
      <c r="L1008">
        <f>IF(tblPO[[#This Row],[Actual_Delivery_Date]]&gt;tblPO[[#This Row],[Expected_Delivery_Date]],1,0)</f>
        <v>0</v>
      </c>
      <c r="M1008">
        <f>tblPO[[#This Row],[Actual_Delivery_Date]]-tblPO[[#This Row],[PO_Date]]</f>
        <v>5</v>
      </c>
    </row>
    <row r="1009" spans="1:13" x14ac:dyDescent="0.3">
      <c r="A1009" t="s">
        <v>1249</v>
      </c>
      <c r="B1009" s="18">
        <v>45484</v>
      </c>
      <c r="C1009" t="s">
        <v>42</v>
      </c>
      <c r="D1009" t="s">
        <v>110</v>
      </c>
      <c r="E1009">
        <v>16</v>
      </c>
      <c r="F1009">
        <v>5506.82</v>
      </c>
      <c r="G1009" s="18">
        <v>45500</v>
      </c>
      <c r="H1009" s="18">
        <v>45499</v>
      </c>
      <c r="I1009">
        <v>16</v>
      </c>
      <c r="J1009">
        <v>88109.119999999995</v>
      </c>
      <c r="K1009">
        <f>IF(tblPO[[#This Row],[Actual_Delivery_Date]]&lt;=tblPO[[#This Row],[Expected_Delivery_Date]],1,0)</f>
        <v>1</v>
      </c>
      <c r="L1009">
        <f>IF(tblPO[[#This Row],[Actual_Delivery_Date]]&gt;tblPO[[#This Row],[Expected_Delivery_Date]],1,0)</f>
        <v>0</v>
      </c>
      <c r="M1009">
        <f>tblPO[[#This Row],[Actual_Delivery_Date]]-tblPO[[#This Row],[PO_Date]]</f>
        <v>15</v>
      </c>
    </row>
    <row r="1010" spans="1:13" x14ac:dyDescent="0.3">
      <c r="A1010" t="s">
        <v>1248</v>
      </c>
      <c r="B1010" s="18">
        <v>45493</v>
      </c>
      <c r="C1010" t="s">
        <v>72</v>
      </c>
      <c r="D1010" t="s">
        <v>221</v>
      </c>
      <c r="E1010">
        <v>6</v>
      </c>
      <c r="F1010">
        <v>1345.09</v>
      </c>
      <c r="G1010" s="18">
        <v>45505</v>
      </c>
      <c r="H1010" s="18">
        <v>45502</v>
      </c>
      <c r="I1010">
        <v>6</v>
      </c>
      <c r="J1010">
        <v>8070.54</v>
      </c>
      <c r="K1010">
        <f>IF(tblPO[[#This Row],[Actual_Delivery_Date]]&lt;=tblPO[[#This Row],[Expected_Delivery_Date]],1,0)</f>
        <v>1</v>
      </c>
      <c r="L1010">
        <f>IF(tblPO[[#This Row],[Actual_Delivery_Date]]&gt;tblPO[[#This Row],[Expected_Delivery_Date]],1,0)</f>
        <v>0</v>
      </c>
      <c r="M1010">
        <f>tblPO[[#This Row],[Actual_Delivery_Date]]-tblPO[[#This Row],[PO_Date]]</f>
        <v>9</v>
      </c>
    </row>
    <row r="1011" spans="1:13" x14ac:dyDescent="0.3">
      <c r="A1011" t="s">
        <v>1247</v>
      </c>
      <c r="B1011" s="18">
        <v>45477</v>
      </c>
      <c r="C1011" t="s">
        <v>65</v>
      </c>
      <c r="D1011" t="s">
        <v>201</v>
      </c>
      <c r="E1011">
        <v>755</v>
      </c>
      <c r="F1011">
        <v>40.96</v>
      </c>
      <c r="G1011" s="18">
        <v>45488</v>
      </c>
      <c r="H1011" s="18">
        <v>45505</v>
      </c>
      <c r="I1011">
        <v>755</v>
      </c>
      <c r="J1011">
        <v>30924.799999999999</v>
      </c>
      <c r="K1011">
        <f>IF(tblPO[[#This Row],[Actual_Delivery_Date]]&lt;=tblPO[[#This Row],[Expected_Delivery_Date]],1,0)</f>
        <v>0</v>
      </c>
      <c r="L1011">
        <f>IF(tblPO[[#This Row],[Actual_Delivery_Date]]&gt;tblPO[[#This Row],[Expected_Delivery_Date]],1,0)</f>
        <v>1</v>
      </c>
      <c r="M1011">
        <f>tblPO[[#This Row],[Actual_Delivery_Date]]-tblPO[[#This Row],[PO_Date]]</f>
        <v>28</v>
      </c>
    </row>
    <row r="1012" spans="1:13" x14ac:dyDescent="0.3">
      <c r="A1012" t="s">
        <v>1246</v>
      </c>
      <c r="B1012" s="18">
        <v>45483</v>
      </c>
      <c r="C1012" t="s">
        <v>57</v>
      </c>
      <c r="D1012" t="s">
        <v>188</v>
      </c>
      <c r="E1012">
        <v>556</v>
      </c>
      <c r="F1012">
        <v>37.44</v>
      </c>
      <c r="G1012" s="18">
        <v>45507</v>
      </c>
      <c r="H1012" s="18">
        <v>45506</v>
      </c>
      <c r="I1012">
        <v>556</v>
      </c>
      <c r="J1012">
        <v>20816.64</v>
      </c>
      <c r="K1012">
        <f>IF(tblPO[[#This Row],[Actual_Delivery_Date]]&lt;=tblPO[[#This Row],[Expected_Delivery_Date]],1,0)</f>
        <v>1</v>
      </c>
      <c r="L1012">
        <f>IF(tblPO[[#This Row],[Actual_Delivery_Date]]&gt;tblPO[[#This Row],[Expected_Delivery_Date]],1,0)</f>
        <v>0</v>
      </c>
      <c r="M1012">
        <f>tblPO[[#This Row],[Actual_Delivery_Date]]-tblPO[[#This Row],[PO_Date]]</f>
        <v>23</v>
      </c>
    </row>
    <row r="1013" spans="1:13" x14ac:dyDescent="0.3">
      <c r="A1013" t="s">
        <v>1245</v>
      </c>
      <c r="B1013" s="18">
        <v>45503</v>
      </c>
      <c r="C1013" t="s">
        <v>54</v>
      </c>
      <c r="D1013" t="s">
        <v>185</v>
      </c>
      <c r="E1013">
        <v>1600</v>
      </c>
      <c r="F1013">
        <v>6.48</v>
      </c>
      <c r="G1013" s="18">
        <v>45513</v>
      </c>
      <c r="H1013" s="18">
        <v>45510</v>
      </c>
      <c r="I1013">
        <v>1600</v>
      </c>
      <c r="J1013">
        <v>10368</v>
      </c>
      <c r="K1013">
        <f>IF(tblPO[[#This Row],[Actual_Delivery_Date]]&lt;=tblPO[[#This Row],[Expected_Delivery_Date]],1,0)</f>
        <v>1</v>
      </c>
      <c r="L1013">
        <f>IF(tblPO[[#This Row],[Actual_Delivery_Date]]&gt;tblPO[[#This Row],[Expected_Delivery_Date]],1,0)</f>
        <v>0</v>
      </c>
      <c r="M1013">
        <f>tblPO[[#This Row],[Actual_Delivery_Date]]-tblPO[[#This Row],[PO_Date]]</f>
        <v>7</v>
      </c>
    </row>
    <row r="1014" spans="1:13" x14ac:dyDescent="0.3">
      <c r="A1014" t="s">
        <v>1244</v>
      </c>
      <c r="B1014" s="18">
        <v>45486</v>
      </c>
      <c r="C1014" t="s">
        <v>38</v>
      </c>
      <c r="D1014" t="s">
        <v>241</v>
      </c>
      <c r="E1014">
        <v>25</v>
      </c>
      <c r="F1014">
        <v>3291.34</v>
      </c>
      <c r="G1014" s="18">
        <v>45498</v>
      </c>
      <c r="H1014" s="18">
        <v>45514</v>
      </c>
      <c r="I1014">
        <v>25</v>
      </c>
      <c r="J1014">
        <v>82283.5</v>
      </c>
      <c r="K1014">
        <f>IF(tblPO[[#This Row],[Actual_Delivery_Date]]&lt;=tblPO[[#This Row],[Expected_Delivery_Date]],1,0)</f>
        <v>0</v>
      </c>
      <c r="L1014">
        <f>IF(tblPO[[#This Row],[Actual_Delivery_Date]]&gt;tblPO[[#This Row],[Expected_Delivery_Date]],1,0)</f>
        <v>1</v>
      </c>
      <c r="M1014">
        <f>tblPO[[#This Row],[Actual_Delivery_Date]]-tblPO[[#This Row],[PO_Date]]</f>
        <v>28</v>
      </c>
    </row>
    <row r="1015" spans="1:13" x14ac:dyDescent="0.3">
      <c r="A1015" t="s">
        <v>1243</v>
      </c>
      <c r="B1015" s="18">
        <v>45486</v>
      </c>
      <c r="C1015" t="s">
        <v>50</v>
      </c>
      <c r="D1015" t="s">
        <v>138</v>
      </c>
      <c r="E1015">
        <v>19</v>
      </c>
      <c r="F1015">
        <v>4028.27</v>
      </c>
      <c r="G1015" s="18">
        <v>45499</v>
      </c>
      <c r="H1015" s="18">
        <v>45499</v>
      </c>
      <c r="I1015">
        <v>19</v>
      </c>
      <c r="J1015">
        <v>76537.13</v>
      </c>
      <c r="K1015">
        <f>IF(tblPO[[#This Row],[Actual_Delivery_Date]]&lt;=tblPO[[#This Row],[Expected_Delivery_Date]],1,0)</f>
        <v>1</v>
      </c>
      <c r="L1015">
        <f>IF(tblPO[[#This Row],[Actual_Delivery_Date]]&gt;tblPO[[#This Row],[Expected_Delivery_Date]],1,0)</f>
        <v>0</v>
      </c>
      <c r="M1015">
        <f>tblPO[[#This Row],[Actual_Delivery_Date]]-tblPO[[#This Row],[PO_Date]]</f>
        <v>13</v>
      </c>
    </row>
    <row r="1016" spans="1:13" x14ac:dyDescent="0.3">
      <c r="A1016" t="s">
        <v>1242</v>
      </c>
      <c r="B1016" s="18">
        <v>45490</v>
      </c>
      <c r="C1016" t="s">
        <v>70</v>
      </c>
      <c r="D1016" t="s">
        <v>183</v>
      </c>
      <c r="E1016">
        <v>123</v>
      </c>
      <c r="F1016">
        <v>10.59</v>
      </c>
      <c r="G1016" s="18">
        <v>45502</v>
      </c>
      <c r="H1016" s="18">
        <v>45500</v>
      </c>
      <c r="I1016">
        <v>123</v>
      </c>
      <c r="J1016">
        <v>1302.57</v>
      </c>
      <c r="K1016">
        <f>IF(tblPO[[#This Row],[Actual_Delivery_Date]]&lt;=tblPO[[#This Row],[Expected_Delivery_Date]],1,0)</f>
        <v>1</v>
      </c>
      <c r="L1016">
        <f>IF(tblPO[[#This Row],[Actual_Delivery_Date]]&gt;tblPO[[#This Row],[Expected_Delivery_Date]],1,0)</f>
        <v>0</v>
      </c>
      <c r="M1016">
        <f>tblPO[[#This Row],[Actual_Delivery_Date]]-tblPO[[#This Row],[PO_Date]]</f>
        <v>10</v>
      </c>
    </row>
    <row r="1017" spans="1:13" x14ac:dyDescent="0.3">
      <c r="A1017" t="s">
        <v>1241</v>
      </c>
      <c r="B1017" s="18">
        <v>45484</v>
      </c>
      <c r="C1017" t="s">
        <v>66</v>
      </c>
      <c r="D1017" t="s">
        <v>217</v>
      </c>
      <c r="E1017">
        <v>184</v>
      </c>
      <c r="F1017">
        <v>23.6</v>
      </c>
      <c r="G1017" s="18">
        <v>45488</v>
      </c>
      <c r="H1017" s="18">
        <v>45491</v>
      </c>
      <c r="I1017">
        <v>184</v>
      </c>
      <c r="J1017">
        <v>4342.3999999999996</v>
      </c>
      <c r="K1017">
        <f>IF(tblPO[[#This Row],[Actual_Delivery_Date]]&lt;=tblPO[[#This Row],[Expected_Delivery_Date]],1,0)</f>
        <v>0</v>
      </c>
      <c r="L1017">
        <f>IF(tblPO[[#This Row],[Actual_Delivery_Date]]&gt;tblPO[[#This Row],[Expected_Delivery_Date]],1,0)</f>
        <v>1</v>
      </c>
      <c r="M1017">
        <f>tblPO[[#This Row],[Actual_Delivery_Date]]-tblPO[[#This Row],[PO_Date]]</f>
        <v>7</v>
      </c>
    </row>
    <row r="1018" spans="1:13" x14ac:dyDescent="0.3">
      <c r="A1018" t="s">
        <v>1240</v>
      </c>
      <c r="B1018" s="18">
        <v>45496</v>
      </c>
      <c r="C1018" t="s">
        <v>59</v>
      </c>
      <c r="D1018" t="s">
        <v>106</v>
      </c>
      <c r="E1018">
        <v>8</v>
      </c>
      <c r="F1018">
        <v>13960.64</v>
      </c>
      <c r="G1018" s="18">
        <v>45514</v>
      </c>
      <c r="H1018" s="18">
        <v>45512</v>
      </c>
      <c r="I1018">
        <v>8</v>
      </c>
      <c r="J1018">
        <v>111685.12</v>
      </c>
      <c r="K1018">
        <f>IF(tblPO[[#This Row],[Actual_Delivery_Date]]&lt;=tblPO[[#This Row],[Expected_Delivery_Date]],1,0)</f>
        <v>1</v>
      </c>
      <c r="L1018">
        <f>IF(tblPO[[#This Row],[Actual_Delivery_Date]]&gt;tblPO[[#This Row],[Expected_Delivery_Date]],1,0)</f>
        <v>0</v>
      </c>
      <c r="M1018">
        <f>tblPO[[#This Row],[Actual_Delivery_Date]]-tblPO[[#This Row],[PO_Date]]</f>
        <v>16</v>
      </c>
    </row>
    <row r="1019" spans="1:13" x14ac:dyDescent="0.3">
      <c r="A1019" t="s">
        <v>1239</v>
      </c>
      <c r="B1019" s="18">
        <v>45494</v>
      </c>
      <c r="C1019" t="s">
        <v>40</v>
      </c>
      <c r="D1019" t="s">
        <v>117</v>
      </c>
      <c r="E1019">
        <v>198</v>
      </c>
      <c r="F1019">
        <v>342.68</v>
      </c>
      <c r="G1019" s="18">
        <v>45497</v>
      </c>
      <c r="H1019" s="18">
        <v>45494</v>
      </c>
      <c r="I1019">
        <v>198</v>
      </c>
      <c r="J1019">
        <v>67850.64</v>
      </c>
      <c r="K1019">
        <f>IF(tblPO[[#This Row],[Actual_Delivery_Date]]&lt;=tblPO[[#This Row],[Expected_Delivery_Date]],1,0)</f>
        <v>1</v>
      </c>
      <c r="L1019">
        <f>IF(tblPO[[#This Row],[Actual_Delivery_Date]]&gt;tblPO[[#This Row],[Expected_Delivery_Date]],1,0)</f>
        <v>0</v>
      </c>
      <c r="M1019">
        <f>tblPO[[#This Row],[Actual_Delivery_Date]]-tblPO[[#This Row],[PO_Date]]</f>
        <v>0</v>
      </c>
    </row>
    <row r="1020" spans="1:13" x14ac:dyDescent="0.3">
      <c r="A1020" t="s">
        <v>1238</v>
      </c>
      <c r="B1020" s="18">
        <v>45495</v>
      </c>
      <c r="C1020" t="s">
        <v>52</v>
      </c>
      <c r="D1020" t="s">
        <v>243</v>
      </c>
      <c r="E1020">
        <v>119</v>
      </c>
      <c r="F1020">
        <v>172.88</v>
      </c>
      <c r="G1020" s="18">
        <v>45503</v>
      </c>
      <c r="H1020" s="18">
        <v>45500</v>
      </c>
      <c r="I1020">
        <v>119</v>
      </c>
      <c r="J1020">
        <v>20572.72</v>
      </c>
      <c r="K1020">
        <f>IF(tblPO[[#This Row],[Actual_Delivery_Date]]&lt;=tblPO[[#This Row],[Expected_Delivery_Date]],1,0)</f>
        <v>1</v>
      </c>
      <c r="L1020">
        <f>IF(tblPO[[#This Row],[Actual_Delivery_Date]]&gt;tblPO[[#This Row],[Expected_Delivery_Date]],1,0)</f>
        <v>0</v>
      </c>
      <c r="M1020">
        <f>tblPO[[#This Row],[Actual_Delivery_Date]]-tblPO[[#This Row],[PO_Date]]</f>
        <v>5</v>
      </c>
    </row>
    <row r="1021" spans="1:13" x14ac:dyDescent="0.3">
      <c r="A1021" t="s">
        <v>1237</v>
      </c>
      <c r="B1021" s="18">
        <v>45477</v>
      </c>
      <c r="C1021" t="s">
        <v>40</v>
      </c>
      <c r="D1021" t="s">
        <v>127</v>
      </c>
      <c r="E1021">
        <v>3</v>
      </c>
      <c r="F1021">
        <v>5626.99</v>
      </c>
      <c r="G1021" s="18">
        <v>45490</v>
      </c>
      <c r="H1021" s="18">
        <v>45488</v>
      </c>
      <c r="I1021">
        <v>3</v>
      </c>
      <c r="J1021">
        <v>16880.97</v>
      </c>
      <c r="K1021">
        <f>IF(tblPO[[#This Row],[Actual_Delivery_Date]]&lt;=tblPO[[#This Row],[Expected_Delivery_Date]],1,0)</f>
        <v>1</v>
      </c>
      <c r="L1021">
        <f>IF(tblPO[[#This Row],[Actual_Delivery_Date]]&gt;tblPO[[#This Row],[Expected_Delivery_Date]],1,0)</f>
        <v>0</v>
      </c>
      <c r="M1021">
        <f>tblPO[[#This Row],[Actual_Delivery_Date]]-tblPO[[#This Row],[PO_Date]]</f>
        <v>11</v>
      </c>
    </row>
    <row r="1022" spans="1:13" x14ac:dyDescent="0.3">
      <c r="A1022" t="s">
        <v>1236</v>
      </c>
      <c r="B1022" s="18">
        <v>45481</v>
      </c>
      <c r="C1022" t="s">
        <v>40</v>
      </c>
      <c r="D1022" t="s">
        <v>130</v>
      </c>
      <c r="E1022">
        <v>40</v>
      </c>
      <c r="F1022">
        <v>390.86</v>
      </c>
      <c r="G1022" s="18">
        <v>45496</v>
      </c>
      <c r="H1022" s="18">
        <v>45494</v>
      </c>
      <c r="I1022">
        <v>40</v>
      </c>
      <c r="J1022">
        <v>15634.4</v>
      </c>
      <c r="K1022">
        <f>IF(tblPO[[#This Row],[Actual_Delivery_Date]]&lt;=tblPO[[#This Row],[Expected_Delivery_Date]],1,0)</f>
        <v>1</v>
      </c>
      <c r="L1022">
        <f>IF(tblPO[[#This Row],[Actual_Delivery_Date]]&gt;tblPO[[#This Row],[Expected_Delivery_Date]],1,0)</f>
        <v>0</v>
      </c>
      <c r="M1022">
        <f>tblPO[[#This Row],[Actual_Delivery_Date]]-tblPO[[#This Row],[PO_Date]]</f>
        <v>13</v>
      </c>
    </row>
    <row r="1023" spans="1:13" x14ac:dyDescent="0.3">
      <c r="A1023" t="s">
        <v>1235</v>
      </c>
      <c r="B1023" s="18">
        <v>45495</v>
      </c>
      <c r="C1023" t="s">
        <v>48</v>
      </c>
      <c r="D1023" t="s">
        <v>164</v>
      </c>
      <c r="E1023">
        <v>181</v>
      </c>
      <c r="F1023">
        <v>166.09</v>
      </c>
      <c r="G1023" s="18">
        <v>45509</v>
      </c>
      <c r="H1023" s="18">
        <v>45509</v>
      </c>
      <c r="I1023">
        <v>181</v>
      </c>
      <c r="J1023">
        <v>30062.29</v>
      </c>
      <c r="K1023">
        <f>IF(tblPO[[#This Row],[Actual_Delivery_Date]]&lt;=tblPO[[#This Row],[Expected_Delivery_Date]],1,0)</f>
        <v>1</v>
      </c>
      <c r="L1023">
        <f>IF(tblPO[[#This Row],[Actual_Delivery_Date]]&gt;tblPO[[#This Row],[Expected_Delivery_Date]],1,0)</f>
        <v>0</v>
      </c>
      <c r="M1023">
        <f>tblPO[[#This Row],[Actual_Delivery_Date]]-tblPO[[#This Row],[PO_Date]]</f>
        <v>14</v>
      </c>
    </row>
    <row r="1024" spans="1:13" x14ac:dyDescent="0.3">
      <c r="A1024" t="s">
        <v>1234</v>
      </c>
      <c r="B1024" s="18">
        <v>45477</v>
      </c>
      <c r="C1024" t="s">
        <v>47</v>
      </c>
      <c r="D1024" t="s">
        <v>223</v>
      </c>
      <c r="E1024">
        <v>40</v>
      </c>
      <c r="F1024">
        <v>130.6</v>
      </c>
      <c r="G1024" s="18">
        <v>45482</v>
      </c>
      <c r="H1024" s="18">
        <v>45480</v>
      </c>
      <c r="I1024">
        <v>37</v>
      </c>
      <c r="J1024">
        <v>5224</v>
      </c>
      <c r="K1024">
        <f>IF(tblPO[[#This Row],[Actual_Delivery_Date]]&lt;=tblPO[[#This Row],[Expected_Delivery_Date]],1,0)</f>
        <v>1</v>
      </c>
      <c r="L1024">
        <f>IF(tblPO[[#This Row],[Actual_Delivery_Date]]&gt;tblPO[[#This Row],[Expected_Delivery_Date]],1,0)</f>
        <v>0</v>
      </c>
      <c r="M1024">
        <f>tblPO[[#This Row],[Actual_Delivery_Date]]-tblPO[[#This Row],[PO_Date]]</f>
        <v>3</v>
      </c>
    </row>
    <row r="1025" spans="1:13" x14ac:dyDescent="0.3">
      <c r="A1025" t="s">
        <v>1233</v>
      </c>
      <c r="B1025" s="18">
        <v>45497</v>
      </c>
      <c r="C1025" t="s">
        <v>45</v>
      </c>
      <c r="D1025" t="s">
        <v>215</v>
      </c>
      <c r="E1025">
        <v>24</v>
      </c>
      <c r="F1025">
        <v>3604.08</v>
      </c>
      <c r="G1025" s="18">
        <v>45503</v>
      </c>
      <c r="H1025" s="18">
        <v>45501</v>
      </c>
      <c r="I1025">
        <v>24</v>
      </c>
      <c r="J1025">
        <v>86497.919999999998</v>
      </c>
      <c r="K1025">
        <f>IF(tblPO[[#This Row],[Actual_Delivery_Date]]&lt;=tblPO[[#This Row],[Expected_Delivery_Date]],1,0)</f>
        <v>1</v>
      </c>
      <c r="L1025">
        <f>IF(tblPO[[#This Row],[Actual_Delivery_Date]]&gt;tblPO[[#This Row],[Expected_Delivery_Date]],1,0)</f>
        <v>0</v>
      </c>
      <c r="M1025">
        <f>tblPO[[#This Row],[Actual_Delivery_Date]]-tblPO[[#This Row],[PO_Date]]</f>
        <v>4</v>
      </c>
    </row>
    <row r="1026" spans="1:13" x14ac:dyDescent="0.3">
      <c r="A1026" t="s">
        <v>1232</v>
      </c>
      <c r="B1026" s="18">
        <v>45492</v>
      </c>
      <c r="C1026" t="s">
        <v>56</v>
      </c>
      <c r="D1026" t="s">
        <v>121</v>
      </c>
      <c r="E1026">
        <v>86</v>
      </c>
      <c r="F1026">
        <v>621.92999999999995</v>
      </c>
      <c r="G1026" s="18">
        <v>45499</v>
      </c>
      <c r="H1026" s="18">
        <v>45496</v>
      </c>
      <c r="I1026">
        <v>86</v>
      </c>
      <c r="J1026">
        <v>53485.98</v>
      </c>
      <c r="K1026">
        <f>IF(tblPO[[#This Row],[Actual_Delivery_Date]]&lt;=tblPO[[#This Row],[Expected_Delivery_Date]],1,0)</f>
        <v>1</v>
      </c>
      <c r="L1026">
        <f>IF(tblPO[[#This Row],[Actual_Delivery_Date]]&gt;tblPO[[#This Row],[Expected_Delivery_Date]],1,0)</f>
        <v>0</v>
      </c>
      <c r="M1026">
        <f>tblPO[[#This Row],[Actual_Delivery_Date]]-tblPO[[#This Row],[PO_Date]]</f>
        <v>4</v>
      </c>
    </row>
    <row r="1027" spans="1:13" x14ac:dyDescent="0.3">
      <c r="A1027" t="s">
        <v>1231</v>
      </c>
      <c r="B1027" s="18">
        <v>45486</v>
      </c>
      <c r="C1027" t="s">
        <v>42</v>
      </c>
      <c r="D1027" t="s">
        <v>84</v>
      </c>
      <c r="E1027">
        <v>57</v>
      </c>
      <c r="F1027">
        <v>231.03</v>
      </c>
      <c r="G1027" s="18">
        <v>45498</v>
      </c>
      <c r="H1027" s="18">
        <v>45498</v>
      </c>
      <c r="I1027">
        <v>55</v>
      </c>
      <c r="J1027">
        <v>13168.71</v>
      </c>
      <c r="K1027">
        <f>IF(tblPO[[#This Row],[Actual_Delivery_Date]]&lt;=tblPO[[#This Row],[Expected_Delivery_Date]],1,0)</f>
        <v>1</v>
      </c>
      <c r="L1027">
        <f>IF(tblPO[[#This Row],[Actual_Delivery_Date]]&gt;tblPO[[#This Row],[Expected_Delivery_Date]],1,0)</f>
        <v>0</v>
      </c>
      <c r="M1027">
        <f>tblPO[[#This Row],[Actual_Delivery_Date]]-tblPO[[#This Row],[PO_Date]]</f>
        <v>12</v>
      </c>
    </row>
    <row r="1028" spans="1:13" x14ac:dyDescent="0.3">
      <c r="A1028" t="s">
        <v>1230</v>
      </c>
      <c r="B1028" s="18">
        <v>45477</v>
      </c>
      <c r="C1028" t="s">
        <v>38</v>
      </c>
      <c r="D1028" t="s">
        <v>217</v>
      </c>
      <c r="E1028">
        <v>717</v>
      </c>
      <c r="F1028">
        <v>28.48</v>
      </c>
      <c r="G1028" s="18">
        <v>45486</v>
      </c>
      <c r="H1028" s="18">
        <v>45483</v>
      </c>
      <c r="I1028">
        <v>717</v>
      </c>
      <c r="J1028">
        <v>20420.16</v>
      </c>
      <c r="K1028">
        <f>IF(tblPO[[#This Row],[Actual_Delivery_Date]]&lt;=tblPO[[#This Row],[Expected_Delivery_Date]],1,0)</f>
        <v>1</v>
      </c>
      <c r="L1028">
        <f>IF(tblPO[[#This Row],[Actual_Delivery_Date]]&gt;tblPO[[#This Row],[Expected_Delivery_Date]],1,0)</f>
        <v>0</v>
      </c>
      <c r="M1028">
        <f>tblPO[[#This Row],[Actual_Delivery_Date]]-tblPO[[#This Row],[PO_Date]]</f>
        <v>6</v>
      </c>
    </row>
    <row r="1029" spans="1:13" x14ac:dyDescent="0.3">
      <c r="A1029" t="s">
        <v>1229</v>
      </c>
      <c r="B1029" s="18">
        <v>45491</v>
      </c>
      <c r="C1029" t="s">
        <v>58</v>
      </c>
      <c r="D1029" t="s">
        <v>158</v>
      </c>
      <c r="E1029">
        <v>11</v>
      </c>
      <c r="F1029">
        <v>134.06</v>
      </c>
      <c r="G1029" s="18">
        <v>45517</v>
      </c>
      <c r="H1029" s="18">
        <v>45514</v>
      </c>
      <c r="I1029">
        <v>10</v>
      </c>
      <c r="J1029">
        <v>1474.66</v>
      </c>
      <c r="K1029">
        <f>IF(tblPO[[#This Row],[Actual_Delivery_Date]]&lt;=tblPO[[#This Row],[Expected_Delivery_Date]],1,0)</f>
        <v>1</v>
      </c>
      <c r="L1029">
        <f>IF(tblPO[[#This Row],[Actual_Delivery_Date]]&gt;tblPO[[#This Row],[Expected_Delivery_Date]],1,0)</f>
        <v>0</v>
      </c>
      <c r="M1029">
        <f>tblPO[[#This Row],[Actual_Delivery_Date]]-tblPO[[#This Row],[PO_Date]]</f>
        <v>23</v>
      </c>
    </row>
    <row r="1030" spans="1:13" x14ac:dyDescent="0.3">
      <c r="A1030" t="s">
        <v>1228</v>
      </c>
      <c r="B1030" s="18">
        <v>45482</v>
      </c>
      <c r="C1030" t="s">
        <v>44</v>
      </c>
      <c r="D1030" t="s">
        <v>188</v>
      </c>
      <c r="E1030">
        <v>625</v>
      </c>
      <c r="F1030">
        <v>30.32</v>
      </c>
      <c r="G1030" s="18">
        <v>45495</v>
      </c>
      <c r="H1030" s="18">
        <v>45492</v>
      </c>
      <c r="I1030">
        <v>625</v>
      </c>
      <c r="J1030">
        <v>18950</v>
      </c>
      <c r="K1030">
        <f>IF(tblPO[[#This Row],[Actual_Delivery_Date]]&lt;=tblPO[[#This Row],[Expected_Delivery_Date]],1,0)</f>
        <v>1</v>
      </c>
      <c r="L1030">
        <f>IF(tblPO[[#This Row],[Actual_Delivery_Date]]&gt;tblPO[[#This Row],[Expected_Delivery_Date]],1,0)</f>
        <v>0</v>
      </c>
      <c r="M1030">
        <f>tblPO[[#This Row],[Actual_Delivery_Date]]-tblPO[[#This Row],[PO_Date]]</f>
        <v>10</v>
      </c>
    </row>
    <row r="1031" spans="1:13" x14ac:dyDescent="0.3">
      <c r="A1031" t="s">
        <v>1227</v>
      </c>
      <c r="B1031" s="18">
        <v>45487</v>
      </c>
      <c r="C1031" t="s">
        <v>65</v>
      </c>
      <c r="D1031" t="s">
        <v>199</v>
      </c>
      <c r="E1031">
        <v>53</v>
      </c>
      <c r="F1031">
        <v>302.06</v>
      </c>
      <c r="G1031" s="18">
        <v>45490</v>
      </c>
      <c r="H1031" s="18">
        <v>45487</v>
      </c>
      <c r="I1031">
        <v>53</v>
      </c>
      <c r="J1031">
        <v>16009.18</v>
      </c>
      <c r="K1031">
        <f>IF(tblPO[[#This Row],[Actual_Delivery_Date]]&lt;=tblPO[[#This Row],[Expected_Delivery_Date]],1,0)</f>
        <v>1</v>
      </c>
      <c r="L1031">
        <f>IF(tblPO[[#This Row],[Actual_Delivery_Date]]&gt;tblPO[[#This Row],[Expected_Delivery_Date]],1,0)</f>
        <v>0</v>
      </c>
      <c r="M1031">
        <f>tblPO[[#This Row],[Actual_Delivery_Date]]-tblPO[[#This Row],[PO_Date]]</f>
        <v>0</v>
      </c>
    </row>
    <row r="1032" spans="1:13" x14ac:dyDescent="0.3">
      <c r="A1032" t="s">
        <v>1226</v>
      </c>
      <c r="B1032" s="18">
        <v>45495</v>
      </c>
      <c r="C1032" t="s">
        <v>44</v>
      </c>
      <c r="D1032" t="s">
        <v>193</v>
      </c>
      <c r="E1032">
        <v>350</v>
      </c>
      <c r="F1032">
        <v>29.63</v>
      </c>
      <c r="G1032" s="18">
        <v>45524</v>
      </c>
      <c r="H1032" s="18">
        <v>45524</v>
      </c>
      <c r="I1032">
        <v>350</v>
      </c>
      <c r="J1032">
        <v>10370.5</v>
      </c>
      <c r="K1032">
        <f>IF(tblPO[[#This Row],[Actual_Delivery_Date]]&lt;=tblPO[[#This Row],[Expected_Delivery_Date]],1,0)</f>
        <v>1</v>
      </c>
      <c r="L1032">
        <f>IF(tblPO[[#This Row],[Actual_Delivery_Date]]&gt;tblPO[[#This Row],[Expected_Delivery_Date]],1,0)</f>
        <v>0</v>
      </c>
      <c r="M1032">
        <f>tblPO[[#This Row],[Actual_Delivery_Date]]-tblPO[[#This Row],[PO_Date]]</f>
        <v>29</v>
      </c>
    </row>
    <row r="1033" spans="1:13" x14ac:dyDescent="0.3">
      <c r="A1033" t="s">
        <v>1225</v>
      </c>
      <c r="B1033" s="18">
        <v>45493</v>
      </c>
      <c r="C1033" t="s">
        <v>44</v>
      </c>
      <c r="D1033" t="s">
        <v>193</v>
      </c>
      <c r="E1033">
        <v>410</v>
      </c>
      <c r="F1033">
        <v>29.64</v>
      </c>
      <c r="G1033" s="18">
        <v>45522</v>
      </c>
      <c r="H1033" s="18">
        <v>45519</v>
      </c>
      <c r="I1033">
        <v>410</v>
      </c>
      <c r="J1033">
        <v>12152.4</v>
      </c>
      <c r="K1033">
        <f>IF(tblPO[[#This Row],[Actual_Delivery_Date]]&lt;=tblPO[[#This Row],[Expected_Delivery_Date]],1,0)</f>
        <v>1</v>
      </c>
      <c r="L1033">
        <f>IF(tblPO[[#This Row],[Actual_Delivery_Date]]&gt;tblPO[[#This Row],[Expected_Delivery_Date]],1,0)</f>
        <v>0</v>
      </c>
      <c r="M1033">
        <f>tblPO[[#This Row],[Actual_Delivery_Date]]-tblPO[[#This Row],[PO_Date]]</f>
        <v>26</v>
      </c>
    </row>
    <row r="1034" spans="1:13" x14ac:dyDescent="0.3">
      <c r="A1034" t="s">
        <v>1224</v>
      </c>
      <c r="B1034" s="18">
        <v>45478</v>
      </c>
      <c r="C1034" t="s">
        <v>59</v>
      </c>
      <c r="D1034" t="s">
        <v>110</v>
      </c>
      <c r="E1034">
        <v>8</v>
      </c>
      <c r="F1034">
        <v>3304.02</v>
      </c>
      <c r="G1034" s="18">
        <v>45490</v>
      </c>
      <c r="H1034" s="18">
        <v>45499</v>
      </c>
      <c r="I1034">
        <v>8</v>
      </c>
      <c r="J1034">
        <v>26432.16</v>
      </c>
      <c r="K1034">
        <f>IF(tblPO[[#This Row],[Actual_Delivery_Date]]&lt;=tblPO[[#This Row],[Expected_Delivery_Date]],1,0)</f>
        <v>0</v>
      </c>
      <c r="L1034">
        <f>IF(tblPO[[#This Row],[Actual_Delivery_Date]]&gt;tblPO[[#This Row],[Expected_Delivery_Date]],1,0)</f>
        <v>1</v>
      </c>
      <c r="M1034">
        <f>tblPO[[#This Row],[Actual_Delivery_Date]]-tblPO[[#This Row],[PO_Date]]</f>
        <v>21</v>
      </c>
    </row>
    <row r="1035" spans="1:13" x14ac:dyDescent="0.3">
      <c r="A1035" t="s">
        <v>1223</v>
      </c>
      <c r="B1035" s="18">
        <v>45485</v>
      </c>
      <c r="C1035" t="s">
        <v>38</v>
      </c>
      <c r="D1035" t="s">
        <v>212</v>
      </c>
      <c r="E1035">
        <v>161</v>
      </c>
      <c r="F1035">
        <v>321.33</v>
      </c>
      <c r="G1035" s="18">
        <v>45496</v>
      </c>
      <c r="H1035" s="18">
        <v>45496</v>
      </c>
      <c r="I1035">
        <v>146</v>
      </c>
      <c r="J1035">
        <v>51734.13</v>
      </c>
      <c r="K1035">
        <f>IF(tblPO[[#This Row],[Actual_Delivery_Date]]&lt;=tblPO[[#This Row],[Expected_Delivery_Date]],1,0)</f>
        <v>1</v>
      </c>
      <c r="L1035">
        <f>IF(tblPO[[#This Row],[Actual_Delivery_Date]]&gt;tblPO[[#This Row],[Expected_Delivery_Date]],1,0)</f>
        <v>0</v>
      </c>
      <c r="M1035">
        <f>tblPO[[#This Row],[Actual_Delivery_Date]]-tblPO[[#This Row],[PO_Date]]</f>
        <v>11</v>
      </c>
    </row>
    <row r="1036" spans="1:13" x14ac:dyDescent="0.3">
      <c r="A1036" t="s">
        <v>1222</v>
      </c>
      <c r="B1036" s="18">
        <v>45486</v>
      </c>
      <c r="C1036" t="s">
        <v>39</v>
      </c>
      <c r="D1036" t="s">
        <v>164</v>
      </c>
      <c r="E1036">
        <v>51</v>
      </c>
      <c r="F1036">
        <v>149.27000000000001</v>
      </c>
      <c r="G1036" s="18">
        <v>45512</v>
      </c>
      <c r="H1036" s="18">
        <v>45511</v>
      </c>
      <c r="I1036">
        <v>51</v>
      </c>
      <c r="J1036">
        <v>7612.77</v>
      </c>
      <c r="K1036">
        <f>IF(tblPO[[#This Row],[Actual_Delivery_Date]]&lt;=tblPO[[#This Row],[Expected_Delivery_Date]],1,0)</f>
        <v>1</v>
      </c>
      <c r="L1036">
        <f>IF(tblPO[[#This Row],[Actual_Delivery_Date]]&gt;tblPO[[#This Row],[Expected_Delivery_Date]],1,0)</f>
        <v>0</v>
      </c>
      <c r="M1036">
        <f>tblPO[[#This Row],[Actual_Delivery_Date]]-tblPO[[#This Row],[PO_Date]]</f>
        <v>25</v>
      </c>
    </row>
    <row r="1037" spans="1:13" x14ac:dyDescent="0.3">
      <c r="A1037" t="s">
        <v>1221</v>
      </c>
      <c r="B1037" s="18">
        <v>45476</v>
      </c>
      <c r="C1037" t="s">
        <v>60</v>
      </c>
      <c r="D1037" t="s">
        <v>119</v>
      </c>
      <c r="E1037">
        <v>8</v>
      </c>
      <c r="F1037">
        <v>5945.33</v>
      </c>
      <c r="G1037" s="18">
        <v>45487</v>
      </c>
      <c r="H1037" s="18">
        <v>45504</v>
      </c>
      <c r="I1037">
        <v>8</v>
      </c>
      <c r="J1037">
        <v>47562.64</v>
      </c>
      <c r="K1037">
        <f>IF(tblPO[[#This Row],[Actual_Delivery_Date]]&lt;=tblPO[[#This Row],[Expected_Delivery_Date]],1,0)</f>
        <v>0</v>
      </c>
      <c r="L1037">
        <f>IF(tblPO[[#This Row],[Actual_Delivery_Date]]&gt;tblPO[[#This Row],[Expected_Delivery_Date]],1,0)</f>
        <v>1</v>
      </c>
      <c r="M1037">
        <f>tblPO[[#This Row],[Actual_Delivery_Date]]-tblPO[[#This Row],[PO_Date]]</f>
        <v>28</v>
      </c>
    </row>
    <row r="1038" spans="1:13" x14ac:dyDescent="0.3">
      <c r="A1038" t="s">
        <v>1220</v>
      </c>
      <c r="B1038" s="18">
        <v>45487</v>
      </c>
      <c r="C1038" t="s">
        <v>42</v>
      </c>
      <c r="D1038" t="s">
        <v>88</v>
      </c>
      <c r="E1038">
        <v>3</v>
      </c>
      <c r="F1038">
        <v>18716.580000000002</v>
      </c>
      <c r="G1038" s="18">
        <v>45503</v>
      </c>
      <c r="H1038" s="18">
        <v>45503</v>
      </c>
      <c r="I1038">
        <v>3</v>
      </c>
      <c r="J1038">
        <v>56149.74</v>
      </c>
      <c r="K1038">
        <f>IF(tblPO[[#This Row],[Actual_Delivery_Date]]&lt;=tblPO[[#This Row],[Expected_Delivery_Date]],1,0)</f>
        <v>1</v>
      </c>
      <c r="L1038">
        <f>IF(tblPO[[#This Row],[Actual_Delivery_Date]]&gt;tblPO[[#This Row],[Expected_Delivery_Date]],1,0)</f>
        <v>0</v>
      </c>
      <c r="M1038">
        <f>tblPO[[#This Row],[Actual_Delivery_Date]]-tblPO[[#This Row],[PO_Date]]</f>
        <v>16</v>
      </c>
    </row>
    <row r="1039" spans="1:13" x14ac:dyDescent="0.3">
      <c r="A1039" t="s">
        <v>1219</v>
      </c>
      <c r="B1039" s="18">
        <v>45477</v>
      </c>
      <c r="C1039" t="s">
        <v>53</v>
      </c>
      <c r="D1039" t="s">
        <v>92</v>
      </c>
      <c r="E1039">
        <v>10</v>
      </c>
      <c r="F1039">
        <v>4281.7299999999996</v>
      </c>
      <c r="G1039" s="18">
        <v>45506</v>
      </c>
      <c r="H1039" s="18">
        <v>45506</v>
      </c>
      <c r="I1039">
        <v>9</v>
      </c>
      <c r="J1039">
        <v>42817.3</v>
      </c>
      <c r="K1039">
        <f>IF(tblPO[[#This Row],[Actual_Delivery_Date]]&lt;=tblPO[[#This Row],[Expected_Delivery_Date]],1,0)</f>
        <v>1</v>
      </c>
      <c r="L1039">
        <f>IF(tblPO[[#This Row],[Actual_Delivery_Date]]&gt;tblPO[[#This Row],[Expected_Delivery_Date]],1,0)</f>
        <v>0</v>
      </c>
      <c r="M1039">
        <f>tblPO[[#This Row],[Actual_Delivery_Date]]-tblPO[[#This Row],[PO_Date]]</f>
        <v>29</v>
      </c>
    </row>
    <row r="1040" spans="1:13" x14ac:dyDescent="0.3">
      <c r="A1040" t="s">
        <v>1218</v>
      </c>
      <c r="B1040" s="18">
        <v>45478</v>
      </c>
      <c r="C1040" t="s">
        <v>46</v>
      </c>
      <c r="D1040" t="s">
        <v>100</v>
      </c>
      <c r="E1040">
        <v>5</v>
      </c>
      <c r="F1040">
        <v>58091.6</v>
      </c>
      <c r="G1040" s="18">
        <v>45497</v>
      </c>
      <c r="H1040" s="18">
        <v>45494</v>
      </c>
      <c r="I1040">
        <v>5</v>
      </c>
      <c r="J1040">
        <v>290458</v>
      </c>
      <c r="K1040">
        <f>IF(tblPO[[#This Row],[Actual_Delivery_Date]]&lt;=tblPO[[#This Row],[Expected_Delivery_Date]],1,0)</f>
        <v>1</v>
      </c>
      <c r="L1040">
        <f>IF(tblPO[[#This Row],[Actual_Delivery_Date]]&gt;tblPO[[#This Row],[Expected_Delivery_Date]],1,0)</f>
        <v>0</v>
      </c>
      <c r="M1040">
        <f>tblPO[[#This Row],[Actual_Delivery_Date]]-tblPO[[#This Row],[PO_Date]]</f>
        <v>16</v>
      </c>
    </row>
    <row r="1041" spans="1:13" x14ac:dyDescent="0.3">
      <c r="A1041" t="s">
        <v>1217</v>
      </c>
      <c r="B1041" s="18">
        <v>45499</v>
      </c>
      <c r="C1041" t="s">
        <v>50</v>
      </c>
      <c r="D1041" t="s">
        <v>136</v>
      </c>
      <c r="E1041">
        <v>36</v>
      </c>
      <c r="F1041">
        <v>656.56</v>
      </c>
      <c r="G1041" s="18">
        <v>45505</v>
      </c>
      <c r="H1041" s="18">
        <v>45504</v>
      </c>
      <c r="I1041">
        <v>36</v>
      </c>
      <c r="J1041">
        <v>23636.16</v>
      </c>
      <c r="K1041">
        <f>IF(tblPO[[#This Row],[Actual_Delivery_Date]]&lt;=tblPO[[#This Row],[Expected_Delivery_Date]],1,0)</f>
        <v>1</v>
      </c>
      <c r="L1041">
        <f>IF(tblPO[[#This Row],[Actual_Delivery_Date]]&gt;tblPO[[#This Row],[Expected_Delivery_Date]],1,0)</f>
        <v>0</v>
      </c>
      <c r="M1041">
        <f>tblPO[[#This Row],[Actual_Delivery_Date]]-tblPO[[#This Row],[PO_Date]]</f>
        <v>5</v>
      </c>
    </row>
    <row r="1042" spans="1:13" x14ac:dyDescent="0.3">
      <c r="A1042" t="s">
        <v>1216</v>
      </c>
      <c r="B1042" s="18">
        <v>45485</v>
      </c>
      <c r="C1042" t="s">
        <v>43</v>
      </c>
      <c r="D1042" t="s">
        <v>152</v>
      </c>
      <c r="E1042">
        <v>591</v>
      </c>
      <c r="F1042">
        <v>79.13</v>
      </c>
      <c r="G1042" s="18">
        <v>45497</v>
      </c>
      <c r="H1042" s="18">
        <v>45494</v>
      </c>
      <c r="I1042">
        <v>591</v>
      </c>
      <c r="J1042">
        <v>46765.83</v>
      </c>
      <c r="K1042">
        <f>IF(tblPO[[#This Row],[Actual_Delivery_Date]]&lt;=tblPO[[#This Row],[Expected_Delivery_Date]],1,0)</f>
        <v>1</v>
      </c>
      <c r="L1042">
        <f>IF(tblPO[[#This Row],[Actual_Delivery_Date]]&gt;tblPO[[#This Row],[Expected_Delivery_Date]],1,0)</f>
        <v>0</v>
      </c>
      <c r="M1042">
        <f>tblPO[[#This Row],[Actual_Delivery_Date]]-tblPO[[#This Row],[PO_Date]]</f>
        <v>9</v>
      </c>
    </row>
    <row r="1043" spans="1:13" x14ac:dyDescent="0.3">
      <c r="A1043" t="s">
        <v>1215</v>
      </c>
      <c r="B1043" s="18">
        <v>45479</v>
      </c>
      <c r="C1043" t="s">
        <v>40</v>
      </c>
      <c r="D1043" t="s">
        <v>138</v>
      </c>
      <c r="E1043">
        <v>14</v>
      </c>
      <c r="F1043">
        <v>3931.9</v>
      </c>
      <c r="G1043" s="18">
        <v>45493</v>
      </c>
      <c r="H1043" s="18">
        <v>45493</v>
      </c>
      <c r="I1043">
        <v>14</v>
      </c>
      <c r="J1043">
        <v>55046.6</v>
      </c>
      <c r="K1043">
        <f>IF(tblPO[[#This Row],[Actual_Delivery_Date]]&lt;=tblPO[[#This Row],[Expected_Delivery_Date]],1,0)</f>
        <v>1</v>
      </c>
      <c r="L1043">
        <f>IF(tblPO[[#This Row],[Actual_Delivery_Date]]&gt;tblPO[[#This Row],[Expected_Delivery_Date]],1,0)</f>
        <v>0</v>
      </c>
      <c r="M1043">
        <f>tblPO[[#This Row],[Actual_Delivery_Date]]-tblPO[[#This Row],[PO_Date]]</f>
        <v>14</v>
      </c>
    </row>
    <row r="1044" spans="1:13" x14ac:dyDescent="0.3">
      <c r="A1044" t="s">
        <v>1214</v>
      </c>
      <c r="B1044" s="18">
        <v>45490</v>
      </c>
      <c r="C1044" t="s">
        <v>44</v>
      </c>
      <c r="D1044" t="s">
        <v>205</v>
      </c>
      <c r="E1044">
        <v>185</v>
      </c>
      <c r="F1044">
        <v>361.89</v>
      </c>
      <c r="G1044" s="18">
        <v>45506</v>
      </c>
      <c r="H1044" s="18">
        <v>45504</v>
      </c>
      <c r="I1044">
        <v>185</v>
      </c>
      <c r="J1044">
        <v>66949.649999999994</v>
      </c>
      <c r="K1044">
        <f>IF(tblPO[[#This Row],[Actual_Delivery_Date]]&lt;=tblPO[[#This Row],[Expected_Delivery_Date]],1,0)</f>
        <v>1</v>
      </c>
      <c r="L1044">
        <f>IF(tblPO[[#This Row],[Actual_Delivery_Date]]&gt;tblPO[[#This Row],[Expected_Delivery_Date]],1,0)</f>
        <v>0</v>
      </c>
      <c r="M1044">
        <f>tblPO[[#This Row],[Actual_Delivery_Date]]-tblPO[[#This Row],[PO_Date]]</f>
        <v>14</v>
      </c>
    </row>
    <row r="1045" spans="1:13" x14ac:dyDescent="0.3">
      <c r="A1045" t="s">
        <v>1213</v>
      </c>
      <c r="B1045" s="18">
        <v>45497</v>
      </c>
      <c r="C1045" t="s">
        <v>54</v>
      </c>
      <c r="D1045" t="s">
        <v>185</v>
      </c>
      <c r="E1045">
        <v>1980</v>
      </c>
      <c r="F1045">
        <v>6.51</v>
      </c>
      <c r="G1045" s="18">
        <v>45511</v>
      </c>
      <c r="H1045" s="18">
        <v>45509</v>
      </c>
      <c r="I1045">
        <v>1980</v>
      </c>
      <c r="J1045">
        <v>12889.8</v>
      </c>
      <c r="K1045">
        <f>IF(tblPO[[#This Row],[Actual_Delivery_Date]]&lt;=tblPO[[#This Row],[Expected_Delivery_Date]],1,0)</f>
        <v>1</v>
      </c>
      <c r="L1045">
        <f>IF(tblPO[[#This Row],[Actual_Delivery_Date]]&gt;tblPO[[#This Row],[Expected_Delivery_Date]],1,0)</f>
        <v>0</v>
      </c>
      <c r="M1045">
        <f>tblPO[[#This Row],[Actual_Delivery_Date]]-tblPO[[#This Row],[PO_Date]]</f>
        <v>12</v>
      </c>
    </row>
    <row r="1046" spans="1:13" x14ac:dyDescent="0.3">
      <c r="A1046" t="s">
        <v>1212</v>
      </c>
      <c r="B1046" s="18">
        <v>45488</v>
      </c>
      <c r="C1046" t="s">
        <v>54</v>
      </c>
      <c r="D1046" t="s">
        <v>197</v>
      </c>
      <c r="E1046">
        <v>56</v>
      </c>
      <c r="F1046">
        <v>222.01</v>
      </c>
      <c r="G1046" s="18">
        <v>45502</v>
      </c>
      <c r="H1046" s="18">
        <v>45507</v>
      </c>
      <c r="I1046">
        <v>56</v>
      </c>
      <c r="J1046">
        <v>12432.56</v>
      </c>
      <c r="K1046">
        <f>IF(tblPO[[#This Row],[Actual_Delivery_Date]]&lt;=tblPO[[#This Row],[Expected_Delivery_Date]],1,0)</f>
        <v>0</v>
      </c>
      <c r="L1046">
        <f>IF(tblPO[[#This Row],[Actual_Delivery_Date]]&gt;tblPO[[#This Row],[Expected_Delivery_Date]],1,0)</f>
        <v>1</v>
      </c>
      <c r="M1046">
        <f>tblPO[[#This Row],[Actual_Delivery_Date]]-tblPO[[#This Row],[PO_Date]]</f>
        <v>19</v>
      </c>
    </row>
    <row r="1047" spans="1:13" x14ac:dyDescent="0.3">
      <c r="A1047" t="s">
        <v>1211</v>
      </c>
      <c r="B1047" s="18">
        <v>45502</v>
      </c>
      <c r="C1047" t="s">
        <v>51</v>
      </c>
      <c r="D1047" t="s">
        <v>164</v>
      </c>
      <c r="E1047">
        <v>193</v>
      </c>
      <c r="F1047">
        <v>106.43</v>
      </c>
      <c r="G1047" s="18">
        <v>45512</v>
      </c>
      <c r="H1047" s="18">
        <v>45509</v>
      </c>
      <c r="I1047">
        <v>193</v>
      </c>
      <c r="J1047">
        <v>20540.990000000002</v>
      </c>
      <c r="K1047">
        <f>IF(tblPO[[#This Row],[Actual_Delivery_Date]]&lt;=tblPO[[#This Row],[Expected_Delivery_Date]],1,0)</f>
        <v>1</v>
      </c>
      <c r="L1047">
        <f>IF(tblPO[[#This Row],[Actual_Delivery_Date]]&gt;tblPO[[#This Row],[Expected_Delivery_Date]],1,0)</f>
        <v>0</v>
      </c>
      <c r="M1047">
        <f>tblPO[[#This Row],[Actual_Delivery_Date]]-tblPO[[#This Row],[PO_Date]]</f>
        <v>7</v>
      </c>
    </row>
    <row r="1048" spans="1:13" x14ac:dyDescent="0.3">
      <c r="A1048" t="s">
        <v>1210</v>
      </c>
      <c r="B1048" s="18">
        <v>45494</v>
      </c>
      <c r="C1048" t="s">
        <v>42</v>
      </c>
      <c r="D1048" t="s">
        <v>98</v>
      </c>
      <c r="E1048">
        <v>4</v>
      </c>
      <c r="F1048">
        <v>10220.549999999999</v>
      </c>
      <c r="G1048" s="18">
        <v>45508</v>
      </c>
      <c r="H1048" s="18">
        <v>45506</v>
      </c>
      <c r="I1048">
        <v>4</v>
      </c>
      <c r="J1048">
        <v>40882.199999999997</v>
      </c>
      <c r="K1048">
        <f>IF(tblPO[[#This Row],[Actual_Delivery_Date]]&lt;=tblPO[[#This Row],[Expected_Delivery_Date]],1,0)</f>
        <v>1</v>
      </c>
      <c r="L1048">
        <f>IF(tblPO[[#This Row],[Actual_Delivery_Date]]&gt;tblPO[[#This Row],[Expected_Delivery_Date]],1,0)</f>
        <v>0</v>
      </c>
      <c r="M1048">
        <f>tblPO[[#This Row],[Actual_Delivery_Date]]-tblPO[[#This Row],[PO_Date]]</f>
        <v>12</v>
      </c>
    </row>
    <row r="1049" spans="1:13" x14ac:dyDescent="0.3">
      <c r="A1049" t="s">
        <v>1209</v>
      </c>
      <c r="B1049" s="18">
        <v>45497</v>
      </c>
      <c r="C1049" t="s">
        <v>48</v>
      </c>
      <c r="D1049" t="s">
        <v>172</v>
      </c>
      <c r="E1049">
        <v>136</v>
      </c>
      <c r="F1049">
        <v>41.85</v>
      </c>
      <c r="G1049" s="18">
        <v>45518</v>
      </c>
      <c r="H1049" s="18">
        <v>45518</v>
      </c>
      <c r="I1049">
        <v>136</v>
      </c>
      <c r="J1049">
        <v>5691.6</v>
      </c>
      <c r="K1049">
        <f>IF(tblPO[[#This Row],[Actual_Delivery_Date]]&lt;=tblPO[[#This Row],[Expected_Delivery_Date]],1,0)</f>
        <v>1</v>
      </c>
      <c r="L1049">
        <f>IF(tblPO[[#This Row],[Actual_Delivery_Date]]&gt;tblPO[[#This Row],[Expected_Delivery_Date]],1,0)</f>
        <v>0</v>
      </c>
      <c r="M1049">
        <f>tblPO[[#This Row],[Actual_Delivery_Date]]-tblPO[[#This Row],[PO_Date]]</f>
        <v>21</v>
      </c>
    </row>
    <row r="1050" spans="1:13" x14ac:dyDescent="0.3">
      <c r="A1050" t="s">
        <v>1208</v>
      </c>
      <c r="B1050" s="18">
        <v>45495</v>
      </c>
      <c r="C1050" t="s">
        <v>47</v>
      </c>
      <c r="D1050" t="s">
        <v>251</v>
      </c>
      <c r="E1050">
        <v>484</v>
      </c>
      <c r="F1050">
        <v>70.510000000000005</v>
      </c>
      <c r="G1050" s="18">
        <v>45502</v>
      </c>
      <c r="H1050" s="18">
        <v>45499</v>
      </c>
      <c r="I1050">
        <v>484</v>
      </c>
      <c r="J1050">
        <v>34126.839999999997</v>
      </c>
      <c r="K1050">
        <f>IF(tblPO[[#This Row],[Actual_Delivery_Date]]&lt;=tblPO[[#This Row],[Expected_Delivery_Date]],1,0)</f>
        <v>1</v>
      </c>
      <c r="L1050">
        <f>IF(tblPO[[#This Row],[Actual_Delivery_Date]]&gt;tblPO[[#This Row],[Expected_Delivery_Date]],1,0)</f>
        <v>0</v>
      </c>
      <c r="M1050">
        <f>tblPO[[#This Row],[Actual_Delivery_Date]]-tblPO[[#This Row],[PO_Date]]</f>
        <v>4</v>
      </c>
    </row>
    <row r="1051" spans="1:13" x14ac:dyDescent="0.3">
      <c r="A1051" t="s">
        <v>1207</v>
      </c>
      <c r="B1051" s="18">
        <v>45474</v>
      </c>
      <c r="C1051" t="s">
        <v>38</v>
      </c>
      <c r="D1051" t="s">
        <v>212</v>
      </c>
      <c r="E1051">
        <v>200</v>
      </c>
      <c r="F1051">
        <v>312.07</v>
      </c>
      <c r="G1051" s="18">
        <v>45490</v>
      </c>
      <c r="H1051" s="18">
        <v>45489</v>
      </c>
      <c r="I1051">
        <v>200</v>
      </c>
      <c r="J1051">
        <v>62414</v>
      </c>
      <c r="K1051">
        <f>IF(tblPO[[#This Row],[Actual_Delivery_Date]]&lt;=tblPO[[#This Row],[Expected_Delivery_Date]],1,0)</f>
        <v>1</v>
      </c>
      <c r="L1051">
        <f>IF(tblPO[[#This Row],[Actual_Delivery_Date]]&gt;tblPO[[#This Row],[Expected_Delivery_Date]],1,0)</f>
        <v>0</v>
      </c>
      <c r="M1051">
        <f>tblPO[[#This Row],[Actual_Delivery_Date]]-tblPO[[#This Row],[PO_Date]]</f>
        <v>15</v>
      </c>
    </row>
    <row r="1052" spans="1:13" x14ac:dyDescent="0.3">
      <c r="A1052" t="s">
        <v>1206</v>
      </c>
      <c r="B1052" s="18">
        <v>45495</v>
      </c>
      <c r="C1052" t="s">
        <v>39</v>
      </c>
      <c r="D1052" t="s">
        <v>154</v>
      </c>
      <c r="E1052">
        <v>590</v>
      </c>
      <c r="F1052">
        <v>81.27</v>
      </c>
      <c r="G1052" s="18">
        <v>45508</v>
      </c>
      <c r="H1052" s="18">
        <v>45506</v>
      </c>
      <c r="I1052">
        <v>590</v>
      </c>
      <c r="J1052">
        <v>47949.3</v>
      </c>
      <c r="K1052">
        <f>IF(tblPO[[#This Row],[Actual_Delivery_Date]]&lt;=tblPO[[#This Row],[Expected_Delivery_Date]],1,0)</f>
        <v>1</v>
      </c>
      <c r="L1052">
        <f>IF(tblPO[[#This Row],[Actual_Delivery_Date]]&gt;tblPO[[#This Row],[Expected_Delivery_Date]],1,0)</f>
        <v>0</v>
      </c>
      <c r="M1052">
        <f>tblPO[[#This Row],[Actual_Delivery_Date]]-tblPO[[#This Row],[PO_Date]]</f>
        <v>11</v>
      </c>
    </row>
    <row r="1053" spans="1:13" x14ac:dyDescent="0.3">
      <c r="A1053" t="s">
        <v>1205</v>
      </c>
      <c r="B1053" s="18">
        <v>45479</v>
      </c>
      <c r="C1053" t="s">
        <v>69</v>
      </c>
      <c r="D1053" t="s">
        <v>113</v>
      </c>
      <c r="E1053">
        <v>67</v>
      </c>
      <c r="F1053">
        <v>421.51</v>
      </c>
      <c r="G1053" s="18">
        <v>45484</v>
      </c>
      <c r="H1053" s="18">
        <v>45482</v>
      </c>
      <c r="I1053">
        <v>67</v>
      </c>
      <c r="J1053">
        <v>28241.17</v>
      </c>
      <c r="K1053">
        <f>IF(tblPO[[#This Row],[Actual_Delivery_Date]]&lt;=tblPO[[#This Row],[Expected_Delivery_Date]],1,0)</f>
        <v>1</v>
      </c>
      <c r="L1053">
        <f>IF(tblPO[[#This Row],[Actual_Delivery_Date]]&gt;tblPO[[#This Row],[Expected_Delivery_Date]],1,0)</f>
        <v>0</v>
      </c>
      <c r="M1053">
        <f>tblPO[[#This Row],[Actual_Delivery_Date]]-tblPO[[#This Row],[PO_Date]]</f>
        <v>3</v>
      </c>
    </row>
    <row r="1054" spans="1:13" x14ac:dyDescent="0.3">
      <c r="A1054" t="s">
        <v>1204</v>
      </c>
      <c r="B1054" s="18">
        <v>45479</v>
      </c>
      <c r="C1054" t="s">
        <v>71</v>
      </c>
      <c r="D1054" t="s">
        <v>176</v>
      </c>
      <c r="E1054">
        <v>438</v>
      </c>
      <c r="F1054">
        <v>38.4</v>
      </c>
      <c r="G1054" s="18">
        <v>45493</v>
      </c>
      <c r="H1054" s="18">
        <v>45504</v>
      </c>
      <c r="I1054">
        <v>438</v>
      </c>
      <c r="J1054">
        <v>16819.2</v>
      </c>
      <c r="K1054">
        <f>IF(tblPO[[#This Row],[Actual_Delivery_Date]]&lt;=tblPO[[#This Row],[Expected_Delivery_Date]],1,0)</f>
        <v>0</v>
      </c>
      <c r="L1054">
        <f>IF(tblPO[[#This Row],[Actual_Delivery_Date]]&gt;tblPO[[#This Row],[Expected_Delivery_Date]],1,0)</f>
        <v>1</v>
      </c>
      <c r="M1054">
        <f>tblPO[[#This Row],[Actual_Delivery_Date]]-tblPO[[#This Row],[PO_Date]]</f>
        <v>25</v>
      </c>
    </row>
    <row r="1055" spans="1:13" x14ac:dyDescent="0.3">
      <c r="A1055" t="s">
        <v>1203</v>
      </c>
      <c r="B1055" s="18">
        <v>45483</v>
      </c>
      <c r="C1055" t="s">
        <v>47</v>
      </c>
      <c r="D1055" t="s">
        <v>237</v>
      </c>
      <c r="E1055">
        <v>170</v>
      </c>
      <c r="F1055">
        <v>72.27</v>
      </c>
      <c r="G1055" s="18">
        <v>45495</v>
      </c>
      <c r="H1055" s="18">
        <v>45494</v>
      </c>
      <c r="I1055">
        <v>170</v>
      </c>
      <c r="J1055">
        <v>12285.9</v>
      </c>
      <c r="K1055">
        <f>IF(tblPO[[#This Row],[Actual_Delivery_Date]]&lt;=tblPO[[#This Row],[Expected_Delivery_Date]],1,0)</f>
        <v>1</v>
      </c>
      <c r="L1055">
        <f>IF(tblPO[[#This Row],[Actual_Delivery_Date]]&gt;tblPO[[#This Row],[Expected_Delivery_Date]],1,0)</f>
        <v>0</v>
      </c>
      <c r="M1055">
        <f>tblPO[[#This Row],[Actual_Delivery_Date]]-tblPO[[#This Row],[PO_Date]]</f>
        <v>11</v>
      </c>
    </row>
    <row r="1056" spans="1:13" x14ac:dyDescent="0.3">
      <c r="A1056" t="s">
        <v>1202</v>
      </c>
      <c r="B1056" s="18">
        <v>45480</v>
      </c>
      <c r="C1056" t="s">
        <v>56</v>
      </c>
      <c r="D1056" t="s">
        <v>119</v>
      </c>
      <c r="E1056">
        <v>14</v>
      </c>
      <c r="F1056">
        <v>7730.28</v>
      </c>
      <c r="G1056" s="18">
        <v>45492</v>
      </c>
      <c r="H1056" s="18">
        <v>45508</v>
      </c>
      <c r="I1056">
        <v>14</v>
      </c>
      <c r="J1056">
        <v>108223.92</v>
      </c>
      <c r="K1056">
        <f>IF(tblPO[[#This Row],[Actual_Delivery_Date]]&lt;=tblPO[[#This Row],[Expected_Delivery_Date]],1,0)</f>
        <v>0</v>
      </c>
      <c r="L1056">
        <f>IF(tblPO[[#This Row],[Actual_Delivery_Date]]&gt;tblPO[[#This Row],[Expected_Delivery_Date]],1,0)</f>
        <v>1</v>
      </c>
      <c r="M1056">
        <f>tblPO[[#This Row],[Actual_Delivery_Date]]-tblPO[[#This Row],[PO_Date]]</f>
        <v>28</v>
      </c>
    </row>
    <row r="1057" spans="1:13" x14ac:dyDescent="0.3">
      <c r="A1057" t="s">
        <v>1201</v>
      </c>
      <c r="B1057" s="18">
        <v>45502</v>
      </c>
      <c r="C1057" t="s">
        <v>63</v>
      </c>
      <c r="D1057" t="s">
        <v>146</v>
      </c>
      <c r="E1057">
        <v>16</v>
      </c>
      <c r="F1057">
        <v>3450.8</v>
      </c>
      <c r="G1057" s="18">
        <v>45529</v>
      </c>
      <c r="H1057" s="18">
        <v>45526</v>
      </c>
      <c r="I1057">
        <v>16</v>
      </c>
      <c r="J1057">
        <v>55212.800000000003</v>
      </c>
      <c r="K1057">
        <f>IF(tblPO[[#This Row],[Actual_Delivery_Date]]&lt;=tblPO[[#This Row],[Expected_Delivery_Date]],1,0)</f>
        <v>1</v>
      </c>
      <c r="L1057">
        <f>IF(tblPO[[#This Row],[Actual_Delivery_Date]]&gt;tblPO[[#This Row],[Expected_Delivery_Date]],1,0)</f>
        <v>0</v>
      </c>
      <c r="M1057">
        <f>tblPO[[#This Row],[Actual_Delivery_Date]]-tblPO[[#This Row],[PO_Date]]</f>
        <v>24</v>
      </c>
    </row>
    <row r="1058" spans="1:13" x14ac:dyDescent="0.3">
      <c r="A1058" t="s">
        <v>1200</v>
      </c>
      <c r="B1058" s="18">
        <v>45474</v>
      </c>
      <c r="C1058" t="s">
        <v>47</v>
      </c>
      <c r="D1058" t="s">
        <v>231</v>
      </c>
      <c r="E1058">
        <v>37</v>
      </c>
      <c r="F1058">
        <v>114.13</v>
      </c>
      <c r="G1058" s="18">
        <v>45488</v>
      </c>
      <c r="H1058" s="18">
        <v>45496</v>
      </c>
      <c r="I1058">
        <v>37</v>
      </c>
      <c r="J1058">
        <v>4222.8100000000004</v>
      </c>
      <c r="K1058">
        <f>IF(tblPO[[#This Row],[Actual_Delivery_Date]]&lt;=tblPO[[#This Row],[Expected_Delivery_Date]],1,0)</f>
        <v>0</v>
      </c>
      <c r="L1058">
        <f>IF(tblPO[[#This Row],[Actual_Delivery_Date]]&gt;tblPO[[#This Row],[Expected_Delivery_Date]],1,0)</f>
        <v>1</v>
      </c>
      <c r="M1058">
        <f>tblPO[[#This Row],[Actual_Delivery_Date]]-tblPO[[#This Row],[PO_Date]]</f>
        <v>22</v>
      </c>
    </row>
    <row r="1059" spans="1:13" x14ac:dyDescent="0.3">
      <c r="A1059" t="s">
        <v>1199</v>
      </c>
      <c r="B1059" s="18">
        <v>45480</v>
      </c>
      <c r="C1059" t="s">
        <v>43</v>
      </c>
      <c r="D1059" t="s">
        <v>176</v>
      </c>
      <c r="E1059">
        <v>553</v>
      </c>
      <c r="F1059">
        <v>36.590000000000003</v>
      </c>
      <c r="G1059" s="18">
        <v>45485</v>
      </c>
      <c r="H1059" s="18">
        <v>45483</v>
      </c>
      <c r="I1059">
        <v>553</v>
      </c>
      <c r="J1059">
        <v>20234.27</v>
      </c>
      <c r="K1059">
        <f>IF(tblPO[[#This Row],[Actual_Delivery_Date]]&lt;=tblPO[[#This Row],[Expected_Delivery_Date]],1,0)</f>
        <v>1</v>
      </c>
      <c r="L1059">
        <f>IF(tblPO[[#This Row],[Actual_Delivery_Date]]&gt;tblPO[[#This Row],[Expected_Delivery_Date]],1,0)</f>
        <v>0</v>
      </c>
      <c r="M1059">
        <f>tblPO[[#This Row],[Actual_Delivery_Date]]-tblPO[[#This Row],[PO_Date]]</f>
        <v>3</v>
      </c>
    </row>
    <row r="1060" spans="1:13" x14ac:dyDescent="0.3">
      <c r="A1060" t="s">
        <v>1198</v>
      </c>
      <c r="B1060" s="18">
        <v>45498</v>
      </c>
      <c r="C1060" t="s">
        <v>43</v>
      </c>
      <c r="D1060" t="s">
        <v>146</v>
      </c>
      <c r="E1060">
        <v>6</v>
      </c>
      <c r="F1060">
        <v>2517.46</v>
      </c>
      <c r="G1060" s="18">
        <v>45509</v>
      </c>
      <c r="H1060" s="18">
        <v>45509</v>
      </c>
      <c r="I1060">
        <v>6</v>
      </c>
      <c r="J1060">
        <v>15104.76</v>
      </c>
      <c r="K1060">
        <f>IF(tblPO[[#This Row],[Actual_Delivery_Date]]&lt;=tblPO[[#This Row],[Expected_Delivery_Date]],1,0)</f>
        <v>1</v>
      </c>
      <c r="L1060">
        <f>IF(tblPO[[#This Row],[Actual_Delivery_Date]]&gt;tblPO[[#This Row],[Expected_Delivery_Date]],1,0)</f>
        <v>0</v>
      </c>
      <c r="M1060">
        <f>tblPO[[#This Row],[Actual_Delivery_Date]]-tblPO[[#This Row],[PO_Date]]</f>
        <v>11</v>
      </c>
    </row>
    <row r="1061" spans="1:13" x14ac:dyDescent="0.3">
      <c r="A1061" t="s">
        <v>1197</v>
      </c>
      <c r="B1061" s="18">
        <v>45491</v>
      </c>
      <c r="C1061" t="s">
        <v>66</v>
      </c>
      <c r="D1061" t="s">
        <v>229</v>
      </c>
      <c r="E1061">
        <v>7</v>
      </c>
      <c r="F1061">
        <v>1521.23</v>
      </c>
      <c r="G1061" s="18">
        <v>45502</v>
      </c>
      <c r="H1061" s="18">
        <v>45502</v>
      </c>
      <c r="I1061">
        <v>7</v>
      </c>
      <c r="J1061">
        <v>10648.61</v>
      </c>
      <c r="K1061">
        <f>IF(tblPO[[#This Row],[Actual_Delivery_Date]]&lt;=tblPO[[#This Row],[Expected_Delivery_Date]],1,0)</f>
        <v>1</v>
      </c>
      <c r="L1061">
        <f>IF(tblPO[[#This Row],[Actual_Delivery_Date]]&gt;tblPO[[#This Row],[Expected_Delivery_Date]],1,0)</f>
        <v>0</v>
      </c>
      <c r="M1061">
        <f>tblPO[[#This Row],[Actual_Delivery_Date]]-tblPO[[#This Row],[PO_Date]]</f>
        <v>11</v>
      </c>
    </row>
    <row r="1062" spans="1:13" x14ac:dyDescent="0.3">
      <c r="A1062" t="s">
        <v>1196</v>
      </c>
      <c r="B1062" s="18">
        <v>45497</v>
      </c>
      <c r="C1062" t="s">
        <v>38</v>
      </c>
      <c r="D1062" t="s">
        <v>223</v>
      </c>
      <c r="E1062">
        <v>100</v>
      </c>
      <c r="F1062">
        <v>160.54</v>
      </c>
      <c r="G1062" s="18">
        <v>45513</v>
      </c>
      <c r="H1062" s="18">
        <v>45511</v>
      </c>
      <c r="I1062">
        <v>100</v>
      </c>
      <c r="J1062">
        <v>16054</v>
      </c>
      <c r="K1062">
        <f>IF(tblPO[[#This Row],[Actual_Delivery_Date]]&lt;=tblPO[[#This Row],[Expected_Delivery_Date]],1,0)</f>
        <v>1</v>
      </c>
      <c r="L1062">
        <f>IF(tblPO[[#This Row],[Actual_Delivery_Date]]&gt;tblPO[[#This Row],[Expected_Delivery_Date]],1,0)</f>
        <v>0</v>
      </c>
      <c r="M1062">
        <f>tblPO[[#This Row],[Actual_Delivery_Date]]-tblPO[[#This Row],[PO_Date]]</f>
        <v>14</v>
      </c>
    </row>
    <row r="1063" spans="1:13" x14ac:dyDescent="0.3">
      <c r="A1063" t="s">
        <v>1195</v>
      </c>
      <c r="B1063" s="18">
        <v>45487</v>
      </c>
      <c r="C1063" t="s">
        <v>43</v>
      </c>
      <c r="D1063" t="s">
        <v>168</v>
      </c>
      <c r="E1063">
        <v>454</v>
      </c>
      <c r="F1063">
        <v>56.35</v>
      </c>
      <c r="G1063" s="18">
        <v>45500</v>
      </c>
      <c r="H1063" s="18">
        <v>45502</v>
      </c>
      <c r="I1063">
        <v>454</v>
      </c>
      <c r="J1063">
        <v>25582.9</v>
      </c>
      <c r="K1063">
        <f>IF(tblPO[[#This Row],[Actual_Delivery_Date]]&lt;=tblPO[[#This Row],[Expected_Delivery_Date]],1,0)</f>
        <v>0</v>
      </c>
      <c r="L1063">
        <f>IF(tblPO[[#This Row],[Actual_Delivery_Date]]&gt;tblPO[[#This Row],[Expected_Delivery_Date]],1,0)</f>
        <v>1</v>
      </c>
      <c r="M1063">
        <f>tblPO[[#This Row],[Actual_Delivery_Date]]-tblPO[[#This Row],[PO_Date]]</f>
        <v>15</v>
      </c>
    </row>
    <row r="1064" spans="1:13" x14ac:dyDescent="0.3">
      <c r="A1064" t="s">
        <v>1194</v>
      </c>
      <c r="B1064" s="18">
        <v>45477</v>
      </c>
      <c r="C1064" t="s">
        <v>45</v>
      </c>
      <c r="D1064" t="s">
        <v>221</v>
      </c>
      <c r="E1064">
        <v>10</v>
      </c>
      <c r="F1064">
        <v>1920.63</v>
      </c>
      <c r="G1064" s="18">
        <v>45493</v>
      </c>
      <c r="H1064" s="18">
        <v>45493</v>
      </c>
      <c r="I1064">
        <v>10</v>
      </c>
      <c r="J1064">
        <v>19206.3</v>
      </c>
      <c r="K1064">
        <f>IF(tblPO[[#This Row],[Actual_Delivery_Date]]&lt;=tblPO[[#This Row],[Expected_Delivery_Date]],1,0)</f>
        <v>1</v>
      </c>
      <c r="L1064">
        <f>IF(tblPO[[#This Row],[Actual_Delivery_Date]]&gt;tblPO[[#This Row],[Expected_Delivery_Date]],1,0)</f>
        <v>0</v>
      </c>
      <c r="M1064">
        <f>tblPO[[#This Row],[Actual_Delivery_Date]]-tblPO[[#This Row],[PO_Date]]</f>
        <v>16</v>
      </c>
    </row>
    <row r="1065" spans="1:13" x14ac:dyDescent="0.3">
      <c r="A1065" t="s">
        <v>1193</v>
      </c>
      <c r="B1065" s="18">
        <v>45490</v>
      </c>
      <c r="C1065" t="s">
        <v>42</v>
      </c>
      <c r="D1065" t="s">
        <v>88</v>
      </c>
      <c r="E1065">
        <v>7</v>
      </c>
      <c r="F1065">
        <v>18346.38</v>
      </c>
      <c r="G1065" s="18">
        <v>45514</v>
      </c>
      <c r="H1065" s="18">
        <v>45511</v>
      </c>
      <c r="I1065">
        <v>7</v>
      </c>
      <c r="J1065">
        <v>128424.66</v>
      </c>
      <c r="K1065">
        <f>IF(tblPO[[#This Row],[Actual_Delivery_Date]]&lt;=tblPO[[#This Row],[Expected_Delivery_Date]],1,0)</f>
        <v>1</v>
      </c>
      <c r="L1065">
        <f>IF(tblPO[[#This Row],[Actual_Delivery_Date]]&gt;tblPO[[#This Row],[Expected_Delivery_Date]],1,0)</f>
        <v>0</v>
      </c>
      <c r="M1065">
        <f>tblPO[[#This Row],[Actual_Delivery_Date]]-tblPO[[#This Row],[PO_Date]]</f>
        <v>21</v>
      </c>
    </row>
    <row r="1066" spans="1:13" x14ac:dyDescent="0.3">
      <c r="A1066" t="s">
        <v>1192</v>
      </c>
      <c r="B1066" s="18">
        <v>45498</v>
      </c>
      <c r="C1066" t="s">
        <v>67</v>
      </c>
      <c r="D1066" t="s">
        <v>106</v>
      </c>
      <c r="E1066">
        <v>1</v>
      </c>
      <c r="F1066">
        <v>19789.22</v>
      </c>
      <c r="G1066" s="18">
        <v>45517</v>
      </c>
      <c r="H1066" s="18">
        <v>45516</v>
      </c>
      <c r="I1066">
        <v>1</v>
      </c>
      <c r="J1066">
        <v>19789.22</v>
      </c>
      <c r="K1066">
        <f>IF(tblPO[[#This Row],[Actual_Delivery_Date]]&lt;=tblPO[[#This Row],[Expected_Delivery_Date]],1,0)</f>
        <v>1</v>
      </c>
      <c r="L1066">
        <f>IF(tblPO[[#This Row],[Actual_Delivery_Date]]&gt;tblPO[[#This Row],[Expected_Delivery_Date]],1,0)</f>
        <v>0</v>
      </c>
      <c r="M1066">
        <f>tblPO[[#This Row],[Actual_Delivery_Date]]-tblPO[[#This Row],[PO_Date]]</f>
        <v>18</v>
      </c>
    </row>
    <row r="1067" spans="1:13" x14ac:dyDescent="0.3">
      <c r="A1067" t="s">
        <v>1191</v>
      </c>
      <c r="B1067" s="18">
        <v>45489</v>
      </c>
      <c r="C1067" t="s">
        <v>49</v>
      </c>
      <c r="D1067" t="s">
        <v>190</v>
      </c>
      <c r="E1067">
        <v>121</v>
      </c>
      <c r="F1067">
        <v>107.61</v>
      </c>
      <c r="G1067" s="18">
        <v>45501</v>
      </c>
      <c r="H1067" s="18">
        <v>45498</v>
      </c>
      <c r="I1067">
        <v>121</v>
      </c>
      <c r="J1067">
        <v>13020.81</v>
      </c>
      <c r="K1067">
        <f>IF(tblPO[[#This Row],[Actual_Delivery_Date]]&lt;=tblPO[[#This Row],[Expected_Delivery_Date]],1,0)</f>
        <v>1</v>
      </c>
      <c r="L1067">
        <f>IF(tblPO[[#This Row],[Actual_Delivery_Date]]&gt;tblPO[[#This Row],[Expected_Delivery_Date]],1,0)</f>
        <v>0</v>
      </c>
      <c r="M1067">
        <f>tblPO[[#This Row],[Actual_Delivery_Date]]-tblPO[[#This Row],[PO_Date]]</f>
        <v>9</v>
      </c>
    </row>
    <row r="1068" spans="1:13" x14ac:dyDescent="0.3">
      <c r="A1068" t="s">
        <v>1190</v>
      </c>
      <c r="B1068" s="18">
        <v>45490</v>
      </c>
      <c r="C1068" t="s">
        <v>42</v>
      </c>
      <c r="D1068" t="s">
        <v>104</v>
      </c>
      <c r="E1068">
        <v>196</v>
      </c>
      <c r="F1068">
        <v>467.96</v>
      </c>
      <c r="G1068" s="18">
        <v>45507</v>
      </c>
      <c r="H1068" s="18">
        <v>45504</v>
      </c>
      <c r="I1068">
        <v>196</v>
      </c>
      <c r="J1068">
        <v>91720.16</v>
      </c>
      <c r="K1068">
        <f>IF(tblPO[[#This Row],[Actual_Delivery_Date]]&lt;=tblPO[[#This Row],[Expected_Delivery_Date]],1,0)</f>
        <v>1</v>
      </c>
      <c r="L1068">
        <f>IF(tblPO[[#This Row],[Actual_Delivery_Date]]&gt;tblPO[[#This Row],[Expected_Delivery_Date]],1,0)</f>
        <v>0</v>
      </c>
      <c r="M1068">
        <f>tblPO[[#This Row],[Actual_Delivery_Date]]-tblPO[[#This Row],[PO_Date]]</f>
        <v>14</v>
      </c>
    </row>
    <row r="1069" spans="1:13" x14ac:dyDescent="0.3">
      <c r="A1069" t="s">
        <v>1189</v>
      </c>
      <c r="B1069" s="18">
        <v>45480</v>
      </c>
      <c r="C1069" t="s">
        <v>40</v>
      </c>
      <c r="D1069" t="s">
        <v>119</v>
      </c>
      <c r="E1069">
        <v>15</v>
      </c>
      <c r="F1069">
        <v>8744.61</v>
      </c>
      <c r="G1069" s="18">
        <v>45498</v>
      </c>
      <c r="H1069" s="18">
        <v>45495</v>
      </c>
      <c r="I1069">
        <v>15</v>
      </c>
      <c r="J1069">
        <v>131169.15</v>
      </c>
      <c r="K1069">
        <f>IF(tblPO[[#This Row],[Actual_Delivery_Date]]&lt;=tblPO[[#This Row],[Expected_Delivery_Date]],1,0)</f>
        <v>1</v>
      </c>
      <c r="L1069">
        <f>IF(tblPO[[#This Row],[Actual_Delivery_Date]]&gt;tblPO[[#This Row],[Expected_Delivery_Date]],1,0)</f>
        <v>0</v>
      </c>
      <c r="M1069">
        <f>tblPO[[#This Row],[Actual_Delivery_Date]]-tblPO[[#This Row],[PO_Date]]</f>
        <v>15</v>
      </c>
    </row>
    <row r="1070" spans="1:13" x14ac:dyDescent="0.3">
      <c r="A1070" t="s">
        <v>1188</v>
      </c>
      <c r="B1070" s="18">
        <v>45501</v>
      </c>
      <c r="C1070" t="s">
        <v>51</v>
      </c>
      <c r="D1070" t="s">
        <v>160</v>
      </c>
      <c r="E1070">
        <v>243</v>
      </c>
      <c r="F1070">
        <v>81.47</v>
      </c>
      <c r="G1070" s="18">
        <v>45508</v>
      </c>
      <c r="H1070" s="18">
        <v>45506</v>
      </c>
      <c r="I1070">
        <v>243</v>
      </c>
      <c r="J1070">
        <v>19797.21</v>
      </c>
      <c r="K1070">
        <f>IF(tblPO[[#This Row],[Actual_Delivery_Date]]&lt;=tblPO[[#This Row],[Expected_Delivery_Date]],1,0)</f>
        <v>1</v>
      </c>
      <c r="L1070">
        <f>IF(tblPO[[#This Row],[Actual_Delivery_Date]]&gt;tblPO[[#This Row],[Expected_Delivery_Date]],1,0)</f>
        <v>0</v>
      </c>
      <c r="M1070">
        <f>tblPO[[#This Row],[Actual_Delivery_Date]]-tblPO[[#This Row],[PO_Date]]</f>
        <v>5</v>
      </c>
    </row>
    <row r="1071" spans="1:13" x14ac:dyDescent="0.3">
      <c r="A1071" t="s">
        <v>1187</v>
      </c>
      <c r="B1071" s="18">
        <v>45487</v>
      </c>
      <c r="C1071" t="s">
        <v>40</v>
      </c>
      <c r="D1071" t="s">
        <v>134</v>
      </c>
      <c r="E1071">
        <v>6</v>
      </c>
      <c r="F1071">
        <v>4583.01</v>
      </c>
      <c r="G1071" s="18">
        <v>45490</v>
      </c>
      <c r="H1071" s="18">
        <v>45487</v>
      </c>
      <c r="I1071">
        <v>6</v>
      </c>
      <c r="J1071">
        <v>27498.06</v>
      </c>
      <c r="K1071">
        <f>IF(tblPO[[#This Row],[Actual_Delivery_Date]]&lt;=tblPO[[#This Row],[Expected_Delivery_Date]],1,0)</f>
        <v>1</v>
      </c>
      <c r="L1071">
        <f>IF(tblPO[[#This Row],[Actual_Delivery_Date]]&gt;tblPO[[#This Row],[Expected_Delivery_Date]],1,0)</f>
        <v>0</v>
      </c>
      <c r="M1071">
        <f>tblPO[[#This Row],[Actual_Delivery_Date]]-tblPO[[#This Row],[PO_Date]]</f>
        <v>0</v>
      </c>
    </row>
    <row r="1072" spans="1:13" x14ac:dyDescent="0.3">
      <c r="A1072" t="s">
        <v>1186</v>
      </c>
      <c r="B1072" s="18">
        <v>45496</v>
      </c>
      <c r="C1072" t="s">
        <v>57</v>
      </c>
      <c r="D1072" t="s">
        <v>197</v>
      </c>
      <c r="E1072">
        <v>88</v>
      </c>
      <c r="F1072">
        <v>266.81</v>
      </c>
      <c r="G1072" s="18">
        <v>45515</v>
      </c>
      <c r="H1072" s="18">
        <v>45515</v>
      </c>
      <c r="I1072">
        <v>88</v>
      </c>
      <c r="J1072">
        <v>23479.279999999999</v>
      </c>
      <c r="K1072">
        <f>IF(tblPO[[#This Row],[Actual_Delivery_Date]]&lt;=tblPO[[#This Row],[Expected_Delivery_Date]],1,0)</f>
        <v>1</v>
      </c>
      <c r="L1072">
        <f>IF(tblPO[[#This Row],[Actual_Delivery_Date]]&gt;tblPO[[#This Row],[Expected_Delivery_Date]],1,0)</f>
        <v>0</v>
      </c>
      <c r="M1072">
        <f>tblPO[[#This Row],[Actual_Delivery_Date]]-tblPO[[#This Row],[PO_Date]]</f>
        <v>19</v>
      </c>
    </row>
    <row r="1073" spans="1:13" x14ac:dyDescent="0.3">
      <c r="A1073" t="s">
        <v>1185</v>
      </c>
      <c r="B1073" s="18">
        <v>45483</v>
      </c>
      <c r="C1073" t="s">
        <v>48</v>
      </c>
      <c r="D1073" t="s">
        <v>160</v>
      </c>
      <c r="E1073">
        <v>102</v>
      </c>
      <c r="F1073">
        <v>122.78</v>
      </c>
      <c r="G1073" s="18">
        <v>45498</v>
      </c>
      <c r="H1073" s="18">
        <v>45497</v>
      </c>
      <c r="I1073">
        <v>102</v>
      </c>
      <c r="J1073">
        <v>12523.56</v>
      </c>
      <c r="K1073">
        <f>IF(tblPO[[#This Row],[Actual_Delivery_Date]]&lt;=tblPO[[#This Row],[Expected_Delivery_Date]],1,0)</f>
        <v>1</v>
      </c>
      <c r="L1073">
        <f>IF(tblPO[[#This Row],[Actual_Delivery_Date]]&gt;tblPO[[#This Row],[Expected_Delivery_Date]],1,0)</f>
        <v>0</v>
      </c>
      <c r="M1073">
        <f>tblPO[[#This Row],[Actual_Delivery_Date]]-tblPO[[#This Row],[PO_Date]]</f>
        <v>14</v>
      </c>
    </row>
    <row r="1074" spans="1:13" x14ac:dyDescent="0.3">
      <c r="A1074" t="s">
        <v>1184</v>
      </c>
      <c r="B1074" s="18">
        <v>45479</v>
      </c>
      <c r="C1074" t="s">
        <v>38</v>
      </c>
      <c r="D1074" t="s">
        <v>225</v>
      </c>
      <c r="E1074">
        <v>22</v>
      </c>
      <c r="F1074">
        <v>215.55</v>
      </c>
      <c r="G1074" s="18">
        <v>45483</v>
      </c>
      <c r="H1074" s="18">
        <v>45482</v>
      </c>
      <c r="I1074">
        <v>22</v>
      </c>
      <c r="J1074">
        <v>4742.1000000000004</v>
      </c>
      <c r="K1074">
        <f>IF(tblPO[[#This Row],[Actual_Delivery_Date]]&lt;=tblPO[[#This Row],[Expected_Delivery_Date]],1,0)</f>
        <v>1</v>
      </c>
      <c r="L1074">
        <f>IF(tblPO[[#This Row],[Actual_Delivery_Date]]&gt;tblPO[[#This Row],[Expected_Delivery_Date]],1,0)</f>
        <v>0</v>
      </c>
      <c r="M1074">
        <f>tblPO[[#This Row],[Actual_Delivery_Date]]-tblPO[[#This Row],[PO_Date]]</f>
        <v>3</v>
      </c>
    </row>
    <row r="1075" spans="1:13" x14ac:dyDescent="0.3">
      <c r="A1075" t="s">
        <v>1183</v>
      </c>
      <c r="B1075" s="18">
        <v>45477</v>
      </c>
      <c r="C1075" t="s">
        <v>40</v>
      </c>
      <c r="D1075" t="s">
        <v>127</v>
      </c>
      <c r="E1075">
        <v>21</v>
      </c>
      <c r="F1075">
        <v>5673.43</v>
      </c>
      <c r="G1075" s="18">
        <v>45493</v>
      </c>
      <c r="H1075" s="18">
        <v>45493</v>
      </c>
      <c r="I1075">
        <v>21</v>
      </c>
      <c r="J1075">
        <v>119142.03</v>
      </c>
      <c r="K1075">
        <f>IF(tblPO[[#This Row],[Actual_Delivery_Date]]&lt;=tblPO[[#This Row],[Expected_Delivery_Date]],1,0)</f>
        <v>1</v>
      </c>
      <c r="L1075">
        <f>IF(tblPO[[#This Row],[Actual_Delivery_Date]]&gt;tblPO[[#This Row],[Expected_Delivery_Date]],1,0)</f>
        <v>0</v>
      </c>
      <c r="M1075">
        <f>tblPO[[#This Row],[Actual_Delivery_Date]]-tblPO[[#This Row],[PO_Date]]</f>
        <v>16</v>
      </c>
    </row>
    <row r="1076" spans="1:13" x14ac:dyDescent="0.3">
      <c r="A1076" t="s">
        <v>1182</v>
      </c>
      <c r="B1076" s="18">
        <v>45474</v>
      </c>
      <c r="C1076" t="s">
        <v>62</v>
      </c>
      <c r="D1076" t="s">
        <v>201</v>
      </c>
      <c r="E1076">
        <v>735</v>
      </c>
      <c r="F1076">
        <v>40.549999999999997</v>
      </c>
      <c r="G1076" s="18">
        <v>45481</v>
      </c>
      <c r="H1076" s="18">
        <v>45480</v>
      </c>
      <c r="I1076">
        <v>735</v>
      </c>
      <c r="J1076">
        <v>29804.25</v>
      </c>
      <c r="K1076">
        <f>IF(tblPO[[#This Row],[Actual_Delivery_Date]]&lt;=tblPO[[#This Row],[Expected_Delivery_Date]],1,0)</f>
        <v>1</v>
      </c>
      <c r="L1076">
        <f>IF(tblPO[[#This Row],[Actual_Delivery_Date]]&gt;tblPO[[#This Row],[Expected_Delivery_Date]],1,0)</f>
        <v>0</v>
      </c>
      <c r="M1076">
        <f>tblPO[[#This Row],[Actual_Delivery_Date]]-tblPO[[#This Row],[PO_Date]]</f>
        <v>6</v>
      </c>
    </row>
    <row r="1077" spans="1:13" x14ac:dyDescent="0.3">
      <c r="A1077" t="s">
        <v>1181</v>
      </c>
      <c r="B1077" s="18">
        <v>45481</v>
      </c>
      <c r="C1077" t="s">
        <v>43</v>
      </c>
      <c r="D1077" t="s">
        <v>158</v>
      </c>
      <c r="E1077">
        <v>105</v>
      </c>
      <c r="F1077">
        <v>99.23</v>
      </c>
      <c r="G1077" s="18">
        <v>45492</v>
      </c>
      <c r="H1077" s="18">
        <v>45492</v>
      </c>
      <c r="I1077">
        <v>105</v>
      </c>
      <c r="J1077">
        <v>10419.15</v>
      </c>
      <c r="K1077">
        <f>IF(tblPO[[#This Row],[Actual_Delivery_Date]]&lt;=tblPO[[#This Row],[Expected_Delivery_Date]],1,0)</f>
        <v>1</v>
      </c>
      <c r="L1077">
        <f>IF(tblPO[[#This Row],[Actual_Delivery_Date]]&gt;tblPO[[#This Row],[Expected_Delivery_Date]],1,0)</f>
        <v>0</v>
      </c>
      <c r="M1077">
        <f>tblPO[[#This Row],[Actual_Delivery_Date]]-tblPO[[#This Row],[PO_Date]]</f>
        <v>11</v>
      </c>
    </row>
    <row r="1078" spans="1:13" x14ac:dyDescent="0.3">
      <c r="A1078" t="s">
        <v>1180</v>
      </c>
      <c r="B1078" s="18">
        <v>45493</v>
      </c>
      <c r="C1078" t="s">
        <v>40</v>
      </c>
      <c r="D1078" t="s">
        <v>140</v>
      </c>
      <c r="E1078">
        <v>200</v>
      </c>
      <c r="F1078">
        <v>427.96</v>
      </c>
      <c r="G1078" s="18">
        <v>45499</v>
      </c>
      <c r="H1078" s="18">
        <v>45497</v>
      </c>
      <c r="I1078">
        <v>200</v>
      </c>
      <c r="J1078">
        <v>85592</v>
      </c>
      <c r="K1078">
        <f>IF(tblPO[[#This Row],[Actual_Delivery_Date]]&lt;=tblPO[[#This Row],[Expected_Delivery_Date]],1,0)</f>
        <v>1</v>
      </c>
      <c r="L1078">
        <f>IF(tblPO[[#This Row],[Actual_Delivery_Date]]&gt;tblPO[[#This Row],[Expected_Delivery_Date]],1,0)</f>
        <v>0</v>
      </c>
      <c r="M1078">
        <f>tblPO[[#This Row],[Actual_Delivery_Date]]-tblPO[[#This Row],[PO_Date]]</f>
        <v>4</v>
      </c>
    </row>
    <row r="1079" spans="1:13" x14ac:dyDescent="0.3">
      <c r="A1079" t="s">
        <v>1179</v>
      </c>
      <c r="B1079" s="18">
        <v>45504</v>
      </c>
      <c r="C1079" t="s">
        <v>41</v>
      </c>
      <c r="D1079" t="s">
        <v>195</v>
      </c>
      <c r="E1079">
        <v>29</v>
      </c>
      <c r="F1079">
        <v>618.36</v>
      </c>
      <c r="G1079" s="18">
        <v>45517</v>
      </c>
      <c r="H1079" s="18">
        <v>45517</v>
      </c>
      <c r="I1079">
        <v>29</v>
      </c>
      <c r="J1079">
        <v>17932.439999999999</v>
      </c>
      <c r="K1079">
        <f>IF(tblPO[[#This Row],[Actual_Delivery_Date]]&lt;=tblPO[[#This Row],[Expected_Delivery_Date]],1,0)</f>
        <v>1</v>
      </c>
      <c r="L1079">
        <f>IF(tblPO[[#This Row],[Actual_Delivery_Date]]&gt;tblPO[[#This Row],[Expected_Delivery_Date]],1,0)</f>
        <v>0</v>
      </c>
      <c r="M1079">
        <f>tblPO[[#This Row],[Actual_Delivery_Date]]-tblPO[[#This Row],[PO_Date]]</f>
        <v>13</v>
      </c>
    </row>
    <row r="1080" spans="1:13" x14ac:dyDescent="0.3">
      <c r="A1080" t="s">
        <v>1178</v>
      </c>
      <c r="B1080" s="18">
        <v>45475</v>
      </c>
      <c r="C1080" t="s">
        <v>46</v>
      </c>
      <c r="D1080" t="s">
        <v>104</v>
      </c>
      <c r="E1080">
        <v>49</v>
      </c>
      <c r="F1080">
        <v>476.28</v>
      </c>
      <c r="G1080" s="18">
        <v>45491</v>
      </c>
      <c r="H1080" s="18">
        <v>45490</v>
      </c>
      <c r="I1080">
        <v>49</v>
      </c>
      <c r="J1080">
        <v>23337.72</v>
      </c>
      <c r="K1080">
        <f>IF(tblPO[[#This Row],[Actual_Delivery_Date]]&lt;=tblPO[[#This Row],[Expected_Delivery_Date]],1,0)</f>
        <v>1</v>
      </c>
      <c r="L1080">
        <f>IF(tblPO[[#This Row],[Actual_Delivery_Date]]&gt;tblPO[[#This Row],[Expected_Delivery_Date]],1,0)</f>
        <v>0</v>
      </c>
      <c r="M1080">
        <f>tblPO[[#This Row],[Actual_Delivery_Date]]-tblPO[[#This Row],[PO_Date]]</f>
        <v>15</v>
      </c>
    </row>
    <row r="1081" spans="1:13" x14ac:dyDescent="0.3">
      <c r="A1081" t="s">
        <v>1177</v>
      </c>
      <c r="B1081" s="18">
        <v>45488</v>
      </c>
      <c r="C1081" t="s">
        <v>45</v>
      </c>
      <c r="D1081" t="s">
        <v>217</v>
      </c>
      <c r="E1081">
        <v>424</v>
      </c>
      <c r="F1081">
        <v>27.61</v>
      </c>
      <c r="G1081" s="18">
        <v>45494</v>
      </c>
      <c r="H1081" s="18">
        <v>45495</v>
      </c>
      <c r="I1081">
        <v>424</v>
      </c>
      <c r="J1081">
        <v>11706.64</v>
      </c>
      <c r="K1081">
        <f>IF(tblPO[[#This Row],[Actual_Delivery_Date]]&lt;=tblPO[[#This Row],[Expected_Delivery_Date]],1,0)</f>
        <v>0</v>
      </c>
      <c r="L1081">
        <f>IF(tblPO[[#This Row],[Actual_Delivery_Date]]&gt;tblPO[[#This Row],[Expected_Delivery_Date]],1,0)</f>
        <v>1</v>
      </c>
      <c r="M1081">
        <f>tblPO[[#This Row],[Actual_Delivery_Date]]-tblPO[[#This Row],[PO_Date]]</f>
        <v>7</v>
      </c>
    </row>
    <row r="1082" spans="1:13" x14ac:dyDescent="0.3">
      <c r="A1082" t="s">
        <v>1176</v>
      </c>
      <c r="B1082" s="18">
        <v>45499</v>
      </c>
      <c r="C1082" t="s">
        <v>43</v>
      </c>
      <c r="D1082" t="s">
        <v>160</v>
      </c>
      <c r="E1082">
        <v>565</v>
      </c>
      <c r="F1082">
        <v>88.45</v>
      </c>
      <c r="G1082" s="18">
        <v>45502</v>
      </c>
      <c r="H1082" s="18">
        <v>45501</v>
      </c>
      <c r="I1082">
        <v>565</v>
      </c>
      <c r="J1082">
        <v>49974.25</v>
      </c>
      <c r="K1082">
        <f>IF(tblPO[[#This Row],[Actual_Delivery_Date]]&lt;=tblPO[[#This Row],[Expected_Delivery_Date]],1,0)</f>
        <v>1</v>
      </c>
      <c r="L1082">
        <f>IF(tblPO[[#This Row],[Actual_Delivery_Date]]&gt;tblPO[[#This Row],[Expected_Delivery_Date]],1,0)</f>
        <v>0</v>
      </c>
      <c r="M1082">
        <f>tblPO[[#This Row],[Actual_Delivery_Date]]-tblPO[[#This Row],[PO_Date]]</f>
        <v>2</v>
      </c>
    </row>
    <row r="1083" spans="1:13" x14ac:dyDescent="0.3">
      <c r="A1083" t="s">
        <v>1175</v>
      </c>
      <c r="B1083" s="18">
        <v>45475</v>
      </c>
      <c r="C1083" t="s">
        <v>38</v>
      </c>
      <c r="D1083" t="s">
        <v>243</v>
      </c>
      <c r="E1083">
        <v>154</v>
      </c>
      <c r="F1083">
        <v>176.97</v>
      </c>
      <c r="G1083" s="18">
        <v>45484</v>
      </c>
      <c r="H1083" s="18">
        <v>45484</v>
      </c>
      <c r="I1083">
        <v>154</v>
      </c>
      <c r="J1083">
        <v>27253.38</v>
      </c>
      <c r="K1083">
        <f>IF(tblPO[[#This Row],[Actual_Delivery_Date]]&lt;=tblPO[[#This Row],[Expected_Delivery_Date]],1,0)</f>
        <v>1</v>
      </c>
      <c r="L1083">
        <f>IF(tblPO[[#This Row],[Actual_Delivery_Date]]&gt;tblPO[[#This Row],[Expected_Delivery_Date]],1,0)</f>
        <v>0</v>
      </c>
      <c r="M1083">
        <f>tblPO[[#This Row],[Actual_Delivery_Date]]-tblPO[[#This Row],[PO_Date]]</f>
        <v>9</v>
      </c>
    </row>
    <row r="1084" spans="1:13" x14ac:dyDescent="0.3">
      <c r="A1084" t="s">
        <v>1174</v>
      </c>
      <c r="B1084" s="18">
        <v>45479</v>
      </c>
      <c r="C1084" t="s">
        <v>42</v>
      </c>
      <c r="D1084" t="s">
        <v>94</v>
      </c>
      <c r="E1084">
        <v>29</v>
      </c>
      <c r="F1084">
        <v>527.58000000000004</v>
      </c>
      <c r="G1084" s="18">
        <v>45505</v>
      </c>
      <c r="H1084" s="18">
        <v>45505</v>
      </c>
      <c r="I1084">
        <v>29</v>
      </c>
      <c r="J1084">
        <v>15299.82</v>
      </c>
      <c r="K1084">
        <f>IF(tblPO[[#This Row],[Actual_Delivery_Date]]&lt;=tblPO[[#This Row],[Expected_Delivery_Date]],1,0)</f>
        <v>1</v>
      </c>
      <c r="L1084">
        <f>IF(tblPO[[#This Row],[Actual_Delivery_Date]]&gt;tblPO[[#This Row],[Expected_Delivery_Date]],1,0)</f>
        <v>0</v>
      </c>
      <c r="M1084">
        <f>tblPO[[#This Row],[Actual_Delivery_Date]]-tblPO[[#This Row],[PO_Date]]</f>
        <v>26</v>
      </c>
    </row>
    <row r="1085" spans="1:13" x14ac:dyDescent="0.3">
      <c r="A1085" t="s">
        <v>1173</v>
      </c>
      <c r="B1085" s="18">
        <v>45480</v>
      </c>
      <c r="C1085" t="s">
        <v>62</v>
      </c>
      <c r="D1085" t="s">
        <v>197</v>
      </c>
      <c r="E1085">
        <v>79</v>
      </c>
      <c r="F1085">
        <v>258.33</v>
      </c>
      <c r="G1085" s="18">
        <v>45488</v>
      </c>
      <c r="H1085" s="18">
        <v>45486</v>
      </c>
      <c r="I1085">
        <v>79</v>
      </c>
      <c r="J1085">
        <v>20408.07</v>
      </c>
      <c r="K1085">
        <f>IF(tblPO[[#This Row],[Actual_Delivery_Date]]&lt;=tblPO[[#This Row],[Expected_Delivery_Date]],1,0)</f>
        <v>1</v>
      </c>
      <c r="L1085">
        <f>IF(tblPO[[#This Row],[Actual_Delivery_Date]]&gt;tblPO[[#This Row],[Expected_Delivery_Date]],1,0)</f>
        <v>0</v>
      </c>
      <c r="M1085">
        <f>tblPO[[#This Row],[Actual_Delivery_Date]]-tblPO[[#This Row],[PO_Date]]</f>
        <v>6</v>
      </c>
    </row>
    <row r="1086" spans="1:13" x14ac:dyDescent="0.3">
      <c r="A1086" t="s">
        <v>1172</v>
      </c>
      <c r="B1086" s="18">
        <v>45488</v>
      </c>
      <c r="C1086" t="s">
        <v>43</v>
      </c>
      <c r="D1086" t="s">
        <v>176</v>
      </c>
      <c r="E1086">
        <v>575</v>
      </c>
      <c r="F1086">
        <v>38.950000000000003</v>
      </c>
      <c r="G1086" s="18">
        <v>45499</v>
      </c>
      <c r="H1086" s="18">
        <v>45497</v>
      </c>
      <c r="I1086">
        <v>575</v>
      </c>
      <c r="J1086">
        <v>22396.25</v>
      </c>
      <c r="K1086">
        <f>IF(tblPO[[#This Row],[Actual_Delivery_Date]]&lt;=tblPO[[#This Row],[Expected_Delivery_Date]],1,0)</f>
        <v>1</v>
      </c>
      <c r="L1086">
        <f>IF(tblPO[[#This Row],[Actual_Delivery_Date]]&gt;tblPO[[#This Row],[Expected_Delivery_Date]],1,0)</f>
        <v>0</v>
      </c>
      <c r="M1086">
        <f>tblPO[[#This Row],[Actual_Delivery_Date]]-tblPO[[#This Row],[PO_Date]]</f>
        <v>9</v>
      </c>
    </row>
    <row r="1087" spans="1:13" x14ac:dyDescent="0.3">
      <c r="A1087" t="s">
        <v>1171</v>
      </c>
      <c r="B1087" s="18">
        <v>45481</v>
      </c>
      <c r="C1087" t="s">
        <v>70</v>
      </c>
      <c r="D1087" t="s">
        <v>201</v>
      </c>
      <c r="E1087">
        <v>225</v>
      </c>
      <c r="F1087">
        <v>40.22</v>
      </c>
      <c r="G1087" s="18">
        <v>45485</v>
      </c>
      <c r="H1087" s="18">
        <v>45484</v>
      </c>
      <c r="I1087">
        <v>201</v>
      </c>
      <c r="J1087">
        <v>9049.5</v>
      </c>
      <c r="K1087">
        <f>IF(tblPO[[#This Row],[Actual_Delivery_Date]]&lt;=tblPO[[#This Row],[Expected_Delivery_Date]],1,0)</f>
        <v>1</v>
      </c>
      <c r="L1087">
        <f>IF(tblPO[[#This Row],[Actual_Delivery_Date]]&gt;tblPO[[#This Row],[Expected_Delivery_Date]],1,0)</f>
        <v>0</v>
      </c>
      <c r="M1087">
        <f>tblPO[[#This Row],[Actual_Delivery_Date]]-tblPO[[#This Row],[PO_Date]]</f>
        <v>3</v>
      </c>
    </row>
    <row r="1088" spans="1:13" x14ac:dyDescent="0.3">
      <c r="A1088" t="s">
        <v>1170</v>
      </c>
      <c r="B1088" s="18">
        <v>45482</v>
      </c>
      <c r="C1088" t="s">
        <v>39</v>
      </c>
      <c r="D1088" t="s">
        <v>146</v>
      </c>
      <c r="E1088">
        <v>6</v>
      </c>
      <c r="F1088">
        <v>3245.26</v>
      </c>
      <c r="G1088" s="18">
        <v>45495</v>
      </c>
      <c r="H1088" s="18">
        <v>45493</v>
      </c>
      <c r="I1088">
        <v>6</v>
      </c>
      <c r="J1088">
        <v>19471.560000000001</v>
      </c>
      <c r="K1088">
        <f>IF(tblPO[[#This Row],[Actual_Delivery_Date]]&lt;=tblPO[[#This Row],[Expected_Delivery_Date]],1,0)</f>
        <v>1</v>
      </c>
      <c r="L1088">
        <f>IF(tblPO[[#This Row],[Actual_Delivery_Date]]&gt;tblPO[[#This Row],[Expected_Delivery_Date]],1,0)</f>
        <v>0</v>
      </c>
      <c r="M1088">
        <f>tblPO[[#This Row],[Actual_Delivery_Date]]-tblPO[[#This Row],[PO_Date]]</f>
        <v>11</v>
      </c>
    </row>
    <row r="1089" spans="1:13" x14ac:dyDescent="0.3">
      <c r="A1089" t="s">
        <v>1169</v>
      </c>
      <c r="B1089" s="18">
        <v>45494</v>
      </c>
      <c r="C1089" t="s">
        <v>44</v>
      </c>
      <c r="D1089" t="s">
        <v>203</v>
      </c>
      <c r="E1089">
        <v>10</v>
      </c>
      <c r="F1089">
        <v>312.45999999999998</v>
      </c>
      <c r="G1089" s="18">
        <v>45517</v>
      </c>
      <c r="H1089" s="18">
        <v>45516</v>
      </c>
      <c r="I1089">
        <v>10</v>
      </c>
      <c r="J1089">
        <v>3124.6</v>
      </c>
      <c r="K1089">
        <f>IF(tblPO[[#This Row],[Actual_Delivery_Date]]&lt;=tblPO[[#This Row],[Expected_Delivery_Date]],1,0)</f>
        <v>1</v>
      </c>
      <c r="L1089">
        <f>IF(tblPO[[#This Row],[Actual_Delivery_Date]]&gt;tblPO[[#This Row],[Expected_Delivery_Date]],1,0)</f>
        <v>0</v>
      </c>
      <c r="M1089">
        <f>tblPO[[#This Row],[Actual_Delivery_Date]]-tblPO[[#This Row],[PO_Date]]</f>
        <v>22</v>
      </c>
    </row>
    <row r="1090" spans="1:13" x14ac:dyDescent="0.3">
      <c r="A1090" t="s">
        <v>1168</v>
      </c>
      <c r="B1090" s="18">
        <v>45497</v>
      </c>
      <c r="C1090" t="s">
        <v>53</v>
      </c>
      <c r="D1090" t="s">
        <v>88</v>
      </c>
      <c r="E1090">
        <v>5</v>
      </c>
      <c r="F1090">
        <v>18372.560000000001</v>
      </c>
      <c r="G1090" s="18">
        <v>45513</v>
      </c>
      <c r="H1090" s="18">
        <v>45512</v>
      </c>
      <c r="I1090">
        <v>5</v>
      </c>
      <c r="J1090">
        <v>91862.8</v>
      </c>
      <c r="K1090">
        <f>IF(tblPO[[#This Row],[Actual_Delivery_Date]]&lt;=tblPO[[#This Row],[Expected_Delivery_Date]],1,0)</f>
        <v>1</v>
      </c>
      <c r="L1090">
        <f>IF(tblPO[[#This Row],[Actual_Delivery_Date]]&gt;tblPO[[#This Row],[Expected_Delivery_Date]],1,0)</f>
        <v>0</v>
      </c>
      <c r="M1090">
        <f>tblPO[[#This Row],[Actual_Delivery_Date]]-tblPO[[#This Row],[PO_Date]]</f>
        <v>15</v>
      </c>
    </row>
    <row r="1091" spans="1:13" x14ac:dyDescent="0.3">
      <c r="A1091" t="s">
        <v>1167</v>
      </c>
      <c r="B1091" s="18">
        <v>45500</v>
      </c>
      <c r="C1091" t="s">
        <v>43</v>
      </c>
      <c r="D1091" t="s">
        <v>176</v>
      </c>
      <c r="E1091">
        <v>60</v>
      </c>
      <c r="F1091">
        <v>38.18</v>
      </c>
      <c r="G1091" s="18">
        <v>45514</v>
      </c>
      <c r="H1091" s="18">
        <v>45513</v>
      </c>
      <c r="I1091">
        <v>60</v>
      </c>
      <c r="J1091">
        <v>2290.8000000000002</v>
      </c>
      <c r="K1091">
        <f>IF(tblPO[[#This Row],[Actual_Delivery_Date]]&lt;=tblPO[[#This Row],[Expected_Delivery_Date]],1,0)</f>
        <v>1</v>
      </c>
      <c r="L1091">
        <f>IF(tblPO[[#This Row],[Actual_Delivery_Date]]&gt;tblPO[[#This Row],[Expected_Delivery_Date]],1,0)</f>
        <v>0</v>
      </c>
      <c r="M1091">
        <f>tblPO[[#This Row],[Actual_Delivery_Date]]-tblPO[[#This Row],[PO_Date]]</f>
        <v>13</v>
      </c>
    </row>
    <row r="1092" spans="1:13" x14ac:dyDescent="0.3">
      <c r="A1092" t="s">
        <v>1166</v>
      </c>
      <c r="B1092" s="18">
        <v>45477</v>
      </c>
      <c r="C1092" t="s">
        <v>62</v>
      </c>
      <c r="D1092" t="s">
        <v>209</v>
      </c>
      <c r="E1092">
        <v>647</v>
      </c>
      <c r="F1092">
        <v>17.260000000000002</v>
      </c>
      <c r="G1092" s="18">
        <v>45492</v>
      </c>
      <c r="H1092" s="18">
        <v>45502</v>
      </c>
      <c r="I1092">
        <v>647</v>
      </c>
      <c r="J1092">
        <v>11167.22</v>
      </c>
      <c r="K1092">
        <f>IF(tblPO[[#This Row],[Actual_Delivery_Date]]&lt;=tblPO[[#This Row],[Expected_Delivery_Date]],1,0)</f>
        <v>0</v>
      </c>
      <c r="L1092">
        <f>IF(tblPO[[#This Row],[Actual_Delivery_Date]]&gt;tblPO[[#This Row],[Expected_Delivery_Date]],1,0)</f>
        <v>1</v>
      </c>
      <c r="M1092">
        <f>tblPO[[#This Row],[Actual_Delivery_Date]]-tblPO[[#This Row],[PO_Date]]</f>
        <v>25</v>
      </c>
    </row>
    <row r="1093" spans="1:13" x14ac:dyDescent="0.3">
      <c r="A1093" t="s">
        <v>1165</v>
      </c>
      <c r="B1093" s="18">
        <v>45500</v>
      </c>
      <c r="C1093" t="s">
        <v>40</v>
      </c>
      <c r="D1093" t="s">
        <v>121</v>
      </c>
      <c r="E1093">
        <v>62</v>
      </c>
      <c r="F1093">
        <v>719.96</v>
      </c>
      <c r="G1093" s="18">
        <v>45517</v>
      </c>
      <c r="H1093" s="18">
        <v>45516</v>
      </c>
      <c r="I1093">
        <v>62</v>
      </c>
      <c r="J1093">
        <v>44637.52</v>
      </c>
      <c r="K1093">
        <f>IF(tblPO[[#This Row],[Actual_Delivery_Date]]&lt;=tblPO[[#This Row],[Expected_Delivery_Date]],1,0)</f>
        <v>1</v>
      </c>
      <c r="L1093">
        <f>IF(tblPO[[#This Row],[Actual_Delivery_Date]]&gt;tblPO[[#This Row],[Expected_Delivery_Date]],1,0)</f>
        <v>0</v>
      </c>
      <c r="M1093">
        <f>tblPO[[#This Row],[Actual_Delivery_Date]]-tblPO[[#This Row],[PO_Date]]</f>
        <v>16</v>
      </c>
    </row>
    <row r="1094" spans="1:13" x14ac:dyDescent="0.3">
      <c r="A1094" t="s">
        <v>1164</v>
      </c>
      <c r="B1094" s="18">
        <v>45478</v>
      </c>
      <c r="C1094" t="s">
        <v>60</v>
      </c>
      <c r="D1094" t="s">
        <v>121</v>
      </c>
      <c r="E1094">
        <v>111</v>
      </c>
      <c r="F1094">
        <v>501.65</v>
      </c>
      <c r="G1094" s="18">
        <v>45495</v>
      </c>
      <c r="H1094" s="18">
        <v>45495</v>
      </c>
      <c r="I1094">
        <v>111</v>
      </c>
      <c r="J1094">
        <v>55683.15</v>
      </c>
      <c r="K1094">
        <f>IF(tblPO[[#This Row],[Actual_Delivery_Date]]&lt;=tblPO[[#This Row],[Expected_Delivery_Date]],1,0)</f>
        <v>1</v>
      </c>
      <c r="L1094">
        <f>IF(tblPO[[#This Row],[Actual_Delivery_Date]]&gt;tblPO[[#This Row],[Expected_Delivery_Date]],1,0)</f>
        <v>0</v>
      </c>
      <c r="M1094">
        <f>tblPO[[#This Row],[Actual_Delivery_Date]]-tblPO[[#This Row],[PO_Date]]</f>
        <v>17</v>
      </c>
    </row>
    <row r="1095" spans="1:13" x14ac:dyDescent="0.3">
      <c r="A1095" t="s">
        <v>1163</v>
      </c>
      <c r="B1095" s="18">
        <v>45479</v>
      </c>
      <c r="C1095" t="s">
        <v>42</v>
      </c>
      <c r="D1095" t="s">
        <v>81</v>
      </c>
      <c r="E1095">
        <v>8</v>
      </c>
      <c r="F1095">
        <v>26794.92</v>
      </c>
      <c r="G1095" s="18">
        <v>45505</v>
      </c>
      <c r="H1095" s="18">
        <v>45503</v>
      </c>
      <c r="I1095">
        <v>8</v>
      </c>
      <c r="J1095">
        <v>214359.36</v>
      </c>
      <c r="K1095">
        <f>IF(tblPO[[#This Row],[Actual_Delivery_Date]]&lt;=tblPO[[#This Row],[Expected_Delivery_Date]],1,0)</f>
        <v>1</v>
      </c>
      <c r="L1095">
        <f>IF(tblPO[[#This Row],[Actual_Delivery_Date]]&gt;tblPO[[#This Row],[Expected_Delivery_Date]],1,0)</f>
        <v>0</v>
      </c>
      <c r="M1095">
        <f>tblPO[[#This Row],[Actual_Delivery_Date]]-tblPO[[#This Row],[PO_Date]]</f>
        <v>24</v>
      </c>
    </row>
    <row r="1096" spans="1:13" x14ac:dyDescent="0.3">
      <c r="A1096" t="s">
        <v>1162</v>
      </c>
      <c r="B1096" s="18">
        <v>45494</v>
      </c>
      <c r="C1096" t="s">
        <v>57</v>
      </c>
      <c r="D1096" t="s">
        <v>195</v>
      </c>
      <c r="E1096">
        <v>56</v>
      </c>
      <c r="F1096">
        <v>646.13</v>
      </c>
      <c r="G1096" s="18">
        <v>45515</v>
      </c>
      <c r="H1096" s="18">
        <v>45513</v>
      </c>
      <c r="I1096">
        <v>56</v>
      </c>
      <c r="J1096">
        <v>36183.279999999999</v>
      </c>
      <c r="K1096">
        <f>IF(tblPO[[#This Row],[Actual_Delivery_Date]]&lt;=tblPO[[#This Row],[Expected_Delivery_Date]],1,0)</f>
        <v>1</v>
      </c>
      <c r="L1096">
        <f>IF(tblPO[[#This Row],[Actual_Delivery_Date]]&gt;tblPO[[#This Row],[Expected_Delivery_Date]],1,0)</f>
        <v>0</v>
      </c>
      <c r="M1096">
        <f>tblPO[[#This Row],[Actual_Delivery_Date]]-tblPO[[#This Row],[PO_Date]]</f>
        <v>19</v>
      </c>
    </row>
    <row r="1097" spans="1:13" x14ac:dyDescent="0.3">
      <c r="A1097" t="s">
        <v>1161</v>
      </c>
      <c r="B1097" s="18">
        <v>45480</v>
      </c>
      <c r="C1097" t="s">
        <v>50</v>
      </c>
      <c r="D1097" t="s">
        <v>115</v>
      </c>
      <c r="E1097">
        <v>21</v>
      </c>
      <c r="F1097">
        <v>3236.37</v>
      </c>
      <c r="G1097" s="18">
        <v>45485</v>
      </c>
      <c r="H1097" s="18">
        <v>45485</v>
      </c>
      <c r="I1097">
        <v>21</v>
      </c>
      <c r="J1097">
        <v>67963.77</v>
      </c>
      <c r="K1097">
        <f>IF(tblPO[[#This Row],[Actual_Delivery_Date]]&lt;=tblPO[[#This Row],[Expected_Delivery_Date]],1,0)</f>
        <v>1</v>
      </c>
      <c r="L1097">
        <f>IF(tblPO[[#This Row],[Actual_Delivery_Date]]&gt;tblPO[[#This Row],[Expected_Delivery_Date]],1,0)</f>
        <v>0</v>
      </c>
      <c r="M1097">
        <f>tblPO[[#This Row],[Actual_Delivery_Date]]-tblPO[[#This Row],[PO_Date]]</f>
        <v>5</v>
      </c>
    </row>
    <row r="1098" spans="1:13" x14ac:dyDescent="0.3">
      <c r="A1098" t="s">
        <v>1160</v>
      </c>
      <c r="B1098" s="18">
        <v>45477</v>
      </c>
      <c r="C1098" t="s">
        <v>39</v>
      </c>
      <c r="D1098" t="s">
        <v>146</v>
      </c>
      <c r="E1098">
        <v>14</v>
      </c>
      <c r="F1098">
        <v>3342.36</v>
      </c>
      <c r="G1098" s="18">
        <v>45505</v>
      </c>
      <c r="H1098" s="18">
        <v>45502</v>
      </c>
      <c r="I1098">
        <v>14</v>
      </c>
      <c r="J1098">
        <v>46793.04</v>
      </c>
      <c r="K1098">
        <f>IF(tblPO[[#This Row],[Actual_Delivery_Date]]&lt;=tblPO[[#This Row],[Expected_Delivery_Date]],1,0)</f>
        <v>1</v>
      </c>
      <c r="L1098">
        <f>IF(tblPO[[#This Row],[Actual_Delivery_Date]]&gt;tblPO[[#This Row],[Expected_Delivery_Date]],1,0)</f>
        <v>0</v>
      </c>
      <c r="M1098">
        <f>tblPO[[#This Row],[Actual_Delivery_Date]]-tblPO[[#This Row],[PO_Date]]</f>
        <v>25</v>
      </c>
    </row>
    <row r="1099" spans="1:13" x14ac:dyDescent="0.3">
      <c r="A1099" t="s">
        <v>1159</v>
      </c>
      <c r="B1099" s="18">
        <v>45500</v>
      </c>
      <c r="C1099" t="s">
        <v>47</v>
      </c>
      <c r="D1099" t="s">
        <v>227</v>
      </c>
      <c r="E1099">
        <v>5</v>
      </c>
      <c r="F1099">
        <v>990.72</v>
      </c>
      <c r="G1099" s="18">
        <v>45503</v>
      </c>
      <c r="H1099" s="18">
        <v>45504</v>
      </c>
      <c r="I1099">
        <v>5</v>
      </c>
      <c r="J1099">
        <v>4953.6000000000004</v>
      </c>
      <c r="K1099">
        <f>IF(tblPO[[#This Row],[Actual_Delivery_Date]]&lt;=tblPO[[#This Row],[Expected_Delivery_Date]],1,0)</f>
        <v>0</v>
      </c>
      <c r="L1099">
        <f>IF(tblPO[[#This Row],[Actual_Delivery_Date]]&gt;tblPO[[#This Row],[Expected_Delivery_Date]],1,0)</f>
        <v>1</v>
      </c>
      <c r="M1099">
        <f>tblPO[[#This Row],[Actual_Delivery_Date]]-tblPO[[#This Row],[PO_Date]]</f>
        <v>4</v>
      </c>
    </row>
    <row r="1100" spans="1:13" x14ac:dyDescent="0.3">
      <c r="A1100" t="s">
        <v>1158</v>
      </c>
      <c r="B1100" s="18">
        <v>45504</v>
      </c>
      <c r="C1100" t="s">
        <v>42</v>
      </c>
      <c r="D1100" t="s">
        <v>86</v>
      </c>
      <c r="E1100">
        <v>46</v>
      </c>
      <c r="F1100">
        <v>330.22</v>
      </c>
      <c r="G1100" s="18">
        <v>45516</v>
      </c>
      <c r="H1100" s="18">
        <v>45513</v>
      </c>
      <c r="I1100">
        <v>46</v>
      </c>
      <c r="J1100">
        <v>15190.12</v>
      </c>
      <c r="K1100">
        <f>IF(tblPO[[#This Row],[Actual_Delivery_Date]]&lt;=tblPO[[#This Row],[Expected_Delivery_Date]],1,0)</f>
        <v>1</v>
      </c>
      <c r="L1100">
        <f>IF(tblPO[[#This Row],[Actual_Delivery_Date]]&gt;tblPO[[#This Row],[Expected_Delivery_Date]],1,0)</f>
        <v>0</v>
      </c>
      <c r="M1100">
        <f>tblPO[[#This Row],[Actual_Delivery_Date]]-tblPO[[#This Row],[PO_Date]]</f>
        <v>9</v>
      </c>
    </row>
    <row r="1101" spans="1:13" x14ac:dyDescent="0.3">
      <c r="A1101" t="s">
        <v>1157</v>
      </c>
      <c r="B1101" s="18">
        <v>45501</v>
      </c>
      <c r="C1101" t="s">
        <v>40</v>
      </c>
      <c r="D1101" t="s">
        <v>140</v>
      </c>
      <c r="E1101">
        <v>96</v>
      </c>
      <c r="F1101">
        <v>442.49</v>
      </c>
      <c r="G1101" s="18">
        <v>45506</v>
      </c>
      <c r="H1101" s="18">
        <v>45506</v>
      </c>
      <c r="I1101">
        <v>96</v>
      </c>
      <c r="J1101">
        <v>42479.040000000001</v>
      </c>
      <c r="K1101">
        <f>IF(tblPO[[#This Row],[Actual_Delivery_Date]]&lt;=tblPO[[#This Row],[Expected_Delivery_Date]],1,0)</f>
        <v>1</v>
      </c>
      <c r="L1101">
        <f>IF(tblPO[[#This Row],[Actual_Delivery_Date]]&gt;tblPO[[#This Row],[Expected_Delivery_Date]],1,0)</f>
        <v>0</v>
      </c>
      <c r="M1101">
        <f>tblPO[[#This Row],[Actual_Delivery_Date]]-tblPO[[#This Row],[PO_Date]]</f>
        <v>5</v>
      </c>
    </row>
    <row r="1102" spans="1:13" x14ac:dyDescent="0.3">
      <c r="A1102" t="s">
        <v>1156</v>
      </c>
      <c r="B1102" s="18">
        <v>45484</v>
      </c>
      <c r="C1102" t="s">
        <v>52</v>
      </c>
      <c r="D1102" t="s">
        <v>223</v>
      </c>
      <c r="E1102">
        <v>88</v>
      </c>
      <c r="F1102">
        <v>164.09</v>
      </c>
      <c r="G1102" s="18">
        <v>45502</v>
      </c>
      <c r="H1102" s="18">
        <v>45499</v>
      </c>
      <c r="I1102">
        <v>88</v>
      </c>
      <c r="J1102">
        <v>14439.92</v>
      </c>
      <c r="K1102">
        <f>IF(tblPO[[#This Row],[Actual_Delivery_Date]]&lt;=tblPO[[#This Row],[Expected_Delivery_Date]],1,0)</f>
        <v>1</v>
      </c>
      <c r="L1102">
        <f>IF(tblPO[[#This Row],[Actual_Delivery_Date]]&gt;tblPO[[#This Row],[Expected_Delivery_Date]],1,0)</f>
        <v>0</v>
      </c>
      <c r="M1102">
        <f>tblPO[[#This Row],[Actual_Delivery_Date]]-tblPO[[#This Row],[PO_Date]]</f>
        <v>15</v>
      </c>
    </row>
    <row r="1103" spans="1:13" x14ac:dyDescent="0.3">
      <c r="A1103" t="s">
        <v>1155</v>
      </c>
      <c r="B1103" s="18">
        <v>45474</v>
      </c>
      <c r="C1103" t="s">
        <v>45</v>
      </c>
      <c r="D1103" t="s">
        <v>235</v>
      </c>
      <c r="E1103">
        <v>176</v>
      </c>
      <c r="F1103">
        <v>72.94</v>
      </c>
      <c r="G1103" s="18">
        <v>45478</v>
      </c>
      <c r="H1103" s="18">
        <v>45477</v>
      </c>
      <c r="I1103">
        <v>176</v>
      </c>
      <c r="J1103">
        <v>12837.44</v>
      </c>
      <c r="K1103">
        <f>IF(tblPO[[#This Row],[Actual_Delivery_Date]]&lt;=tblPO[[#This Row],[Expected_Delivery_Date]],1,0)</f>
        <v>1</v>
      </c>
      <c r="L1103">
        <f>IF(tblPO[[#This Row],[Actual_Delivery_Date]]&gt;tblPO[[#This Row],[Expected_Delivery_Date]],1,0)</f>
        <v>0</v>
      </c>
      <c r="M1103">
        <f>tblPO[[#This Row],[Actual_Delivery_Date]]-tblPO[[#This Row],[PO_Date]]</f>
        <v>3</v>
      </c>
    </row>
    <row r="1104" spans="1:13" x14ac:dyDescent="0.3">
      <c r="A1104" t="s">
        <v>1154</v>
      </c>
      <c r="B1104" s="18">
        <v>45474</v>
      </c>
      <c r="C1104" t="s">
        <v>40</v>
      </c>
      <c r="D1104" t="s">
        <v>113</v>
      </c>
      <c r="E1104">
        <v>46</v>
      </c>
      <c r="F1104">
        <v>517.57000000000005</v>
      </c>
      <c r="G1104" s="18">
        <v>45484</v>
      </c>
      <c r="H1104" s="18">
        <v>45484</v>
      </c>
      <c r="I1104">
        <v>46</v>
      </c>
      <c r="J1104">
        <v>23808.22</v>
      </c>
      <c r="K1104">
        <f>IF(tblPO[[#This Row],[Actual_Delivery_Date]]&lt;=tblPO[[#This Row],[Expected_Delivery_Date]],1,0)</f>
        <v>1</v>
      </c>
      <c r="L1104">
        <f>IF(tblPO[[#This Row],[Actual_Delivery_Date]]&gt;tblPO[[#This Row],[Expected_Delivery_Date]],1,0)</f>
        <v>0</v>
      </c>
      <c r="M1104">
        <f>tblPO[[#This Row],[Actual_Delivery_Date]]-tblPO[[#This Row],[PO_Date]]</f>
        <v>10</v>
      </c>
    </row>
    <row r="1105" spans="1:13" x14ac:dyDescent="0.3">
      <c r="A1105" t="s">
        <v>1153</v>
      </c>
      <c r="B1105" s="18">
        <v>45503</v>
      </c>
      <c r="C1105" t="s">
        <v>71</v>
      </c>
      <c r="D1105" t="s">
        <v>166</v>
      </c>
      <c r="E1105">
        <v>281</v>
      </c>
      <c r="F1105">
        <v>76.38</v>
      </c>
      <c r="G1105" s="18">
        <v>45518</v>
      </c>
      <c r="H1105" s="18">
        <v>45515</v>
      </c>
      <c r="I1105">
        <v>281</v>
      </c>
      <c r="J1105">
        <v>21462.78</v>
      </c>
      <c r="K1105">
        <f>IF(tblPO[[#This Row],[Actual_Delivery_Date]]&lt;=tblPO[[#This Row],[Expected_Delivery_Date]],1,0)</f>
        <v>1</v>
      </c>
      <c r="L1105">
        <f>IF(tblPO[[#This Row],[Actual_Delivery_Date]]&gt;tblPO[[#This Row],[Expected_Delivery_Date]],1,0)</f>
        <v>0</v>
      </c>
      <c r="M1105">
        <f>tblPO[[#This Row],[Actual_Delivery_Date]]-tblPO[[#This Row],[PO_Date]]</f>
        <v>12</v>
      </c>
    </row>
    <row r="1106" spans="1:13" x14ac:dyDescent="0.3">
      <c r="A1106" t="s">
        <v>1152</v>
      </c>
      <c r="B1106" s="18">
        <v>45485</v>
      </c>
      <c r="C1106" t="s">
        <v>44</v>
      </c>
      <c r="D1106" t="s">
        <v>207</v>
      </c>
      <c r="E1106">
        <v>338</v>
      </c>
      <c r="F1106">
        <v>9.6199999999999992</v>
      </c>
      <c r="G1106" s="18">
        <v>45499</v>
      </c>
      <c r="H1106" s="18">
        <v>45496</v>
      </c>
      <c r="I1106">
        <v>338</v>
      </c>
      <c r="J1106">
        <v>3251.56</v>
      </c>
      <c r="K1106">
        <f>IF(tblPO[[#This Row],[Actual_Delivery_Date]]&lt;=tblPO[[#This Row],[Expected_Delivery_Date]],1,0)</f>
        <v>1</v>
      </c>
      <c r="L1106">
        <f>IF(tblPO[[#This Row],[Actual_Delivery_Date]]&gt;tblPO[[#This Row],[Expected_Delivery_Date]],1,0)</f>
        <v>0</v>
      </c>
      <c r="M1106">
        <f>tblPO[[#This Row],[Actual_Delivery_Date]]-tblPO[[#This Row],[PO_Date]]</f>
        <v>11</v>
      </c>
    </row>
    <row r="1107" spans="1:13" x14ac:dyDescent="0.3">
      <c r="A1107" t="s">
        <v>1151</v>
      </c>
      <c r="B1107" s="18">
        <v>45493</v>
      </c>
      <c r="C1107" t="s">
        <v>57</v>
      </c>
      <c r="D1107" t="s">
        <v>179</v>
      </c>
      <c r="E1107">
        <v>94</v>
      </c>
      <c r="F1107">
        <v>21.83</v>
      </c>
      <c r="G1107" s="18">
        <v>45509</v>
      </c>
      <c r="H1107" s="18">
        <v>45508</v>
      </c>
      <c r="I1107">
        <v>94</v>
      </c>
      <c r="J1107">
        <v>2052.02</v>
      </c>
      <c r="K1107">
        <f>IF(tblPO[[#This Row],[Actual_Delivery_Date]]&lt;=tblPO[[#This Row],[Expected_Delivery_Date]],1,0)</f>
        <v>1</v>
      </c>
      <c r="L1107">
        <f>IF(tblPO[[#This Row],[Actual_Delivery_Date]]&gt;tblPO[[#This Row],[Expected_Delivery_Date]],1,0)</f>
        <v>0</v>
      </c>
      <c r="M1107">
        <f>tblPO[[#This Row],[Actual_Delivery_Date]]-tblPO[[#This Row],[PO_Date]]</f>
        <v>15</v>
      </c>
    </row>
    <row r="1108" spans="1:13" x14ac:dyDescent="0.3">
      <c r="A1108" t="s">
        <v>1150</v>
      </c>
      <c r="B1108" s="18">
        <v>45495</v>
      </c>
      <c r="C1108" t="s">
        <v>48</v>
      </c>
      <c r="D1108" t="s">
        <v>156</v>
      </c>
      <c r="E1108">
        <v>733</v>
      </c>
      <c r="F1108">
        <v>71.069999999999993</v>
      </c>
      <c r="G1108" s="18">
        <v>45516</v>
      </c>
      <c r="H1108" s="18">
        <v>45515</v>
      </c>
      <c r="I1108">
        <v>733</v>
      </c>
      <c r="J1108">
        <v>52094.31</v>
      </c>
      <c r="K1108">
        <f>IF(tblPO[[#This Row],[Actual_Delivery_Date]]&lt;=tblPO[[#This Row],[Expected_Delivery_Date]],1,0)</f>
        <v>1</v>
      </c>
      <c r="L1108">
        <f>IF(tblPO[[#This Row],[Actual_Delivery_Date]]&gt;tblPO[[#This Row],[Expected_Delivery_Date]],1,0)</f>
        <v>0</v>
      </c>
      <c r="M1108">
        <f>tblPO[[#This Row],[Actual_Delivery_Date]]-tblPO[[#This Row],[PO_Date]]</f>
        <v>20</v>
      </c>
    </row>
    <row r="1109" spans="1:13" x14ac:dyDescent="0.3">
      <c r="A1109" t="s">
        <v>1149</v>
      </c>
      <c r="B1109" s="18">
        <v>45495</v>
      </c>
      <c r="C1109" t="s">
        <v>41</v>
      </c>
      <c r="D1109" t="s">
        <v>207</v>
      </c>
      <c r="E1109">
        <v>561</v>
      </c>
      <c r="F1109">
        <v>10.84</v>
      </c>
      <c r="G1109" s="18">
        <v>45509</v>
      </c>
      <c r="H1109" s="18">
        <v>45510</v>
      </c>
      <c r="I1109">
        <v>561</v>
      </c>
      <c r="J1109">
        <v>6081.24</v>
      </c>
      <c r="K1109">
        <f>IF(tblPO[[#This Row],[Actual_Delivery_Date]]&lt;=tblPO[[#This Row],[Expected_Delivery_Date]],1,0)</f>
        <v>0</v>
      </c>
      <c r="L1109">
        <f>IF(tblPO[[#This Row],[Actual_Delivery_Date]]&gt;tblPO[[#This Row],[Expected_Delivery_Date]],1,0)</f>
        <v>1</v>
      </c>
      <c r="M1109">
        <f>tblPO[[#This Row],[Actual_Delivery_Date]]-tblPO[[#This Row],[PO_Date]]</f>
        <v>15</v>
      </c>
    </row>
    <row r="1110" spans="1:13" x14ac:dyDescent="0.3">
      <c r="A1110" t="s">
        <v>1148</v>
      </c>
      <c r="B1110" s="18">
        <v>45498</v>
      </c>
      <c r="C1110" t="s">
        <v>42</v>
      </c>
      <c r="D1110" t="s">
        <v>84</v>
      </c>
      <c r="E1110">
        <v>48</v>
      </c>
      <c r="F1110">
        <v>233.52</v>
      </c>
      <c r="G1110" s="18">
        <v>45514</v>
      </c>
      <c r="H1110" s="18">
        <v>45514</v>
      </c>
      <c r="I1110">
        <v>48</v>
      </c>
      <c r="J1110">
        <v>11208.96</v>
      </c>
      <c r="K1110">
        <f>IF(tblPO[[#This Row],[Actual_Delivery_Date]]&lt;=tblPO[[#This Row],[Expected_Delivery_Date]],1,0)</f>
        <v>1</v>
      </c>
      <c r="L1110">
        <f>IF(tblPO[[#This Row],[Actual_Delivery_Date]]&gt;tblPO[[#This Row],[Expected_Delivery_Date]],1,0)</f>
        <v>0</v>
      </c>
      <c r="M1110">
        <f>tblPO[[#This Row],[Actual_Delivery_Date]]-tblPO[[#This Row],[PO_Date]]</f>
        <v>16</v>
      </c>
    </row>
    <row r="1111" spans="1:13" x14ac:dyDescent="0.3">
      <c r="A1111" t="s">
        <v>1147</v>
      </c>
      <c r="B1111" s="18">
        <v>45492</v>
      </c>
      <c r="C1111" t="s">
        <v>47</v>
      </c>
      <c r="D1111" t="s">
        <v>221</v>
      </c>
      <c r="E1111">
        <v>5</v>
      </c>
      <c r="F1111">
        <v>1599.27</v>
      </c>
      <c r="G1111" s="18">
        <v>45508</v>
      </c>
      <c r="H1111" s="18">
        <v>45518</v>
      </c>
      <c r="I1111">
        <v>5</v>
      </c>
      <c r="J1111">
        <v>7996.35</v>
      </c>
      <c r="K1111">
        <f>IF(tblPO[[#This Row],[Actual_Delivery_Date]]&lt;=tblPO[[#This Row],[Expected_Delivery_Date]],1,0)</f>
        <v>0</v>
      </c>
      <c r="L1111">
        <f>IF(tblPO[[#This Row],[Actual_Delivery_Date]]&gt;tblPO[[#This Row],[Expected_Delivery_Date]],1,0)</f>
        <v>1</v>
      </c>
      <c r="M1111">
        <f>tblPO[[#This Row],[Actual_Delivery_Date]]-tblPO[[#This Row],[PO_Date]]</f>
        <v>26</v>
      </c>
    </row>
    <row r="1112" spans="1:13" x14ac:dyDescent="0.3">
      <c r="A1112" t="s">
        <v>1146</v>
      </c>
      <c r="B1112" s="18">
        <v>45498</v>
      </c>
      <c r="C1112" t="s">
        <v>45</v>
      </c>
      <c r="D1112" t="s">
        <v>231</v>
      </c>
      <c r="E1112">
        <v>56</v>
      </c>
      <c r="F1112">
        <v>143.19999999999999</v>
      </c>
      <c r="G1112" s="18">
        <v>45513</v>
      </c>
      <c r="H1112" s="18">
        <v>45513</v>
      </c>
      <c r="I1112">
        <v>56</v>
      </c>
      <c r="J1112">
        <v>8019.2</v>
      </c>
      <c r="K1112">
        <f>IF(tblPO[[#This Row],[Actual_Delivery_Date]]&lt;=tblPO[[#This Row],[Expected_Delivery_Date]],1,0)</f>
        <v>1</v>
      </c>
      <c r="L1112">
        <f>IF(tblPO[[#This Row],[Actual_Delivery_Date]]&gt;tblPO[[#This Row],[Expected_Delivery_Date]],1,0)</f>
        <v>0</v>
      </c>
      <c r="M1112">
        <f>tblPO[[#This Row],[Actual_Delivery_Date]]-tblPO[[#This Row],[PO_Date]]</f>
        <v>15</v>
      </c>
    </row>
    <row r="1113" spans="1:13" x14ac:dyDescent="0.3">
      <c r="A1113" t="s">
        <v>1145</v>
      </c>
      <c r="B1113" s="18">
        <v>45484</v>
      </c>
      <c r="C1113" t="s">
        <v>45</v>
      </c>
      <c r="D1113" t="s">
        <v>225</v>
      </c>
      <c r="E1113">
        <v>172</v>
      </c>
      <c r="F1113">
        <v>210.7</v>
      </c>
      <c r="G1113" s="18">
        <v>45491</v>
      </c>
      <c r="H1113" s="18">
        <v>45489</v>
      </c>
      <c r="I1113">
        <v>172</v>
      </c>
      <c r="J1113">
        <v>36240.400000000001</v>
      </c>
      <c r="K1113">
        <f>IF(tblPO[[#This Row],[Actual_Delivery_Date]]&lt;=tblPO[[#This Row],[Expected_Delivery_Date]],1,0)</f>
        <v>1</v>
      </c>
      <c r="L1113">
        <f>IF(tblPO[[#This Row],[Actual_Delivery_Date]]&gt;tblPO[[#This Row],[Expected_Delivery_Date]],1,0)</f>
        <v>0</v>
      </c>
      <c r="M1113">
        <f>tblPO[[#This Row],[Actual_Delivery_Date]]-tblPO[[#This Row],[PO_Date]]</f>
        <v>5</v>
      </c>
    </row>
    <row r="1114" spans="1:13" x14ac:dyDescent="0.3">
      <c r="A1114" t="s">
        <v>1144</v>
      </c>
      <c r="B1114" s="18">
        <v>45489</v>
      </c>
      <c r="C1114" t="s">
        <v>38</v>
      </c>
      <c r="D1114" t="s">
        <v>217</v>
      </c>
      <c r="E1114">
        <v>596</v>
      </c>
      <c r="F1114">
        <v>27.99</v>
      </c>
      <c r="G1114" s="18">
        <v>45499</v>
      </c>
      <c r="H1114" s="18">
        <v>45499</v>
      </c>
      <c r="I1114">
        <v>596</v>
      </c>
      <c r="J1114">
        <v>16682.04</v>
      </c>
      <c r="K1114">
        <f>IF(tblPO[[#This Row],[Actual_Delivery_Date]]&lt;=tblPO[[#This Row],[Expected_Delivery_Date]],1,0)</f>
        <v>1</v>
      </c>
      <c r="L1114">
        <f>IF(tblPO[[#This Row],[Actual_Delivery_Date]]&gt;tblPO[[#This Row],[Expected_Delivery_Date]],1,0)</f>
        <v>0</v>
      </c>
      <c r="M1114">
        <f>tblPO[[#This Row],[Actual_Delivery_Date]]-tblPO[[#This Row],[PO_Date]]</f>
        <v>10</v>
      </c>
    </row>
    <row r="1115" spans="1:13" x14ac:dyDescent="0.3">
      <c r="A1115" t="s">
        <v>1143</v>
      </c>
      <c r="B1115" s="18">
        <v>45496</v>
      </c>
      <c r="C1115" t="s">
        <v>39</v>
      </c>
      <c r="D1115" t="s">
        <v>152</v>
      </c>
      <c r="E1115">
        <v>274</v>
      </c>
      <c r="F1115">
        <v>105.45</v>
      </c>
      <c r="G1115" s="18">
        <v>45510</v>
      </c>
      <c r="H1115" s="18">
        <v>45507</v>
      </c>
      <c r="I1115">
        <v>274</v>
      </c>
      <c r="J1115">
        <v>28893.3</v>
      </c>
      <c r="K1115">
        <f>IF(tblPO[[#This Row],[Actual_Delivery_Date]]&lt;=tblPO[[#This Row],[Expected_Delivery_Date]],1,0)</f>
        <v>1</v>
      </c>
      <c r="L1115">
        <f>IF(tblPO[[#This Row],[Actual_Delivery_Date]]&gt;tblPO[[#This Row],[Expected_Delivery_Date]],1,0)</f>
        <v>0</v>
      </c>
      <c r="M1115">
        <f>tblPO[[#This Row],[Actual_Delivery_Date]]-tblPO[[#This Row],[PO_Date]]</f>
        <v>11</v>
      </c>
    </row>
    <row r="1116" spans="1:13" x14ac:dyDescent="0.3">
      <c r="A1116" t="s">
        <v>1142</v>
      </c>
      <c r="B1116" s="18">
        <v>45489</v>
      </c>
      <c r="C1116" t="s">
        <v>50</v>
      </c>
      <c r="D1116" t="s">
        <v>115</v>
      </c>
      <c r="E1116">
        <v>19</v>
      </c>
      <c r="F1116">
        <v>3137.92</v>
      </c>
      <c r="G1116" s="18">
        <v>45496</v>
      </c>
      <c r="H1116" s="18">
        <v>45497</v>
      </c>
      <c r="I1116">
        <v>19</v>
      </c>
      <c r="J1116">
        <v>59620.480000000003</v>
      </c>
      <c r="K1116">
        <f>IF(tblPO[[#This Row],[Actual_Delivery_Date]]&lt;=tblPO[[#This Row],[Expected_Delivery_Date]],1,0)</f>
        <v>0</v>
      </c>
      <c r="L1116">
        <f>IF(tblPO[[#This Row],[Actual_Delivery_Date]]&gt;tblPO[[#This Row],[Expected_Delivery_Date]],1,0)</f>
        <v>1</v>
      </c>
      <c r="M1116">
        <f>tblPO[[#This Row],[Actual_Delivery_Date]]-tblPO[[#This Row],[PO_Date]]</f>
        <v>8</v>
      </c>
    </row>
    <row r="1117" spans="1:13" x14ac:dyDescent="0.3">
      <c r="A1117" t="s">
        <v>1141</v>
      </c>
      <c r="B1117" s="18">
        <v>45483</v>
      </c>
      <c r="C1117" t="s">
        <v>63</v>
      </c>
      <c r="D1117" t="s">
        <v>166</v>
      </c>
      <c r="E1117">
        <v>192</v>
      </c>
      <c r="F1117">
        <v>107.89</v>
      </c>
      <c r="G1117" s="18">
        <v>45509</v>
      </c>
      <c r="H1117" s="18">
        <v>45509</v>
      </c>
      <c r="I1117">
        <v>192</v>
      </c>
      <c r="J1117">
        <v>20714.88</v>
      </c>
      <c r="K1117">
        <f>IF(tblPO[[#This Row],[Actual_Delivery_Date]]&lt;=tblPO[[#This Row],[Expected_Delivery_Date]],1,0)</f>
        <v>1</v>
      </c>
      <c r="L1117">
        <f>IF(tblPO[[#This Row],[Actual_Delivery_Date]]&gt;tblPO[[#This Row],[Expected_Delivery_Date]],1,0)</f>
        <v>0</v>
      </c>
      <c r="M1117">
        <f>tblPO[[#This Row],[Actual_Delivery_Date]]-tblPO[[#This Row],[PO_Date]]</f>
        <v>26</v>
      </c>
    </row>
    <row r="1118" spans="1:13" x14ac:dyDescent="0.3">
      <c r="A1118" t="s">
        <v>1140</v>
      </c>
      <c r="B1118" s="18">
        <v>45477</v>
      </c>
      <c r="C1118" t="s">
        <v>42</v>
      </c>
      <c r="D1118" t="s">
        <v>84</v>
      </c>
      <c r="E1118">
        <v>45</v>
      </c>
      <c r="F1118">
        <v>220.73</v>
      </c>
      <c r="G1118" s="18">
        <v>45493</v>
      </c>
      <c r="H1118" s="18">
        <v>45490</v>
      </c>
      <c r="I1118">
        <v>45</v>
      </c>
      <c r="J1118">
        <v>9932.85</v>
      </c>
      <c r="K1118">
        <f>IF(tblPO[[#This Row],[Actual_Delivery_Date]]&lt;=tblPO[[#This Row],[Expected_Delivery_Date]],1,0)</f>
        <v>1</v>
      </c>
      <c r="L1118">
        <f>IF(tblPO[[#This Row],[Actual_Delivery_Date]]&gt;tblPO[[#This Row],[Expected_Delivery_Date]],1,0)</f>
        <v>0</v>
      </c>
      <c r="M1118">
        <f>tblPO[[#This Row],[Actual_Delivery_Date]]-tblPO[[#This Row],[PO_Date]]</f>
        <v>13</v>
      </c>
    </row>
    <row r="1119" spans="1:13" x14ac:dyDescent="0.3">
      <c r="A1119" t="s">
        <v>1139</v>
      </c>
      <c r="B1119" s="18">
        <v>45477</v>
      </c>
      <c r="C1119" t="s">
        <v>58</v>
      </c>
      <c r="D1119" t="s">
        <v>164</v>
      </c>
      <c r="E1119">
        <v>189</v>
      </c>
      <c r="F1119">
        <v>148.46</v>
      </c>
      <c r="G1119" s="18">
        <v>45507</v>
      </c>
      <c r="H1119" s="18">
        <v>45505</v>
      </c>
      <c r="I1119">
        <v>173</v>
      </c>
      <c r="J1119">
        <v>28058.94</v>
      </c>
      <c r="K1119">
        <f>IF(tblPO[[#This Row],[Actual_Delivery_Date]]&lt;=tblPO[[#This Row],[Expected_Delivery_Date]],1,0)</f>
        <v>1</v>
      </c>
      <c r="L1119">
        <f>IF(tblPO[[#This Row],[Actual_Delivery_Date]]&gt;tblPO[[#This Row],[Expected_Delivery_Date]],1,0)</f>
        <v>0</v>
      </c>
      <c r="M1119">
        <f>tblPO[[#This Row],[Actual_Delivery_Date]]-tblPO[[#This Row],[PO_Date]]</f>
        <v>28</v>
      </c>
    </row>
    <row r="1120" spans="1:13" x14ac:dyDescent="0.3">
      <c r="A1120" t="s">
        <v>1138</v>
      </c>
      <c r="B1120" s="18">
        <v>45492</v>
      </c>
      <c r="C1120" t="s">
        <v>55</v>
      </c>
      <c r="D1120" t="s">
        <v>247</v>
      </c>
      <c r="E1120">
        <v>13</v>
      </c>
      <c r="F1120">
        <v>680.24</v>
      </c>
      <c r="G1120" s="18">
        <v>45517</v>
      </c>
      <c r="H1120" s="18">
        <v>45515</v>
      </c>
      <c r="I1120">
        <v>13</v>
      </c>
      <c r="J1120">
        <v>8843.1200000000008</v>
      </c>
      <c r="K1120">
        <f>IF(tblPO[[#This Row],[Actual_Delivery_Date]]&lt;=tblPO[[#This Row],[Expected_Delivery_Date]],1,0)</f>
        <v>1</v>
      </c>
      <c r="L1120">
        <f>IF(tblPO[[#This Row],[Actual_Delivery_Date]]&gt;tblPO[[#This Row],[Expected_Delivery_Date]],1,0)</f>
        <v>0</v>
      </c>
      <c r="M1120">
        <f>tblPO[[#This Row],[Actual_Delivery_Date]]-tblPO[[#This Row],[PO_Date]]</f>
        <v>23</v>
      </c>
    </row>
    <row r="1121" spans="1:13" x14ac:dyDescent="0.3">
      <c r="A1121" t="s">
        <v>1137</v>
      </c>
      <c r="B1121" s="18">
        <v>45504</v>
      </c>
      <c r="C1121" t="s">
        <v>43</v>
      </c>
      <c r="D1121" t="s">
        <v>172</v>
      </c>
      <c r="E1121">
        <v>765</v>
      </c>
      <c r="F1121">
        <v>29.37</v>
      </c>
      <c r="G1121" s="18">
        <v>45516</v>
      </c>
      <c r="H1121" s="18">
        <v>45515</v>
      </c>
      <c r="I1121">
        <v>765</v>
      </c>
      <c r="J1121">
        <v>22468.05</v>
      </c>
      <c r="K1121">
        <f>IF(tblPO[[#This Row],[Actual_Delivery_Date]]&lt;=tblPO[[#This Row],[Expected_Delivery_Date]],1,0)</f>
        <v>1</v>
      </c>
      <c r="L1121">
        <f>IF(tblPO[[#This Row],[Actual_Delivery_Date]]&gt;tblPO[[#This Row],[Expected_Delivery_Date]],1,0)</f>
        <v>0</v>
      </c>
      <c r="M1121">
        <f>tblPO[[#This Row],[Actual_Delivery_Date]]-tblPO[[#This Row],[PO_Date]]</f>
        <v>11</v>
      </c>
    </row>
    <row r="1122" spans="1:13" x14ac:dyDescent="0.3">
      <c r="A1122" t="s">
        <v>1136</v>
      </c>
      <c r="B1122" s="18">
        <v>45477</v>
      </c>
      <c r="C1122" t="s">
        <v>57</v>
      </c>
      <c r="D1122" t="s">
        <v>188</v>
      </c>
      <c r="E1122">
        <v>343</v>
      </c>
      <c r="F1122">
        <v>37.049999999999997</v>
      </c>
      <c r="G1122" s="18">
        <v>45493</v>
      </c>
      <c r="H1122" s="18">
        <v>45490</v>
      </c>
      <c r="I1122">
        <v>343</v>
      </c>
      <c r="J1122">
        <v>12708.15</v>
      </c>
      <c r="K1122">
        <f>IF(tblPO[[#This Row],[Actual_Delivery_Date]]&lt;=tblPO[[#This Row],[Expected_Delivery_Date]],1,0)</f>
        <v>1</v>
      </c>
      <c r="L1122">
        <f>IF(tblPO[[#This Row],[Actual_Delivery_Date]]&gt;tblPO[[#This Row],[Expected_Delivery_Date]],1,0)</f>
        <v>0</v>
      </c>
      <c r="M1122">
        <f>tblPO[[#This Row],[Actual_Delivery_Date]]-tblPO[[#This Row],[PO_Date]]</f>
        <v>13</v>
      </c>
    </row>
    <row r="1123" spans="1:13" x14ac:dyDescent="0.3">
      <c r="A1123" t="s">
        <v>1135</v>
      </c>
      <c r="B1123" s="18">
        <v>45486</v>
      </c>
      <c r="C1123" t="s">
        <v>58</v>
      </c>
      <c r="D1123" t="s">
        <v>172</v>
      </c>
      <c r="E1123">
        <v>61</v>
      </c>
      <c r="F1123">
        <v>38.409999999999997</v>
      </c>
      <c r="G1123" s="18">
        <v>45511</v>
      </c>
      <c r="H1123" s="18">
        <v>45511</v>
      </c>
      <c r="I1123">
        <v>61</v>
      </c>
      <c r="J1123">
        <v>2343.0100000000002</v>
      </c>
      <c r="K1123">
        <f>IF(tblPO[[#This Row],[Actual_Delivery_Date]]&lt;=tblPO[[#This Row],[Expected_Delivery_Date]],1,0)</f>
        <v>1</v>
      </c>
      <c r="L1123">
        <f>IF(tblPO[[#This Row],[Actual_Delivery_Date]]&gt;tblPO[[#This Row],[Expected_Delivery_Date]],1,0)</f>
        <v>0</v>
      </c>
      <c r="M1123">
        <f>tblPO[[#This Row],[Actual_Delivery_Date]]-tblPO[[#This Row],[PO_Date]]</f>
        <v>25</v>
      </c>
    </row>
    <row r="1124" spans="1:13" x14ac:dyDescent="0.3">
      <c r="A1124" t="s">
        <v>1134</v>
      </c>
      <c r="B1124" s="18">
        <v>45490</v>
      </c>
      <c r="C1124" t="s">
        <v>44</v>
      </c>
      <c r="D1124" t="s">
        <v>181</v>
      </c>
      <c r="E1124">
        <v>1271</v>
      </c>
      <c r="F1124">
        <v>3.62</v>
      </c>
      <c r="G1124" s="18">
        <v>45511</v>
      </c>
      <c r="H1124" s="18">
        <v>45511</v>
      </c>
      <c r="I1124">
        <v>1271</v>
      </c>
      <c r="J1124">
        <v>4601.0200000000004</v>
      </c>
      <c r="K1124">
        <f>IF(tblPO[[#This Row],[Actual_Delivery_Date]]&lt;=tblPO[[#This Row],[Expected_Delivery_Date]],1,0)</f>
        <v>1</v>
      </c>
      <c r="L1124">
        <f>IF(tblPO[[#This Row],[Actual_Delivery_Date]]&gt;tblPO[[#This Row],[Expected_Delivery_Date]],1,0)</f>
        <v>0</v>
      </c>
      <c r="M1124">
        <f>tblPO[[#This Row],[Actual_Delivery_Date]]-tblPO[[#This Row],[PO_Date]]</f>
        <v>21</v>
      </c>
    </row>
    <row r="1125" spans="1:13" x14ac:dyDescent="0.3">
      <c r="A1125" t="s">
        <v>1133</v>
      </c>
      <c r="B1125" s="18">
        <v>45486</v>
      </c>
      <c r="C1125" t="s">
        <v>40</v>
      </c>
      <c r="D1125" t="s">
        <v>134</v>
      </c>
      <c r="E1125">
        <v>18</v>
      </c>
      <c r="F1125">
        <v>4576.92</v>
      </c>
      <c r="G1125" s="18">
        <v>45493</v>
      </c>
      <c r="H1125" s="18">
        <v>45493</v>
      </c>
      <c r="I1125">
        <v>18</v>
      </c>
      <c r="J1125">
        <v>82384.56</v>
      </c>
      <c r="K1125">
        <f>IF(tblPO[[#This Row],[Actual_Delivery_Date]]&lt;=tblPO[[#This Row],[Expected_Delivery_Date]],1,0)</f>
        <v>1</v>
      </c>
      <c r="L1125">
        <f>IF(tblPO[[#This Row],[Actual_Delivery_Date]]&gt;tblPO[[#This Row],[Expected_Delivery_Date]],1,0)</f>
        <v>0</v>
      </c>
      <c r="M1125">
        <f>tblPO[[#This Row],[Actual_Delivery_Date]]-tblPO[[#This Row],[PO_Date]]</f>
        <v>7</v>
      </c>
    </row>
    <row r="1126" spans="1:13" x14ac:dyDescent="0.3">
      <c r="A1126" t="s">
        <v>1132</v>
      </c>
      <c r="B1126" s="18">
        <v>45491</v>
      </c>
      <c r="C1126" t="s">
        <v>49</v>
      </c>
      <c r="D1126" t="s">
        <v>203</v>
      </c>
      <c r="E1126">
        <v>200</v>
      </c>
      <c r="F1126">
        <v>331.52</v>
      </c>
      <c r="G1126" s="18">
        <v>45496</v>
      </c>
      <c r="H1126" s="18">
        <v>45496</v>
      </c>
      <c r="I1126">
        <v>200</v>
      </c>
      <c r="J1126">
        <v>66304</v>
      </c>
      <c r="K1126">
        <f>IF(tblPO[[#This Row],[Actual_Delivery_Date]]&lt;=tblPO[[#This Row],[Expected_Delivery_Date]],1,0)</f>
        <v>1</v>
      </c>
      <c r="L1126">
        <f>IF(tblPO[[#This Row],[Actual_Delivery_Date]]&gt;tblPO[[#This Row],[Expected_Delivery_Date]],1,0)</f>
        <v>0</v>
      </c>
      <c r="M1126">
        <f>tblPO[[#This Row],[Actual_Delivery_Date]]-tblPO[[#This Row],[PO_Date]]</f>
        <v>5</v>
      </c>
    </row>
    <row r="1127" spans="1:13" x14ac:dyDescent="0.3">
      <c r="A1127" t="s">
        <v>1131</v>
      </c>
      <c r="B1127" s="18">
        <v>45479</v>
      </c>
      <c r="C1127" t="s">
        <v>44</v>
      </c>
      <c r="D1127" t="s">
        <v>188</v>
      </c>
      <c r="E1127">
        <v>439</v>
      </c>
      <c r="F1127">
        <v>31.51</v>
      </c>
      <c r="G1127" s="18">
        <v>45492</v>
      </c>
      <c r="H1127" s="18">
        <v>45496</v>
      </c>
      <c r="I1127">
        <v>439</v>
      </c>
      <c r="J1127">
        <v>13832.89</v>
      </c>
      <c r="K1127">
        <f>IF(tblPO[[#This Row],[Actual_Delivery_Date]]&lt;=tblPO[[#This Row],[Expected_Delivery_Date]],1,0)</f>
        <v>0</v>
      </c>
      <c r="L1127">
        <f>IF(tblPO[[#This Row],[Actual_Delivery_Date]]&gt;tblPO[[#This Row],[Expected_Delivery_Date]],1,0)</f>
        <v>1</v>
      </c>
      <c r="M1127">
        <f>tblPO[[#This Row],[Actual_Delivery_Date]]-tblPO[[#This Row],[PO_Date]]</f>
        <v>17</v>
      </c>
    </row>
    <row r="1128" spans="1:13" x14ac:dyDescent="0.3">
      <c r="A1128" t="s">
        <v>1130</v>
      </c>
      <c r="B1128" s="18">
        <v>45493</v>
      </c>
      <c r="C1128" t="s">
        <v>43</v>
      </c>
      <c r="D1128" t="s">
        <v>174</v>
      </c>
      <c r="E1128">
        <v>421</v>
      </c>
      <c r="F1128">
        <v>33.119999999999997</v>
      </c>
      <c r="G1128" s="18">
        <v>45506</v>
      </c>
      <c r="H1128" s="18">
        <v>45505</v>
      </c>
      <c r="I1128">
        <v>421</v>
      </c>
      <c r="J1128">
        <v>13943.52</v>
      </c>
      <c r="K1128">
        <f>IF(tblPO[[#This Row],[Actual_Delivery_Date]]&lt;=tblPO[[#This Row],[Expected_Delivery_Date]],1,0)</f>
        <v>1</v>
      </c>
      <c r="L1128">
        <f>IF(tblPO[[#This Row],[Actual_Delivery_Date]]&gt;tblPO[[#This Row],[Expected_Delivery_Date]],1,0)</f>
        <v>0</v>
      </c>
      <c r="M1128">
        <f>tblPO[[#This Row],[Actual_Delivery_Date]]-tblPO[[#This Row],[PO_Date]]</f>
        <v>12</v>
      </c>
    </row>
    <row r="1129" spans="1:13" x14ac:dyDescent="0.3">
      <c r="A1129" t="s">
        <v>1129</v>
      </c>
      <c r="B1129" s="18">
        <v>45474</v>
      </c>
      <c r="C1129" t="s">
        <v>50</v>
      </c>
      <c r="D1129" t="s">
        <v>140</v>
      </c>
      <c r="E1129">
        <v>162</v>
      </c>
      <c r="F1129">
        <v>413.5</v>
      </c>
      <c r="G1129" s="18">
        <v>45486</v>
      </c>
      <c r="H1129" s="18">
        <v>45484</v>
      </c>
      <c r="I1129">
        <v>162</v>
      </c>
      <c r="J1129">
        <v>66987</v>
      </c>
      <c r="K1129">
        <f>IF(tblPO[[#This Row],[Actual_Delivery_Date]]&lt;=tblPO[[#This Row],[Expected_Delivery_Date]],1,0)</f>
        <v>1</v>
      </c>
      <c r="L1129">
        <f>IF(tblPO[[#This Row],[Actual_Delivery_Date]]&gt;tblPO[[#This Row],[Expected_Delivery_Date]],1,0)</f>
        <v>0</v>
      </c>
      <c r="M1129">
        <f>tblPO[[#This Row],[Actual_Delivery_Date]]-tblPO[[#This Row],[PO_Date]]</f>
        <v>10</v>
      </c>
    </row>
    <row r="1130" spans="1:13" x14ac:dyDescent="0.3">
      <c r="A1130" t="s">
        <v>1128</v>
      </c>
      <c r="B1130" s="18">
        <v>45492</v>
      </c>
      <c r="C1130" t="s">
        <v>51</v>
      </c>
      <c r="D1130" t="s">
        <v>176</v>
      </c>
      <c r="E1130">
        <v>137</v>
      </c>
      <c r="F1130">
        <v>34.96</v>
      </c>
      <c r="G1130" s="18">
        <v>45496</v>
      </c>
      <c r="H1130" s="18">
        <v>45496</v>
      </c>
      <c r="I1130">
        <v>125</v>
      </c>
      <c r="J1130">
        <v>4789.5200000000004</v>
      </c>
      <c r="K1130">
        <f>IF(tblPO[[#This Row],[Actual_Delivery_Date]]&lt;=tblPO[[#This Row],[Expected_Delivery_Date]],1,0)</f>
        <v>1</v>
      </c>
      <c r="L1130">
        <f>IF(tblPO[[#This Row],[Actual_Delivery_Date]]&gt;tblPO[[#This Row],[Expected_Delivery_Date]],1,0)</f>
        <v>0</v>
      </c>
      <c r="M1130">
        <f>tblPO[[#This Row],[Actual_Delivery_Date]]-tblPO[[#This Row],[PO_Date]]</f>
        <v>4</v>
      </c>
    </row>
    <row r="1131" spans="1:13" x14ac:dyDescent="0.3">
      <c r="A1131" t="s">
        <v>1127</v>
      </c>
      <c r="B1131" s="18">
        <v>45498</v>
      </c>
      <c r="C1131" t="s">
        <v>39</v>
      </c>
      <c r="D1131" t="s">
        <v>168</v>
      </c>
      <c r="E1131">
        <v>415</v>
      </c>
      <c r="F1131">
        <v>73.680000000000007</v>
      </c>
      <c r="G1131" s="18">
        <v>45519</v>
      </c>
      <c r="H1131" s="18">
        <v>45524</v>
      </c>
      <c r="I1131">
        <v>415</v>
      </c>
      <c r="J1131">
        <v>30577.200000000001</v>
      </c>
      <c r="K1131">
        <f>IF(tblPO[[#This Row],[Actual_Delivery_Date]]&lt;=tblPO[[#This Row],[Expected_Delivery_Date]],1,0)</f>
        <v>0</v>
      </c>
      <c r="L1131">
        <f>IF(tblPO[[#This Row],[Actual_Delivery_Date]]&gt;tblPO[[#This Row],[Expected_Delivery_Date]],1,0)</f>
        <v>1</v>
      </c>
      <c r="M1131">
        <f>tblPO[[#This Row],[Actual_Delivery_Date]]-tblPO[[#This Row],[PO_Date]]</f>
        <v>26</v>
      </c>
    </row>
    <row r="1132" spans="1:13" x14ac:dyDescent="0.3">
      <c r="A1132" t="s">
        <v>1126</v>
      </c>
      <c r="B1132" s="18">
        <v>45478</v>
      </c>
      <c r="C1132" t="s">
        <v>51</v>
      </c>
      <c r="D1132" t="s">
        <v>152</v>
      </c>
      <c r="E1132">
        <v>414</v>
      </c>
      <c r="F1132">
        <v>74.150000000000006</v>
      </c>
      <c r="G1132" s="18">
        <v>45484</v>
      </c>
      <c r="H1132" s="18">
        <v>45481</v>
      </c>
      <c r="I1132">
        <v>414</v>
      </c>
      <c r="J1132">
        <v>30698.1</v>
      </c>
      <c r="K1132">
        <f>IF(tblPO[[#This Row],[Actual_Delivery_Date]]&lt;=tblPO[[#This Row],[Expected_Delivery_Date]],1,0)</f>
        <v>1</v>
      </c>
      <c r="L1132">
        <f>IF(tblPO[[#This Row],[Actual_Delivery_Date]]&gt;tblPO[[#This Row],[Expected_Delivery_Date]],1,0)</f>
        <v>0</v>
      </c>
      <c r="M1132">
        <f>tblPO[[#This Row],[Actual_Delivery_Date]]-tblPO[[#This Row],[PO_Date]]</f>
        <v>3</v>
      </c>
    </row>
    <row r="1133" spans="1:13" x14ac:dyDescent="0.3">
      <c r="A1133" t="s">
        <v>1125</v>
      </c>
      <c r="B1133" s="18">
        <v>45489</v>
      </c>
      <c r="C1133" t="s">
        <v>38</v>
      </c>
      <c r="D1133" t="s">
        <v>243</v>
      </c>
      <c r="E1133">
        <v>107</v>
      </c>
      <c r="F1133">
        <v>173.14</v>
      </c>
      <c r="G1133" s="18">
        <v>45493</v>
      </c>
      <c r="H1133" s="18">
        <v>45491</v>
      </c>
      <c r="I1133">
        <v>107</v>
      </c>
      <c r="J1133">
        <v>18525.98</v>
      </c>
      <c r="K1133">
        <f>IF(tblPO[[#This Row],[Actual_Delivery_Date]]&lt;=tblPO[[#This Row],[Expected_Delivery_Date]],1,0)</f>
        <v>1</v>
      </c>
      <c r="L1133">
        <f>IF(tblPO[[#This Row],[Actual_Delivery_Date]]&gt;tblPO[[#This Row],[Expected_Delivery_Date]],1,0)</f>
        <v>0</v>
      </c>
      <c r="M1133">
        <f>tblPO[[#This Row],[Actual_Delivery_Date]]-tblPO[[#This Row],[PO_Date]]</f>
        <v>2</v>
      </c>
    </row>
    <row r="1134" spans="1:13" x14ac:dyDescent="0.3">
      <c r="A1134" t="s">
        <v>1124</v>
      </c>
      <c r="B1134" s="18">
        <v>45504</v>
      </c>
      <c r="C1134" t="s">
        <v>61</v>
      </c>
      <c r="D1134" t="s">
        <v>247</v>
      </c>
      <c r="E1134">
        <v>33</v>
      </c>
      <c r="F1134">
        <v>562.41</v>
      </c>
      <c r="G1134" s="18">
        <v>45514</v>
      </c>
      <c r="H1134" s="18">
        <v>45516</v>
      </c>
      <c r="I1134">
        <v>33</v>
      </c>
      <c r="J1134">
        <v>18559.53</v>
      </c>
      <c r="K1134">
        <f>IF(tblPO[[#This Row],[Actual_Delivery_Date]]&lt;=tblPO[[#This Row],[Expected_Delivery_Date]],1,0)</f>
        <v>0</v>
      </c>
      <c r="L1134">
        <f>IF(tblPO[[#This Row],[Actual_Delivery_Date]]&gt;tblPO[[#This Row],[Expected_Delivery_Date]],1,0)</f>
        <v>1</v>
      </c>
      <c r="M1134">
        <f>tblPO[[#This Row],[Actual_Delivery_Date]]-tblPO[[#This Row],[PO_Date]]</f>
        <v>12</v>
      </c>
    </row>
    <row r="1135" spans="1:13" x14ac:dyDescent="0.3">
      <c r="A1135" t="s">
        <v>1123</v>
      </c>
      <c r="B1135" s="18">
        <v>45490</v>
      </c>
      <c r="C1135" t="s">
        <v>39</v>
      </c>
      <c r="D1135" t="s">
        <v>172</v>
      </c>
      <c r="E1135">
        <v>563</v>
      </c>
      <c r="F1135">
        <v>39.25</v>
      </c>
      <c r="G1135" s="18">
        <v>45518</v>
      </c>
      <c r="H1135" s="18">
        <v>45517</v>
      </c>
      <c r="I1135">
        <v>563</v>
      </c>
      <c r="J1135">
        <v>22097.75</v>
      </c>
      <c r="K1135">
        <f>IF(tblPO[[#This Row],[Actual_Delivery_Date]]&lt;=tblPO[[#This Row],[Expected_Delivery_Date]],1,0)</f>
        <v>1</v>
      </c>
      <c r="L1135">
        <f>IF(tblPO[[#This Row],[Actual_Delivery_Date]]&gt;tblPO[[#This Row],[Expected_Delivery_Date]],1,0)</f>
        <v>0</v>
      </c>
      <c r="M1135">
        <f>tblPO[[#This Row],[Actual_Delivery_Date]]-tblPO[[#This Row],[PO_Date]]</f>
        <v>27</v>
      </c>
    </row>
    <row r="1136" spans="1:13" x14ac:dyDescent="0.3">
      <c r="A1136" t="s">
        <v>1122</v>
      </c>
      <c r="B1136" s="18">
        <v>45493</v>
      </c>
      <c r="C1136" t="s">
        <v>60</v>
      </c>
      <c r="D1136" t="s">
        <v>138</v>
      </c>
      <c r="E1136">
        <v>13</v>
      </c>
      <c r="F1136">
        <v>2700.76</v>
      </c>
      <c r="G1136" s="18">
        <v>45509</v>
      </c>
      <c r="H1136" s="18">
        <v>45509</v>
      </c>
      <c r="I1136">
        <v>13</v>
      </c>
      <c r="J1136">
        <v>35109.879999999997</v>
      </c>
      <c r="K1136">
        <f>IF(tblPO[[#This Row],[Actual_Delivery_Date]]&lt;=tblPO[[#This Row],[Expected_Delivery_Date]],1,0)</f>
        <v>1</v>
      </c>
      <c r="L1136">
        <f>IF(tblPO[[#This Row],[Actual_Delivery_Date]]&gt;tblPO[[#This Row],[Expected_Delivery_Date]],1,0)</f>
        <v>0</v>
      </c>
      <c r="M1136">
        <f>tblPO[[#This Row],[Actual_Delivery_Date]]-tblPO[[#This Row],[PO_Date]]</f>
        <v>16</v>
      </c>
    </row>
    <row r="1137" spans="1:13" x14ac:dyDescent="0.3">
      <c r="A1137" t="s">
        <v>1121</v>
      </c>
      <c r="B1137" s="18">
        <v>45492</v>
      </c>
      <c r="C1137" t="s">
        <v>47</v>
      </c>
      <c r="D1137" t="s">
        <v>212</v>
      </c>
      <c r="E1137">
        <v>49</v>
      </c>
      <c r="F1137">
        <v>258.19</v>
      </c>
      <c r="G1137" s="18">
        <v>45510</v>
      </c>
      <c r="H1137" s="18">
        <v>45507</v>
      </c>
      <c r="I1137">
        <v>49</v>
      </c>
      <c r="J1137">
        <v>12651.31</v>
      </c>
      <c r="K1137">
        <f>IF(tblPO[[#This Row],[Actual_Delivery_Date]]&lt;=tblPO[[#This Row],[Expected_Delivery_Date]],1,0)</f>
        <v>1</v>
      </c>
      <c r="L1137">
        <f>IF(tblPO[[#This Row],[Actual_Delivery_Date]]&gt;tblPO[[#This Row],[Expected_Delivery_Date]],1,0)</f>
        <v>0</v>
      </c>
      <c r="M1137">
        <f>tblPO[[#This Row],[Actual_Delivery_Date]]-tblPO[[#This Row],[PO_Date]]</f>
        <v>15</v>
      </c>
    </row>
    <row r="1138" spans="1:13" x14ac:dyDescent="0.3">
      <c r="A1138" t="s">
        <v>1120</v>
      </c>
      <c r="B1138" s="18">
        <v>45489</v>
      </c>
      <c r="C1138" t="s">
        <v>50</v>
      </c>
      <c r="D1138" t="s">
        <v>115</v>
      </c>
      <c r="E1138">
        <v>4</v>
      </c>
      <c r="F1138">
        <v>3214.27</v>
      </c>
      <c r="G1138" s="18">
        <v>45495</v>
      </c>
      <c r="H1138" s="18">
        <v>45493</v>
      </c>
      <c r="I1138">
        <v>4</v>
      </c>
      <c r="J1138">
        <v>12857.08</v>
      </c>
      <c r="K1138">
        <f>IF(tblPO[[#This Row],[Actual_Delivery_Date]]&lt;=tblPO[[#This Row],[Expected_Delivery_Date]],1,0)</f>
        <v>1</v>
      </c>
      <c r="L1138">
        <f>IF(tblPO[[#This Row],[Actual_Delivery_Date]]&gt;tblPO[[#This Row],[Expected_Delivery_Date]],1,0)</f>
        <v>0</v>
      </c>
      <c r="M1138">
        <f>tblPO[[#This Row],[Actual_Delivery_Date]]-tblPO[[#This Row],[PO_Date]]</f>
        <v>4</v>
      </c>
    </row>
    <row r="1139" spans="1:13" x14ac:dyDescent="0.3">
      <c r="A1139" t="s">
        <v>1119</v>
      </c>
      <c r="B1139" s="18">
        <v>45485</v>
      </c>
      <c r="C1139" t="s">
        <v>38</v>
      </c>
      <c r="D1139" t="s">
        <v>241</v>
      </c>
      <c r="E1139">
        <v>20</v>
      </c>
      <c r="F1139">
        <v>3089.45</v>
      </c>
      <c r="G1139" s="18">
        <v>45499</v>
      </c>
      <c r="H1139" s="18">
        <v>45497</v>
      </c>
      <c r="I1139">
        <v>20</v>
      </c>
      <c r="J1139">
        <v>61789</v>
      </c>
      <c r="K1139">
        <f>IF(tblPO[[#This Row],[Actual_Delivery_Date]]&lt;=tblPO[[#This Row],[Expected_Delivery_Date]],1,0)</f>
        <v>1</v>
      </c>
      <c r="L1139">
        <f>IF(tblPO[[#This Row],[Actual_Delivery_Date]]&gt;tblPO[[#This Row],[Expected_Delivery_Date]],1,0)</f>
        <v>0</v>
      </c>
      <c r="M1139">
        <f>tblPO[[#This Row],[Actual_Delivery_Date]]-tblPO[[#This Row],[PO_Date]]</f>
        <v>12</v>
      </c>
    </row>
    <row r="1140" spans="1:13" x14ac:dyDescent="0.3">
      <c r="A1140" t="s">
        <v>1118</v>
      </c>
      <c r="B1140" s="18">
        <v>45482</v>
      </c>
      <c r="C1140" t="s">
        <v>53</v>
      </c>
      <c r="D1140" t="s">
        <v>96</v>
      </c>
      <c r="E1140">
        <v>131</v>
      </c>
      <c r="F1140">
        <v>733.03</v>
      </c>
      <c r="G1140" s="18">
        <v>45508</v>
      </c>
      <c r="H1140" s="18">
        <v>45506</v>
      </c>
      <c r="I1140">
        <v>131</v>
      </c>
      <c r="J1140">
        <v>96026.93</v>
      </c>
      <c r="K1140">
        <f>IF(tblPO[[#This Row],[Actual_Delivery_Date]]&lt;=tblPO[[#This Row],[Expected_Delivery_Date]],1,0)</f>
        <v>1</v>
      </c>
      <c r="L1140">
        <f>IF(tblPO[[#This Row],[Actual_Delivery_Date]]&gt;tblPO[[#This Row],[Expected_Delivery_Date]],1,0)</f>
        <v>0</v>
      </c>
      <c r="M1140">
        <f>tblPO[[#This Row],[Actual_Delivery_Date]]-tblPO[[#This Row],[PO_Date]]</f>
        <v>24</v>
      </c>
    </row>
    <row r="1141" spans="1:13" x14ac:dyDescent="0.3">
      <c r="A1141" t="s">
        <v>1117</v>
      </c>
      <c r="B1141" s="18">
        <v>45501</v>
      </c>
      <c r="C1141" t="s">
        <v>62</v>
      </c>
      <c r="D1141" t="s">
        <v>190</v>
      </c>
      <c r="E1141">
        <v>103</v>
      </c>
      <c r="F1141">
        <v>111.5</v>
      </c>
      <c r="G1141" s="18">
        <v>45513</v>
      </c>
      <c r="H1141" s="18">
        <v>45511</v>
      </c>
      <c r="I1141">
        <v>103</v>
      </c>
      <c r="J1141">
        <v>11484.5</v>
      </c>
      <c r="K1141">
        <f>IF(tblPO[[#This Row],[Actual_Delivery_Date]]&lt;=tblPO[[#This Row],[Expected_Delivery_Date]],1,0)</f>
        <v>1</v>
      </c>
      <c r="L1141">
        <f>IF(tblPO[[#This Row],[Actual_Delivery_Date]]&gt;tblPO[[#This Row],[Expected_Delivery_Date]],1,0)</f>
        <v>0</v>
      </c>
      <c r="M1141">
        <f>tblPO[[#This Row],[Actual_Delivery_Date]]-tblPO[[#This Row],[PO_Date]]</f>
        <v>10</v>
      </c>
    </row>
    <row r="1142" spans="1:13" x14ac:dyDescent="0.3">
      <c r="A1142" t="s">
        <v>1116</v>
      </c>
      <c r="B1142" s="18">
        <v>45526</v>
      </c>
      <c r="C1142" t="s">
        <v>46</v>
      </c>
      <c r="D1142" t="s">
        <v>81</v>
      </c>
      <c r="E1142">
        <v>7</v>
      </c>
      <c r="F1142">
        <v>28149.3</v>
      </c>
      <c r="G1142" s="18">
        <v>45545</v>
      </c>
      <c r="H1142" s="18">
        <v>45545</v>
      </c>
      <c r="I1142">
        <v>6</v>
      </c>
      <c r="J1142">
        <v>197045.1</v>
      </c>
      <c r="K1142">
        <f>IF(tblPO[[#This Row],[Actual_Delivery_Date]]&lt;=tblPO[[#This Row],[Expected_Delivery_Date]],1,0)</f>
        <v>1</v>
      </c>
      <c r="L1142">
        <f>IF(tblPO[[#This Row],[Actual_Delivery_Date]]&gt;tblPO[[#This Row],[Expected_Delivery_Date]],1,0)</f>
        <v>0</v>
      </c>
      <c r="M1142">
        <f>tblPO[[#This Row],[Actual_Delivery_Date]]-tblPO[[#This Row],[PO_Date]]</f>
        <v>19</v>
      </c>
    </row>
    <row r="1143" spans="1:13" x14ac:dyDescent="0.3">
      <c r="A1143" t="s">
        <v>1115</v>
      </c>
      <c r="B1143" s="18">
        <v>45531</v>
      </c>
      <c r="C1143" t="s">
        <v>49</v>
      </c>
      <c r="D1143" t="s">
        <v>183</v>
      </c>
      <c r="E1143">
        <v>581</v>
      </c>
      <c r="F1143">
        <v>10.45</v>
      </c>
      <c r="G1143" s="18">
        <v>45544</v>
      </c>
      <c r="H1143" s="18">
        <v>45544</v>
      </c>
      <c r="I1143">
        <v>581</v>
      </c>
      <c r="J1143">
        <v>6071.45</v>
      </c>
      <c r="K1143">
        <f>IF(tblPO[[#This Row],[Actual_Delivery_Date]]&lt;=tblPO[[#This Row],[Expected_Delivery_Date]],1,0)</f>
        <v>1</v>
      </c>
      <c r="L1143">
        <f>IF(tblPO[[#This Row],[Actual_Delivery_Date]]&gt;tblPO[[#This Row],[Expected_Delivery_Date]],1,0)</f>
        <v>0</v>
      </c>
      <c r="M1143">
        <f>tblPO[[#This Row],[Actual_Delivery_Date]]-tblPO[[#This Row],[PO_Date]]</f>
        <v>13</v>
      </c>
    </row>
    <row r="1144" spans="1:13" x14ac:dyDescent="0.3">
      <c r="A1144" t="s">
        <v>1114</v>
      </c>
      <c r="B1144" s="18">
        <v>45517</v>
      </c>
      <c r="C1144" t="s">
        <v>42</v>
      </c>
      <c r="D1144" t="s">
        <v>98</v>
      </c>
      <c r="E1144">
        <v>22</v>
      </c>
      <c r="F1144">
        <v>9758.0300000000007</v>
      </c>
      <c r="G1144" s="18">
        <v>45530</v>
      </c>
      <c r="H1144" s="18">
        <v>45530</v>
      </c>
      <c r="I1144">
        <v>22</v>
      </c>
      <c r="J1144">
        <v>214676.66</v>
      </c>
      <c r="K1144">
        <f>IF(tblPO[[#This Row],[Actual_Delivery_Date]]&lt;=tblPO[[#This Row],[Expected_Delivery_Date]],1,0)</f>
        <v>1</v>
      </c>
      <c r="L1144">
        <f>IF(tblPO[[#This Row],[Actual_Delivery_Date]]&gt;tblPO[[#This Row],[Expected_Delivery_Date]],1,0)</f>
        <v>0</v>
      </c>
      <c r="M1144">
        <f>tblPO[[#This Row],[Actual_Delivery_Date]]-tblPO[[#This Row],[PO_Date]]</f>
        <v>13</v>
      </c>
    </row>
    <row r="1145" spans="1:13" x14ac:dyDescent="0.3">
      <c r="A1145" t="s">
        <v>1113</v>
      </c>
      <c r="B1145" s="18">
        <v>45517</v>
      </c>
      <c r="C1145" t="s">
        <v>38</v>
      </c>
      <c r="D1145" t="s">
        <v>227</v>
      </c>
      <c r="E1145">
        <v>7</v>
      </c>
      <c r="F1145">
        <v>1297.74</v>
      </c>
      <c r="G1145" s="18">
        <v>45530</v>
      </c>
      <c r="H1145" s="18">
        <v>45530</v>
      </c>
      <c r="I1145">
        <v>7</v>
      </c>
      <c r="J1145">
        <v>9084.18</v>
      </c>
      <c r="K1145">
        <f>IF(tblPO[[#This Row],[Actual_Delivery_Date]]&lt;=tblPO[[#This Row],[Expected_Delivery_Date]],1,0)</f>
        <v>1</v>
      </c>
      <c r="L1145">
        <f>IF(tblPO[[#This Row],[Actual_Delivery_Date]]&gt;tblPO[[#This Row],[Expected_Delivery_Date]],1,0)</f>
        <v>0</v>
      </c>
      <c r="M1145">
        <f>tblPO[[#This Row],[Actual_Delivery_Date]]-tblPO[[#This Row],[PO_Date]]</f>
        <v>13</v>
      </c>
    </row>
    <row r="1146" spans="1:13" x14ac:dyDescent="0.3">
      <c r="A1146" t="s">
        <v>1112</v>
      </c>
      <c r="B1146" s="18">
        <v>45508</v>
      </c>
      <c r="C1146" t="s">
        <v>44</v>
      </c>
      <c r="D1146" t="s">
        <v>185</v>
      </c>
      <c r="E1146">
        <v>1132</v>
      </c>
      <c r="F1146">
        <v>7.14</v>
      </c>
      <c r="G1146" s="18">
        <v>45538</v>
      </c>
      <c r="H1146" s="18">
        <v>45541</v>
      </c>
      <c r="I1146">
        <v>1132</v>
      </c>
      <c r="J1146">
        <v>8082.48</v>
      </c>
      <c r="K1146">
        <f>IF(tblPO[[#This Row],[Actual_Delivery_Date]]&lt;=tblPO[[#This Row],[Expected_Delivery_Date]],1,0)</f>
        <v>0</v>
      </c>
      <c r="L1146">
        <f>IF(tblPO[[#This Row],[Actual_Delivery_Date]]&gt;tblPO[[#This Row],[Expected_Delivery_Date]],1,0)</f>
        <v>1</v>
      </c>
      <c r="M1146">
        <f>tblPO[[#This Row],[Actual_Delivery_Date]]-tblPO[[#This Row],[PO_Date]]</f>
        <v>33</v>
      </c>
    </row>
    <row r="1147" spans="1:13" x14ac:dyDescent="0.3">
      <c r="A1147" t="s">
        <v>1111</v>
      </c>
      <c r="B1147" s="18">
        <v>45507</v>
      </c>
      <c r="C1147" t="s">
        <v>44</v>
      </c>
      <c r="D1147" t="s">
        <v>205</v>
      </c>
      <c r="E1147">
        <v>62</v>
      </c>
      <c r="F1147">
        <v>382.25</v>
      </c>
      <c r="G1147" s="18">
        <v>45521</v>
      </c>
      <c r="H1147" s="18">
        <v>45518</v>
      </c>
      <c r="I1147">
        <v>62</v>
      </c>
      <c r="J1147">
        <v>23699.5</v>
      </c>
      <c r="K1147">
        <f>IF(tblPO[[#This Row],[Actual_Delivery_Date]]&lt;=tblPO[[#This Row],[Expected_Delivery_Date]],1,0)</f>
        <v>1</v>
      </c>
      <c r="L1147">
        <f>IF(tblPO[[#This Row],[Actual_Delivery_Date]]&gt;tblPO[[#This Row],[Expected_Delivery_Date]],1,0)</f>
        <v>0</v>
      </c>
      <c r="M1147">
        <f>tblPO[[#This Row],[Actual_Delivery_Date]]-tblPO[[#This Row],[PO_Date]]</f>
        <v>11</v>
      </c>
    </row>
    <row r="1148" spans="1:13" x14ac:dyDescent="0.3">
      <c r="A1148" t="s">
        <v>1110</v>
      </c>
      <c r="B1148" s="18">
        <v>45527</v>
      </c>
      <c r="C1148" t="s">
        <v>60</v>
      </c>
      <c r="D1148" t="s">
        <v>123</v>
      </c>
      <c r="E1148">
        <v>21</v>
      </c>
      <c r="F1148">
        <v>840.02</v>
      </c>
      <c r="G1148" s="18">
        <v>45532</v>
      </c>
      <c r="H1148" s="18">
        <v>45529</v>
      </c>
      <c r="I1148">
        <v>21</v>
      </c>
      <c r="J1148">
        <v>17640.419999999998</v>
      </c>
      <c r="K1148">
        <f>IF(tblPO[[#This Row],[Actual_Delivery_Date]]&lt;=tblPO[[#This Row],[Expected_Delivery_Date]],1,0)</f>
        <v>1</v>
      </c>
      <c r="L1148">
        <f>IF(tblPO[[#This Row],[Actual_Delivery_Date]]&gt;tblPO[[#This Row],[Expected_Delivery_Date]],1,0)</f>
        <v>0</v>
      </c>
      <c r="M1148">
        <f>tblPO[[#This Row],[Actual_Delivery_Date]]-tblPO[[#This Row],[PO_Date]]</f>
        <v>2</v>
      </c>
    </row>
    <row r="1149" spans="1:13" x14ac:dyDescent="0.3">
      <c r="A1149" t="s">
        <v>1109</v>
      </c>
      <c r="B1149" s="18">
        <v>45525</v>
      </c>
      <c r="C1149" t="s">
        <v>71</v>
      </c>
      <c r="D1149" t="s">
        <v>172</v>
      </c>
      <c r="E1149">
        <v>699</v>
      </c>
      <c r="F1149">
        <v>30.58</v>
      </c>
      <c r="G1149" s="18">
        <v>45539</v>
      </c>
      <c r="H1149" s="18">
        <v>45537</v>
      </c>
      <c r="I1149">
        <v>699</v>
      </c>
      <c r="J1149">
        <v>21375.42</v>
      </c>
      <c r="K1149">
        <f>IF(tblPO[[#This Row],[Actual_Delivery_Date]]&lt;=tblPO[[#This Row],[Expected_Delivery_Date]],1,0)</f>
        <v>1</v>
      </c>
      <c r="L1149">
        <f>IF(tblPO[[#This Row],[Actual_Delivery_Date]]&gt;tblPO[[#This Row],[Expected_Delivery_Date]],1,0)</f>
        <v>0</v>
      </c>
      <c r="M1149">
        <f>tblPO[[#This Row],[Actual_Delivery_Date]]-tblPO[[#This Row],[PO_Date]]</f>
        <v>12</v>
      </c>
    </row>
    <row r="1150" spans="1:13" x14ac:dyDescent="0.3">
      <c r="A1150" t="s">
        <v>1108</v>
      </c>
      <c r="B1150" s="18">
        <v>45529</v>
      </c>
      <c r="C1150" t="s">
        <v>38</v>
      </c>
      <c r="D1150" t="s">
        <v>217</v>
      </c>
      <c r="E1150">
        <v>793</v>
      </c>
      <c r="F1150">
        <v>28.76</v>
      </c>
      <c r="G1150" s="18">
        <v>45544</v>
      </c>
      <c r="H1150" s="18">
        <v>45541</v>
      </c>
      <c r="I1150">
        <v>793</v>
      </c>
      <c r="J1150">
        <v>22806.68</v>
      </c>
      <c r="K1150">
        <f>IF(tblPO[[#This Row],[Actual_Delivery_Date]]&lt;=tblPO[[#This Row],[Expected_Delivery_Date]],1,0)</f>
        <v>1</v>
      </c>
      <c r="L1150">
        <f>IF(tblPO[[#This Row],[Actual_Delivery_Date]]&gt;tblPO[[#This Row],[Expected_Delivery_Date]],1,0)</f>
        <v>0</v>
      </c>
      <c r="M1150">
        <f>tblPO[[#This Row],[Actual_Delivery_Date]]-tblPO[[#This Row],[PO_Date]]</f>
        <v>12</v>
      </c>
    </row>
    <row r="1151" spans="1:13" x14ac:dyDescent="0.3">
      <c r="A1151" t="s">
        <v>1107</v>
      </c>
      <c r="B1151" s="18">
        <v>45525</v>
      </c>
      <c r="C1151" t="s">
        <v>69</v>
      </c>
      <c r="D1151" t="s">
        <v>113</v>
      </c>
      <c r="E1151">
        <v>15</v>
      </c>
      <c r="F1151">
        <v>401.04</v>
      </c>
      <c r="G1151" s="18">
        <v>45531</v>
      </c>
      <c r="H1151" s="18">
        <v>45528</v>
      </c>
      <c r="I1151">
        <v>15</v>
      </c>
      <c r="J1151">
        <v>6015.6</v>
      </c>
      <c r="K1151">
        <f>IF(tblPO[[#This Row],[Actual_Delivery_Date]]&lt;=tblPO[[#This Row],[Expected_Delivery_Date]],1,0)</f>
        <v>1</v>
      </c>
      <c r="L1151">
        <f>IF(tblPO[[#This Row],[Actual_Delivery_Date]]&gt;tblPO[[#This Row],[Expected_Delivery_Date]],1,0)</f>
        <v>0</v>
      </c>
      <c r="M1151">
        <f>tblPO[[#This Row],[Actual_Delivery_Date]]-tblPO[[#This Row],[PO_Date]]</f>
        <v>3</v>
      </c>
    </row>
    <row r="1152" spans="1:13" x14ac:dyDescent="0.3">
      <c r="A1152" t="s">
        <v>1106</v>
      </c>
      <c r="B1152" s="18">
        <v>45507</v>
      </c>
      <c r="C1152" t="s">
        <v>38</v>
      </c>
      <c r="D1152" t="s">
        <v>233</v>
      </c>
      <c r="E1152">
        <v>56</v>
      </c>
      <c r="F1152">
        <v>206</v>
      </c>
      <c r="G1152" s="18">
        <v>45512</v>
      </c>
      <c r="H1152" s="18">
        <v>45511</v>
      </c>
      <c r="I1152">
        <v>56</v>
      </c>
      <c r="J1152">
        <v>11536</v>
      </c>
      <c r="K1152">
        <f>IF(tblPO[[#This Row],[Actual_Delivery_Date]]&lt;=tblPO[[#This Row],[Expected_Delivery_Date]],1,0)</f>
        <v>1</v>
      </c>
      <c r="L1152">
        <f>IF(tblPO[[#This Row],[Actual_Delivery_Date]]&gt;tblPO[[#This Row],[Expected_Delivery_Date]],1,0)</f>
        <v>0</v>
      </c>
      <c r="M1152">
        <f>tblPO[[#This Row],[Actual_Delivery_Date]]-tblPO[[#This Row],[PO_Date]]</f>
        <v>4</v>
      </c>
    </row>
    <row r="1153" spans="1:13" x14ac:dyDescent="0.3">
      <c r="A1153" t="s">
        <v>1105</v>
      </c>
      <c r="B1153" s="18">
        <v>45530</v>
      </c>
      <c r="C1153" t="s">
        <v>55</v>
      </c>
      <c r="D1153" t="s">
        <v>239</v>
      </c>
      <c r="E1153">
        <v>552</v>
      </c>
      <c r="F1153">
        <v>105.47</v>
      </c>
      <c r="G1153" s="18">
        <v>45542</v>
      </c>
      <c r="H1153" s="18">
        <v>45542</v>
      </c>
      <c r="I1153">
        <v>552</v>
      </c>
      <c r="J1153">
        <v>58219.44</v>
      </c>
      <c r="K1153">
        <f>IF(tblPO[[#This Row],[Actual_Delivery_Date]]&lt;=tblPO[[#This Row],[Expected_Delivery_Date]],1,0)</f>
        <v>1</v>
      </c>
      <c r="L1153">
        <f>IF(tblPO[[#This Row],[Actual_Delivery_Date]]&gt;tblPO[[#This Row],[Expected_Delivery_Date]],1,0)</f>
        <v>0</v>
      </c>
      <c r="M1153">
        <f>tblPO[[#This Row],[Actual_Delivery_Date]]-tblPO[[#This Row],[PO_Date]]</f>
        <v>12</v>
      </c>
    </row>
    <row r="1154" spans="1:13" x14ac:dyDescent="0.3">
      <c r="A1154" t="s">
        <v>1104</v>
      </c>
      <c r="B1154" s="18">
        <v>45517</v>
      </c>
      <c r="C1154" t="s">
        <v>52</v>
      </c>
      <c r="D1154" t="s">
        <v>247</v>
      </c>
      <c r="E1154">
        <v>117</v>
      </c>
      <c r="F1154">
        <v>587.46</v>
      </c>
      <c r="G1154" s="18">
        <v>45530</v>
      </c>
      <c r="H1154" s="18">
        <v>45530</v>
      </c>
      <c r="I1154">
        <v>117</v>
      </c>
      <c r="J1154">
        <v>68732.820000000007</v>
      </c>
      <c r="K1154">
        <f>IF(tblPO[[#This Row],[Actual_Delivery_Date]]&lt;=tblPO[[#This Row],[Expected_Delivery_Date]],1,0)</f>
        <v>1</v>
      </c>
      <c r="L1154">
        <f>IF(tblPO[[#This Row],[Actual_Delivery_Date]]&gt;tblPO[[#This Row],[Expected_Delivery_Date]],1,0)</f>
        <v>0</v>
      </c>
      <c r="M1154">
        <f>tblPO[[#This Row],[Actual_Delivery_Date]]-tblPO[[#This Row],[PO_Date]]</f>
        <v>13</v>
      </c>
    </row>
    <row r="1155" spans="1:13" x14ac:dyDescent="0.3">
      <c r="A1155" t="s">
        <v>1103</v>
      </c>
      <c r="B1155" s="18">
        <v>45526</v>
      </c>
      <c r="C1155" t="s">
        <v>47</v>
      </c>
      <c r="D1155" t="s">
        <v>241</v>
      </c>
      <c r="E1155">
        <v>7</v>
      </c>
      <c r="F1155">
        <v>2518.79</v>
      </c>
      <c r="G1155" s="18">
        <v>45530</v>
      </c>
      <c r="H1155" s="18">
        <v>45529</v>
      </c>
      <c r="I1155">
        <v>7</v>
      </c>
      <c r="J1155">
        <v>17631.53</v>
      </c>
      <c r="K1155">
        <f>IF(tblPO[[#This Row],[Actual_Delivery_Date]]&lt;=tblPO[[#This Row],[Expected_Delivery_Date]],1,0)</f>
        <v>1</v>
      </c>
      <c r="L1155">
        <f>IF(tblPO[[#This Row],[Actual_Delivery_Date]]&gt;tblPO[[#This Row],[Expected_Delivery_Date]],1,0)</f>
        <v>0</v>
      </c>
      <c r="M1155">
        <f>tblPO[[#This Row],[Actual_Delivery_Date]]-tblPO[[#This Row],[PO_Date]]</f>
        <v>3</v>
      </c>
    </row>
    <row r="1156" spans="1:13" x14ac:dyDescent="0.3">
      <c r="A1156" t="s">
        <v>1102</v>
      </c>
      <c r="B1156" s="18">
        <v>45522</v>
      </c>
      <c r="C1156" t="s">
        <v>39</v>
      </c>
      <c r="D1156" t="s">
        <v>162</v>
      </c>
      <c r="E1156">
        <v>664</v>
      </c>
      <c r="F1156">
        <v>46.62</v>
      </c>
      <c r="G1156" s="18">
        <v>45534</v>
      </c>
      <c r="H1156" s="18">
        <v>45533</v>
      </c>
      <c r="I1156">
        <v>664</v>
      </c>
      <c r="J1156">
        <v>30955.68</v>
      </c>
      <c r="K1156">
        <f>IF(tblPO[[#This Row],[Actual_Delivery_Date]]&lt;=tblPO[[#This Row],[Expected_Delivery_Date]],1,0)</f>
        <v>1</v>
      </c>
      <c r="L1156">
        <f>IF(tblPO[[#This Row],[Actual_Delivery_Date]]&gt;tblPO[[#This Row],[Expected_Delivery_Date]],1,0)</f>
        <v>0</v>
      </c>
      <c r="M1156">
        <f>tblPO[[#This Row],[Actual_Delivery_Date]]-tblPO[[#This Row],[PO_Date]]</f>
        <v>11</v>
      </c>
    </row>
    <row r="1157" spans="1:13" x14ac:dyDescent="0.3">
      <c r="A1157" t="s">
        <v>1101</v>
      </c>
      <c r="B1157" s="18">
        <v>45505</v>
      </c>
      <c r="C1157" t="s">
        <v>39</v>
      </c>
      <c r="D1157" t="s">
        <v>170</v>
      </c>
      <c r="E1157">
        <v>598</v>
      </c>
      <c r="F1157">
        <v>92.82</v>
      </c>
      <c r="G1157" s="18">
        <v>45533</v>
      </c>
      <c r="H1157" s="18">
        <v>45531</v>
      </c>
      <c r="I1157">
        <v>598</v>
      </c>
      <c r="J1157">
        <v>55506.36</v>
      </c>
      <c r="K1157">
        <f>IF(tblPO[[#This Row],[Actual_Delivery_Date]]&lt;=tblPO[[#This Row],[Expected_Delivery_Date]],1,0)</f>
        <v>1</v>
      </c>
      <c r="L1157">
        <f>IF(tblPO[[#This Row],[Actual_Delivery_Date]]&gt;tblPO[[#This Row],[Expected_Delivery_Date]],1,0)</f>
        <v>0</v>
      </c>
      <c r="M1157">
        <f>tblPO[[#This Row],[Actual_Delivery_Date]]-tblPO[[#This Row],[PO_Date]]</f>
        <v>26</v>
      </c>
    </row>
    <row r="1158" spans="1:13" x14ac:dyDescent="0.3">
      <c r="A1158" t="s">
        <v>1100</v>
      </c>
      <c r="B1158" s="18">
        <v>45505</v>
      </c>
      <c r="C1158" t="s">
        <v>43</v>
      </c>
      <c r="D1158" t="s">
        <v>166</v>
      </c>
      <c r="E1158">
        <v>272</v>
      </c>
      <c r="F1158">
        <v>71.53</v>
      </c>
      <c r="G1158" s="18">
        <v>45518</v>
      </c>
      <c r="H1158" s="18">
        <v>45515</v>
      </c>
      <c r="I1158">
        <v>272</v>
      </c>
      <c r="J1158">
        <v>19456.16</v>
      </c>
      <c r="K1158">
        <f>IF(tblPO[[#This Row],[Actual_Delivery_Date]]&lt;=tblPO[[#This Row],[Expected_Delivery_Date]],1,0)</f>
        <v>1</v>
      </c>
      <c r="L1158">
        <f>IF(tblPO[[#This Row],[Actual_Delivery_Date]]&gt;tblPO[[#This Row],[Expected_Delivery_Date]],1,0)</f>
        <v>0</v>
      </c>
      <c r="M1158">
        <f>tblPO[[#This Row],[Actual_Delivery_Date]]-tblPO[[#This Row],[PO_Date]]</f>
        <v>10</v>
      </c>
    </row>
    <row r="1159" spans="1:13" x14ac:dyDescent="0.3">
      <c r="A1159" t="s">
        <v>1099</v>
      </c>
      <c r="B1159" s="18">
        <v>45511</v>
      </c>
      <c r="C1159" t="s">
        <v>47</v>
      </c>
      <c r="D1159" t="s">
        <v>243</v>
      </c>
      <c r="E1159">
        <v>133</v>
      </c>
      <c r="F1159">
        <v>141.32</v>
      </c>
      <c r="G1159" s="18">
        <v>45516</v>
      </c>
      <c r="H1159" s="18">
        <v>45515</v>
      </c>
      <c r="I1159">
        <v>133</v>
      </c>
      <c r="J1159">
        <v>18795.560000000001</v>
      </c>
      <c r="K1159">
        <f>IF(tblPO[[#This Row],[Actual_Delivery_Date]]&lt;=tblPO[[#This Row],[Expected_Delivery_Date]],1,0)</f>
        <v>1</v>
      </c>
      <c r="L1159">
        <f>IF(tblPO[[#This Row],[Actual_Delivery_Date]]&gt;tblPO[[#This Row],[Expected_Delivery_Date]],1,0)</f>
        <v>0</v>
      </c>
      <c r="M1159">
        <f>tblPO[[#This Row],[Actual_Delivery_Date]]-tblPO[[#This Row],[PO_Date]]</f>
        <v>4</v>
      </c>
    </row>
    <row r="1160" spans="1:13" x14ac:dyDescent="0.3">
      <c r="A1160" t="s">
        <v>1098</v>
      </c>
      <c r="B1160" s="18">
        <v>45535</v>
      </c>
      <c r="C1160" t="s">
        <v>59</v>
      </c>
      <c r="D1160" t="s">
        <v>86</v>
      </c>
      <c r="E1160">
        <v>141</v>
      </c>
      <c r="F1160">
        <v>209.93</v>
      </c>
      <c r="G1160" s="18">
        <v>45550</v>
      </c>
      <c r="H1160" s="18">
        <v>45560</v>
      </c>
      <c r="I1160">
        <v>141</v>
      </c>
      <c r="J1160">
        <v>29600.13</v>
      </c>
      <c r="K1160">
        <f>IF(tblPO[[#This Row],[Actual_Delivery_Date]]&lt;=tblPO[[#This Row],[Expected_Delivery_Date]],1,0)</f>
        <v>0</v>
      </c>
      <c r="L1160">
        <f>IF(tblPO[[#This Row],[Actual_Delivery_Date]]&gt;tblPO[[#This Row],[Expected_Delivery_Date]],1,0)</f>
        <v>1</v>
      </c>
      <c r="M1160">
        <f>tblPO[[#This Row],[Actual_Delivery_Date]]-tblPO[[#This Row],[PO_Date]]</f>
        <v>25</v>
      </c>
    </row>
    <row r="1161" spans="1:13" x14ac:dyDescent="0.3">
      <c r="A1161" t="s">
        <v>1097</v>
      </c>
      <c r="B1161" s="18">
        <v>45513</v>
      </c>
      <c r="C1161" t="s">
        <v>40</v>
      </c>
      <c r="D1161" t="s">
        <v>121</v>
      </c>
      <c r="E1161">
        <v>193</v>
      </c>
      <c r="F1161">
        <v>733.77</v>
      </c>
      <c r="G1161" s="18">
        <v>45528</v>
      </c>
      <c r="H1161" s="18">
        <v>45527</v>
      </c>
      <c r="I1161">
        <v>193</v>
      </c>
      <c r="J1161">
        <v>141617.60999999999</v>
      </c>
      <c r="K1161">
        <f>IF(tblPO[[#This Row],[Actual_Delivery_Date]]&lt;=tblPO[[#This Row],[Expected_Delivery_Date]],1,0)</f>
        <v>1</v>
      </c>
      <c r="L1161">
        <f>IF(tblPO[[#This Row],[Actual_Delivery_Date]]&gt;tblPO[[#This Row],[Expected_Delivery_Date]],1,0)</f>
        <v>0</v>
      </c>
      <c r="M1161">
        <f>tblPO[[#This Row],[Actual_Delivery_Date]]-tblPO[[#This Row],[PO_Date]]</f>
        <v>14</v>
      </c>
    </row>
    <row r="1162" spans="1:13" x14ac:dyDescent="0.3">
      <c r="A1162" t="s">
        <v>1096</v>
      </c>
      <c r="B1162" s="18">
        <v>45518</v>
      </c>
      <c r="C1162" t="s">
        <v>60</v>
      </c>
      <c r="D1162" t="s">
        <v>136</v>
      </c>
      <c r="E1162">
        <v>134</v>
      </c>
      <c r="F1162">
        <v>484.99</v>
      </c>
      <c r="G1162" s="18">
        <v>45535</v>
      </c>
      <c r="H1162" s="18">
        <v>45534</v>
      </c>
      <c r="I1162">
        <v>134</v>
      </c>
      <c r="J1162">
        <v>64988.66</v>
      </c>
      <c r="K1162">
        <f>IF(tblPO[[#This Row],[Actual_Delivery_Date]]&lt;=tblPO[[#This Row],[Expected_Delivery_Date]],1,0)</f>
        <v>1</v>
      </c>
      <c r="L1162">
        <f>IF(tblPO[[#This Row],[Actual_Delivery_Date]]&gt;tblPO[[#This Row],[Expected_Delivery_Date]],1,0)</f>
        <v>0</v>
      </c>
      <c r="M1162">
        <f>tblPO[[#This Row],[Actual_Delivery_Date]]-tblPO[[#This Row],[PO_Date]]</f>
        <v>16</v>
      </c>
    </row>
    <row r="1163" spans="1:13" x14ac:dyDescent="0.3">
      <c r="A1163" t="s">
        <v>1095</v>
      </c>
      <c r="B1163" s="18">
        <v>45518</v>
      </c>
      <c r="C1163" t="s">
        <v>50</v>
      </c>
      <c r="D1163" t="s">
        <v>123</v>
      </c>
      <c r="E1163">
        <v>14</v>
      </c>
      <c r="F1163">
        <v>1185.57</v>
      </c>
      <c r="G1163" s="18">
        <v>45527</v>
      </c>
      <c r="H1163" s="18">
        <v>45526</v>
      </c>
      <c r="I1163">
        <v>14</v>
      </c>
      <c r="J1163">
        <v>16597.98</v>
      </c>
      <c r="K1163">
        <f>IF(tblPO[[#This Row],[Actual_Delivery_Date]]&lt;=tblPO[[#This Row],[Expected_Delivery_Date]],1,0)</f>
        <v>1</v>
      </c>
      <c r="L1163">
        <f>IF(tblPO[[#This Row],[Actual_Delivery_Date]]&gt;tblPO[[#This Row],[Expected_Delivery_Date]],1,0)</f>
        <v>0</v>
      </c>
      <c r="M1163">
        <f>tblPO[[#This Row],[Actual_Delivery_Date]]-tblPO[[#This Row],[PO_Date]]</f>
        <v>8</v>
      </c>
    </row>
    <row r="1164" spans="1:13" x14ac:dyDescent="0.3">
      <c r="A1164" t="s">
        <v>1094</v>
      </c>
      <c r="B1164" s="18">
        <v>45533</v>
      </c>
      <c r="C1164" t="s">
        <v>42</v>
      </c>
      <c r="D1164" t="s">
        <v>84</v>
      </c>
      <c r="E1164">
        <v>52</v>
      </c>
      <c r="F1164">
        <v>217.83</v>
      </c>
      <c r="G1164" s="18">
        <v>45546</v>
      </c>
      <c r="H1164" s="18">
        <v>45545</v>
      </c>
      <c r="I1164">
        <v>52</v>
      </c>
      <c r="J1164">
        <v>11327.16</v>
      </c>
      <c r="K1164">
        <f>IF(tblPO[[#This Row],[Actual_Delivery_Date]]&lt;=tblPO[[#This Row],[Expected_Delivery_Date]],1,0)</f>
        <v>1</v>
      </c>
      <c r="L1164">
        <f>IF(tblPO[[#This Row],[Actual_Delivery_Date]]&gt;tblPO[[#This Row],[Expected_Delivery_Date]],1,0)</f>
        <v>0</v>
      </c>
      <c r="M1164">
        <f>tblPO[[#This Row],[Actual_Delivery_Date]]-tblPO[[#This Row],[PO_Date]]</f>
        <v>12</v>
      </c>
    </row>
    <row r="1165" spans="1:13" x14ac:dyDescent="0.3">
      <c r="A1165" t="s">
        <v>1093</v>
      </c>
      <c r="B1165" s="18">
        <v>45535</v>
      </c>
      <c r="C1165" t="s">
        <v>45</v>
      </c>
      <c r="D1165" t="s">
        <v>233</v>
      </c>
      <c r="E1165">
        <v>175</v>
      </c>
      <c r="F1165">
        <v>201.16</v>
      </c>
      <c r="G1165" s="18">
        <v>45549</v>
      </c>
      <c r="H1165" s="18">
        <v>45546</v>
      </c>
      <c r="I1165">
        <v>175</v>
      </c>
      <c r="J1165">
        <v>35203</v>
      </c>
      <c r="K1165">
        <f>IF(tblPO[[#This Row],[Actual_Delivery_Date]]&lt;=tblPO[[#This Row],[Expected_Delivery_Date]],1,0)</f>
        <v>1</v>
      </c>
      <c r="L1165">
        <f>IF(tblPO[[#This Row],[Actual_Delivery_Date]]&gt;tblPO[[#This Row],[Expected_Delivery_Date]],1,0)</f>
        <v>0</v>
      </c>
      <c r="M1165">
        <f>tblPO[[#This Row],[Actual_Delivery_Date]]-tblPO[[#This Row],[PO_Date]]</f>
        <v>11</v>
      </c>
    </row>
    <row r="1166" spans="1:13" x14ac:dyDescent="0.3">
      <c r="A1166" t="s">
        <v>1092</v>
      </c>
      <c r="B1166" s="18">
        <v>45516</v>
      </c>
      <c r="C1166" t="s">
        <v>46</v>
      </c>
      <c r="D1166" t="s">
        <v>100</v>
      </c>
      <c r="E1166">
        <v>3</v>
      </c>
      <c r="F1166">
        <v>55932.24</v>
      </c>
      <c r="G1166" s="18">
        <v>45535</v>
      </c>
      <c r="H1166" s="18">
        <v>45534</v>
      </c>
      <c r="I1166">
        <v>3</v>
      </c>
      <c r="J1166">
        <v>167796.72</v>
      </c>
      <c r="K1166">
        <f>IF(tblPO[[#This Row],[Actual_Delivery_Date]]&lt;=tblPO[[#This Row],[Expected_Delivery_Date]],1,0)</f>
        <v>1</v>
      </c>
      <c r="L1166">
        <f>IF(tblPO[[#This Row],[Actual_Delivery_Date]]&gt;tblPO[[#This Row],[Expected_Delivery_Date]],1,0)</f>
        <v>0</v>
      </c>
      <c r="M1166">
        <f>tblPO[[#This Row],[Actual_Delivery_Date]]-tblPO[[#This Row],[PO_Date]]</f>
        <v>18</v>
      </c>
    </row>
    <row r="1167" spans="1:13" x14ac:dyDescent="0.3">
      <c r="A1167" t="s">
        <v>1091</v>
      </c>
      <c r="B1167" s="18">
        <v>45515</v>
      </c>
      <c r="C1167" t="s">
        <v>57</v>
      </c>
      <c r="D1167" t="s">
        <v>183</v>
      </c>
      <c r="E1167">
        <v>59</v>
      </c>
      <c r="F1167">
        <v>11.35</v>
      </c>
      <c r="G1167" s="18">
        <v>45527</v>
      </c>
      <c r="H1167" s="18">
        <v>45525</v>
      </c>
      <c r="I1167">
        <v>59</v>
      </c>
      <c r="J1167">
        <v>669.65</v>
      </c>
      <c r="K1167">
        <f>IF(tblPO[[#This Row],[Actual_Delivery_Date]]&lt;=tblPO[[#This Row],[Expected_Delivery_Date]],1,0)</f>
        <v>1</v>
      </c>
      <c r="L1167">
        <f>IF(tblPO[[#This Row],[Actual_Delivery_Date]]&gt;tblPO[[#This Row],[Expected_Delivery_Date]],1,0)</f>
        <v>0</v>
      </c>
      <c r="M1167">
        <f>tblPO[[#This Row],[Actual_Delivery_Date]]-tblPO[[#This Row],[PO_Date]]</f>
        <v>10</v>
      </c>
    </row>
    <row r="1168" spans="1:13" x14ac:dyDescent="0.3">
      <c r="A1168" t="s">
        <v>1090</v>
      </c>
      <c r="B1168" s="18">
        <v>45522</v>
      </c>
      <c r="C1168" t="s">
        <v>39</v>
      </c>
      <c r="D1168" t="s">
        <v>152</v>
      </c>
      <c r="E1168">
        <v>288</v>
      </c>
      <c r="F1168">
        <v>102.36</v>
      </c>
      <c r="G1168" s="18">
        <v>45536</v>
      </c>
      <c r="H1168" s="18">
        <v>45534</v>
      </c>
      <c r="I1168">
        <v>288</v>
      </c>
      <c r="J1168">
        <v>29479.68</v>
      </c>
      <c r="K1168">
        <f>IF(tblPO[[#This Row],[Actual_Delivery_Date]]&lt;=tblPO[[#This Row],[Expected_Delivery_Date]],1,0)</f>
        <v>1</v>
      </c>
      <c r="L1168">
        <f>IF(tblPO[[#This Row],[Actual_Delivery_Date]]&gt;tblPO[[#This Row],[Expected_Delivery_Date]],1,0)</f>
        <v>0</v>
      </c>
      <c r="M1168">
        <f>tblPO[[#This Row],[Actual_Delivery_Date]]-tblPO[[#This Row],[PO_Date]]</f>
        <v>12</v>
      </c>
    </row>
    <row r="1169" spans="1:13" x14ac:dyDescent="0.3">
      <c r="A1169" t="s">
        <v>1089</v>
      </c>
      <c r="B1169" s="18">
        <v>45524</v>
      </c>
      <c r="C1169" t="s">
        <v>40</v>
      </c>
      <c r="D1169" t="s">
        <v>140</v>
      </c>
      <c r="E1169">
        <v>193</v>
      </c>
      <c r="F1169">
        <v>443.15</v>
      </c>
      <c r="G1169" s="18">
        <v>45529</v>
      </c>
      <c r="H1169" s="18">
        <v>45529</v>
      </c>
      <c r="I1169">
        <v>193</v>
      </c>
      <c r="J1169">
        <v>85527.95</v>
      </c>
      <c r="K1169">
        <f>IF(tblPO[[#This Row],[Actual_Delivery_Date]]&lt;=tblPO[[#This Row],[Expected_Delivery_Date]],1,0)</f>
        <v>1</v>
      </c>
      <c r="L1169">
        <f>IF(tblPO[[#This Row],[Actual_Delivery_Date]]&gt;tblPO[[#This Row],[Expected_Delivery_Date]],1,0)</f>
        <v>0</v>
      </c>
      <c r="M1169">
        <f>tblPO[[#This Row],[Actual_Delivery_Date]]-tblPO[[#This Row],[PO_Date]]</f>
        <v>5</v>
      </c>
    </row>
    <row r="1170" spans="1:13" x14ac:dyDescent="0.3">
      <c r="A1170" t="s">
        <v>1088</v>
      </c>
      <c r="B1170" s="18">
        <v>45511</v>
      </c>
      <c r="C1170" t="s">
        <v>39</v>
      </c>
      <c r="D1170" t="s">
        <v>164</v>
      </c>
      <c r="E1170">
        <v>91</v>
      </c>
      <c r="F1170">
        <v>145.35</v>
      </c>
      <c r="G1170" s="18">
        <v>45529</v>
      </c>
      <c r="H1170" s="18">
        <v>45529</v>
      </c>
      <c r="I1170">
        <v>91</v>
      </c>
      <c r="J1170">
        <v>13226.85</v>
      </c>
      <c r="K1170">
        <f>IF(tblPO[[#This Row],[Actual_Delivery_Date]]&lt;=tblPO[[#This Row],[Expected_Delivery_Date]],1,0)</f>
        <v>1</v>
      </c>
      <c r="L1170">
        <f>IF(tblPO[[#This Row],[Actual_Delivery_Date]]&gt;tblPO[[#This Row],[Expected_Delivery_Date]],1,0)</f>
        <v>0</v>
      </c>
      <c r="M1170">
        <f>tblPO[[#This Row],[Actual_Delivery_Date]]-tblPO[[#This Row],[PO_Date]]</f>
        <v>18</v>
      </c>
    </row>
    <row r="1171" spans="1:13" x14ac:dyDescent="0.3">
      <c r="A1171" t="s">
        <v>1087</v>
      </c>
      <c r="B1171" s="18">
        <v>45519</v>
      </c>
      <c r="C1171" t="s">
        <v>67</v>
      </c>
      <c r="D1171" t="s">
        <v>102</v>
      </c>
      <c r="E1171">
        <v>41</v>
      </c>
      <c r="F1171">
        <v>568.4</v>
      </c>
      <c r="G1171" s="18">
        <v>45536</v>
      </c>
      <c r="H1171" s="18">
        <v>45536</v>
      </c>
      <c r="I1171">
        <v>41</v>
      </c>
      <c r="J1171">
        <v>23304.400000000001</v>
      </c>
      <c r="K1171">
        <f>IF(tblPO[[#This Row],[Actual_Delivery_Date]]&lt;=tblPO[[#This Row],[Expected_Delivery_Date]],1,0)</f>
        <v>1</v>
      </c>
      <c r="L1171">
        <f>IF(tblPO[[#This Row],[Actual_Delivery_Date]]&gt;tblPO[[#This Row],[Expected_Delivery_Date]],1,0)</f>
        <v>0</v>
      </c>
      <c r="M1171">
        <f>tblPO[[#This Row],[Actual_Delivery_Date]]-tblPO[[#This Row],[PO_Date]]</f>
        <v>17</v>
      </c>
    </row>
    <row r="1172" spans="1:13" x14ac:dyDescent="0.3">
      <c r="A1172" t="s">
        <v>1086</v>
      </c>
      <c r="B1172" s="18">
        <v>45530</v>
      </c>
      <c r="C1172" t="s">
        <v>43</v>
      </c>
      <c r="D1172" t="s">
        <v>176</v>
      </c>
      <c r="E1172">
        <v>709</v>
      </c>
      <c r="F1172">
        <v>37.15</v>
      </c>
      <c r="G1172" s="18">
        <v>45533</v>
      </c>
      <c r="H1172" s="18">
        <v>45536</v>
      </c>
      <c r="I1172">
        <v>709</v>
      </c>
      <c r="J1172">
        <v>26339.35</v>
      </c>
      <c r="K1172">
        <f>IF(tblPO[[#This Row],[Actual_Delivery_Date]]&lt;=tblPO[[#This Row],[Expected_Delivery_Date]],1,0)</f>
        <v>0</v>
      </c>
      <c r="L1172">
        <f>IF(tblPO[[#This Row],[Actual_Delivery_Date]]&gt;tblPO[[#This Row],[Expected_Delivery_Date]],1,0)</f>
        <v>1</v>
      </c>
      <c r="M1172">
        <f>tblPO[[#This Row],[Actual_Delivery_Date]]-tblPO[[#This Row],[PO_Date]]</f>
        <v>6</v>
      </c>
    </row>
    <row r="1173" spans="1:13" x14ac:dyDescent="0.3">
      <c r="A1173" t="s">
        <v>1085</v>
      </c>
      <c r="B1173" s="18">
        <v>45534</v>
      </c>
      <c r="C1173" t="s">
        <v>44</v>
      </c>
      <c r="D1173" t="s">
        <v>197</v>
      </c>
      <c r="E1173">
        <v>146</v>
      </c>
      <c r="F1173">
        <v>221.1</v>
      </c>
      <c r="G1173" s="18">
        <v>45562</v>
      </c>
      <c r="H1173" s="18">
        <v>45559</v>
      </c>
      <c r="I1173">
        <v>130</v>
      </c>
      <c r="J1173">
        <v>32280.6</v>
      </c>
      <c r="K1173">
        <f>IF(tblPO[[#This Row],[Actual_Delivery_Date]]&lt;=tblPO[[#This Row],[Expected_Delivery_Date]],1,0)</f>
        <v>1</v>
      </c>
      <c r="L1173">
        <f>IF(tblPO[[#This Row],[Actual_Delivery_Date]]&gt;tblPO[[#This Row],[Expected_Delivery_Date]],1,0)</f>
        <v>0</v>
      </c>
      <c r="M1173">
        <f>tblPO[[#This Row],[Actual_Delivery_Date]]-tblPO[[#This Row],[PO_Date]]</f>
        <v>25</v>
      </c>
    </row>
    <row r="1174" spans="1:13" x14ac:dyDescent="0.3">
      <c r="A1174" t="s">
        <v>1084</v>
      </c>
      <c r="B1174" s="18">
        <v>45513</v>
      </c>
      <c r="C1174" t="s">
        <v>43</v>
      </c>
      <c r="D1174" t="s">
        <v>152</v>
      </c>
      <c r="E1174">
        <v>358</v>
      </c>
      <c r="F1174">
        <v>78.66</v>
      </c>
      <c r="G1174" s="18">
        <v>45526</v>
      </c>
      <c r="H1174" s="18">
        <v>45526</v>
      </c>
      <c r="I1174">
        <v>345</v>
      </c>
      <c r="J1174">
        <v>28160.28</v>
      </c>
      <c r="K1174">
        <f>IF(tblPO[[#This Row],[Actual_Delivery_Date]]&lt;=tblPO[[#This Row],[Expected_Delivery_Date]],1,0)</f>
        <v>1</v>
      </c>
      <c r="L1174">
        <f>IF(tblPO[[#This Row],[Actual_Delivery_Date]]&gt;tblPO[[#This Row],[Expected_Delivery_Date]],1,0)</f>
        <v>0</v>
      </c>
      <c r="M1174">
        <f>tblPO[[#This Row],[Actual_Delivery_Date]]-tblPO[[#This Row],[PO_Date]]</f>
        <v>13</v>
      </c>
    </row>
    <row r="1175" spans="1:13" x14ac:dyDescent="0.3">
      <c r="A1175" t="s">
        <v>1083</v>
      </c>
      <c r="B1175" s="18">
        <v>45514</v>
      </c>
      <c r="C1175" t="s">
        <v>38</v>
      </c>
      <c r="D1175" t="s">
        <v>221</v>
      </c>
      <c r="E1175">
        <v>14</v>
      </c>
      <c r="F1175">
        <v>1967.52</v>
      </c>
      <c r="G1175" s="18">
        <v>45531</v>
      </c>
      <c r="H1175" s="18">
        <v>45528</v>
      </c>
      <c r="I1175">
        <v>14</v>
      </c>
      <c r="J1175">
        <v>27545.279999999999</v>
      </c>
      <c r="K1175">
        <f>IF(tblPO[[#This Row],[Actual_Delivery_Date]]&lt;=tblPO[[#This Row],[Expected_Delivery_Date]],1,0)</f>
        <v>1</v>
      </c>
      <c r="L1175">
        <f>IF(tblPO[[#This Row],[Actual_Delivery_Date]]&gt;tblPO[[#This Row],[Expected_Delivery_Date]],1,0)</f>
        <v>0</v>
      </c>
      <c r="M1175">
        <f>tblPO[[#This Row],[Actual_Delivery_Date]]-tblPO[[#This Row],[PO_Date]]</f>
        <v>14</v>
      </c>
    </row>
    <row r="1176" spans="1:13" x14ac:dyDescent="0.3">
      <c r="A1176" t="s">
        <v>1082</v>
      </c>
      <c r="B1176" s="18">
        <v>45506</v>
      </c>
      <c r="C1176" t="s">
        <v>42</v>
      </c>
      <c r="D1176" t="s">
        <v>92</v>
      </c>
      <c r="E1176">
        <v>9</v>
      </c>
      <c r="F1176">
        <v>4488.67</v>
      </c>
      <c r="G1176" s="18">
        <v>45518</v>
      </c>
      <c r="H1176" s="18">
        <v>45517</v>
      </c>
      <c r="I1176">
        <v>9</v>
      </c>
      <c r="J1176">
        <v>40398.03</v>
      </c>
      <c r="K1176">
        <f>IF(tblPO[[#This Row],[Actual_Delivery_Date]]&lt;=tblPO[[#This Row],[Expected_Delivery_Date]],1,0)</f>
        <v>1</v>
      </c>
      <c r="L1176">
        <f>IF(tblPO[[#This Row],[Actual_Delivery_Date]]&gt;tblPO[[#This Row],[Expected_Delivery_Date]],1,0)</f>
        <v>0</v>
      </c>
      <c r="M1176">
        <f>tblPO[[#This Row],[Actual_Delivery_Date]]-tblPO[[#This Row],[PO_Date]]</f>
        <v>11</v>
      </c>
    </row>
    <row r="1177" spans="1:13" x14ac:dyDescent="0.3">
      <c r="A1177" t="s">
        <v>1081</v>
      </c>
      <c r="B1177" s="18">
        <v>45507</v>
      </c>
      <c r="C1177" t="s">
        <v>48</v>
      </c>
      <c r="D1177" t="s">
        <v>154</v>
      </c>
      <c r="E1177">
        <v>224</v>
      </c>
      <c r="F1177">
        <v>87.95</v>
      </c>
      <c r="G1177" s="18">
        <v>45525</v>
      </c>
      <c r="H1177" s="18">
        <v>45524</v>
      </c>
      <c r="I1177">
        <v>224</v>
      </c>
      <c r="J1177">
        <v>19700.8</v>
      </c>
      <c r="K1177">
        <f>IF(tblPO[[#This Row],[Actual_Delivery_Date]]&lt;=tblPO[[#This Row],[Expected_Delivery_Date]],1,0)</f>
        <v>1</v>
      </c>
      <c r="L1177">
        <f>IF(tblPO[[#This Row],[Actual_Delivery_Date]]&gt;tblPO[[#This Row],[Expected_Delivery_Date]],1,0)</f>
        <v>0</v>
      </c>
      <c r="M1177">
        <f>tblPO[[#This Row],[Actual_Delivery_Date]]-tblPO[[#This Row],[PO_Date]]</f>
        <v>17</v>
      </c>
    </row>
    <row r="1178" spans="1:13" x14ac:dyDescent="0.3">
      <c r="A1178" t="s">
        <v>1080</v>
      </c>
      <c r="B1178" s="18">
        <v>45532</v>
      </c>
      <c r="C1178" t="s">
        <v>40</v>
      </c>
      <c r="D1178" t="s">
        <v>125</v>
      </c>
      <c r="E1178">
        <v>186</v>
      </c>
      <c r="F1178">
        <v>1036.57</v>
      </c>
      <c r="G1178" s="18">
        <v>45536</v>
      </c>
      <c r="H1178" s="18">
        <v>45533</v>
      </c>
      <c r="I1178">
        <v>186</v>
      </c>
      <c r="J1178">
        <v>192802.02</v>
      </c>
      <c r="K1178">
        <f>IF(tblPO[[#This Row],[Actual_Delivery_Date]]&lt;=tblPO[[#This Row],[Expected_Delivery_Date]],1,0)</f>
        <v>1</v>
      </c>
      <c r="L1178">
        <f>IF(tblPO[[#This Row],[Actual_Delivery_Date]]&gt;tblPO[[#This Row],[Expected_Delivery_Date]],1,0)</f>
        <v>0</v>
      </c>
      <c r="M1178">
        <f>tblPO[[#This Row],[Actual_Delivery_Date]]-tblPO[[#This Row],[PO_Date]]</f>
        <v>1</v>
      </c>
    </row>
    <row r="1179" spans="1:13" x14ac:dyDescent="0.3">
      <c r="A1179" t="s">
        <v>1079</v>
      </c>
      <c r="B1179" s="18">
        <v>45527</v>
      </c>
      <c r="C1179" t="s">
        <v>53</v>
      </c>
      <c r="D1179" t="s">
        <v>102</v>
      </c>
      <c r="E1179">
        <v>94</v>
      </c>
      <c r="F1179">
        <v>577.66999999999996</v>
      </c>
      <c r="G1179" s="18">
        <v>45551</v>
      </c>
      <c r="H1179" s="18">
        <v>45549</v>
      </c>
      <c r="I1179">
        <v>94</v>
      </c>
      <c r="J1179">
        <v>54300.98</v>
      </c>
      <c r="K1179">
        <f>IF(tblPO[[#This Row],[Actual_Delivery_Date]]&lt;=tblPO[[#This Row],[Expected_Delivery_Date]],1,0)</f>
        <v>1</v>
      </c>
      <c r="L1179">
        <f>IF(tblPO[[#This Row],[Actual_Delivery_Date]]&gt;tblPO[[#This Row],[Expected_Delivery_Date]],1,0)</f>
        <v>0</v>
      </c>
      <c r="M1179">
        <f>tblPO[[#This Row],[Actual_Delivery_Date]]-tblPO[[#This Row],[PO_Date]]</f>
        <v>22</v>
      </c>
    </row>
    <row r="1180" spans="1:13" x14ac:dyDescent="0.3">
      <c r="A1180" t="s">
        <v>1078</v>
      </c>
      <c r="B1180" s="18">
        <v>45515</v>
      </c>
      <c r="C1180" t="s">
        <v>39</v>
      </c>
      <c r="D1180" t="s">
        <v>158</v>
      </c>
      <c r="E1180">
        <v>42</v>
      </c>
      <c r="F1180">
        <v>129.38999999999999</v>
      </c>
      <c r="G1180" s="18">
        <v>45531</v>
      </c>
      <c r="H1180" s="18">
        <v>45531</v>
      </c>
      <c r="I1180">
        <v>42</v>
      </c>
      <c r="J1180">
        <v>5434.38</v>
      </c>
      <c r="K1180">
        <f>IF(tblPO[[#This Row],[Actual_Delivery_Date]]&lt;=tblPO[[#This Row],[Expected_Delivery_Date]],1,0)</f>
        <v>1</v>
      </c>
      <c r="L1180">
        <f>IF(tblPO[[#This Row],[Actual_Delivery_Date]]&gt;tblPO[[#This Row],[Expected_Delivery_Date]],1,0)</f>
        <v>0</v>
      </c>
      <c r="M1180">
        <f>tblPO[[#This Row],[Actual_Delivery_Date]]-tblPO[[#This Row],[PO_Date]]</f>
        <v>16</v>
      </c>
    </row>
    <row r="1181" spans="1:13" x14ac:dyDescent="0.3">
      <c r="A1181" t="s">
        <v>1077</v>
      </c>
      <c r="B1181" s="18">
        <v>45523</v>
      </c>
      <c r="C1181" t="s">
        <v>45</v>
      </c>
      <c r="D1181" t="s">
        <v>245</v>
      </c>
      <c r="E1181">
        <v>9</v>
      </c>
      <c r="F1181">
        <v>3996.95</v>
      </c>
      <c r="G1181" s="18">
        <v>45541</v>
      </c>
      <c r="H1181" s="18">
        <v>45540</v>
      </c>
      <c r="I1181">
        <v>9</v>
      </c>
      <c r="J1181">
        <v>35972.550000000003</v>
      </c>
      <c r="K1181">
        <f>IF(tblPO[[#This Row],[Actual_Delivery_Date]]&lt;=tblPO[[#This Row],[Expected_Delivery_Date]],1,0)</f>
        <v>1</v>
      </c>
      <c r="L1181">
        <f>IF(tblPO[[#This Row],[Actual_Delivery_Date]]&gt;tblPO[[#This Row],[Expected_Delivery_Date]],1,0)</f>
        <v>0</v>
      </c>
      <c r="M1181">
        <f>tblPO[[#This Row],[Actual_Delivery_Date]]-tblPO[[#This Row],[PO_Date]]</f>
        <v>17</v>
      </c>
    </row>
    <row r="1182" spans="1:13" x14ac:dyDescent="0.3">
      <c r="A1182" t="s">
        <v>1076</v>
      </c>
      <c r="B1182" s="18">
        <v>45529</v>
      </c>
      <c r="C1182" t="s">
        <v>47</v>
      </c>
      <c r="D1182" t="s">
        <v>221</v>
      </c>
      <c r="E1182">
        <v>10</v>
      </c>
      <c r="F1182">
        <v>1525.78</v>
      </c>
      <c r="G1182" s="18">
        <v>45541</v>
      </c>
      <c r="H1182" s="18">
        <v>45540</v>
      </c>
      <c r="I1182">
        <v>10</v>
      </c>
      <c r="J1182">
        <v>15257.8</v>
      </c>
      <c r="K1182">
        <f>IF(tblPO[[#This Row],[Actual_Delivery_Date]]&lt;=tblPO[[#This Row],[Expected_Delivery_Date]],1,0)</f>
        <v>1</v>
      </c>
      <c r="L1182">
        <f>IF(tblPO[[#This Row],[Actual_Delivery_Date]]&gt;tblPO[[#This Row],[Expected_Delivery_Date]],1,0)</f>
        <v>0</v>
      </c>
      <c r="M1182">
        <f>tblPO[[#This Row],[Actual_Delivery_Date]]-tblPO[[#This Row],[PO_Date]]</f>
        <v>11</v>
      </c>
    </row>
    <row r="1183" spans="1:13" x14ac:dyDescent="0.3">
      <c r="A1183" t="s">
        <v>1075</v>
      </c>
      <c r="B1183" s="18">
        <v>45527</v>
      </c>
      <c r="C1183" t="s">
        <v>66</v>
      </c>
      <c r="D1183" t="s">
        <v>237</v>
      </c>
      <c r="E1183">
        <v>260</v>
      </c>
      <c r="F1183">
        <v>75.75</v>
      </c>
      <c r="G1183" s="18">
        <v>45532</v>
      </c>
      <c r="H1183" s="18">
        <v>45532</v>
      </c>
      <c r="I1183">
        <v>229</v>
      </c>
      <c r="J1183">
        <v>19695</v>
      </c>
      <c r="K1183">
        <f>IF(tblPO[[#This Row],[Actual_Delivery_Date]]&lt;=tblPO[[#This Row],[Expected_Delivery_Date]],1,0)</f>
        <v>1</v>
      </c>
      <c r="L1183">
        <f>IF(tblPO[[#This Row],[Actual_Delivery_Date]]&gt;tblPO[[#This Row],[Expected_Delivery_Date]],1,0)</f>
        <v>0</v>
      </c>
      <c r="M1183">
        <f>tblPO[[#This Row],[Actual_Delivery_Date]]-tblPO[[#This Row],[PO_Date]]</f>
        <v>5</v>
      </c>
    </row>
    <row r="1184" spans="1:13" x14ac:dyDescent="0.3">
      <c r="A1184" t="s">
        <v>1074</v>
      </c>
      <c r="B1184" s="18">
        <v>45511</v>
      </c>
      <c r="C1184" t="s">
        <v>39</v>
      </c>
      <c r="D1184" t="s">
        <v>170</v>
      </c>
      <c r="E1184">
        <v>444</v>
      </c>
      <c r="F1184">
        <v>91.81</v>
      </c>
      <c r="G1184" s="18">
        <v>45538</v>
      </c>
      <c r="H1184" s="18">
        <v>45536</v>
      </c>
      <c r="I1184">
        <v>444</v>
      </c>
      <c r="J1184">
        <v>40763.64</v>
      </c>
      <c r="K1184">
        <f>IF(tblPO[[#This Row],[Actual_Delivery_Date]]&lt;=tblPO[[#This Row],[Expected_Delivery_Date]],1,0)</f>
        <v>1</v>
      </c>
      <c r="L1184">
        <f>IF(tblPO[[#This Row],[Actual_Delivery_Date]]&gt;tblPO[[#This Row],[Expected_Delivery_Date]],1,0)</f>
        <v>0</v>
      </c>
      <c r="M1184">
        <f>tblPO[[#This Row],[Actual_Delivery_Date]]-tblPO[[#This Row],[PO_Date]]</f>
        <v>25</v>
      </c>
    </row>
    <row r="1185" spans="1:13" x14ac:dyDescent="0.3">
      <c r="A1185" t="s">
        <v>1073</v>
      </c>
      <c r="B1185" s="18">
        <v>45529</v>
      </c>
      <c r="C1185" t="s">
        <v>40</v>
      </c>
      <c r="D1185" t="s">
        <v>117</v>
      </c>
      <c r="E1185">
        <v>90</v>
      </c>
      <c r="F1185">
        <v>336.74</v>
      </c>
      <c r="G1185" s="18">
        <v>45541</v>
      </c>
      <c r="H1185" s="18">
        <v>45539</v>
      </c>
      <c r="I1185">
        <v>90</v>
      </c>
      <c r="J1185">
        <v>30306.6</v>
      </c>
      <c r="K1185">
        <f>IF(tblPO[[#This Row],[Actual_Delivery_Date]]&lt;=tblPO[[#This Row],[Expected_Delivery_Date]],1,0)</f>
        <v>1</v>
      </c>
      <c r="L1185">
        <f>IF(tblPO[[#This Row],[Actual_Delivery_Date]]&gt;tblPO[[#This Row],[Expected_Delivery_Date]],1,0)</f>
        <v>0</v>
      </c>
      <c r="M1185">
        <f>tblPO[[#This Row],[Actual_Delivery_Date]]-tblPO[[#This Row],[PO_Date]]</f>
        <v>10</v>
      </c>
    </row>
    <row r="1186" spans="1:13" x14ac:dyDescent="0.3">
      <c r="A1186" t="s">
        <v>1072</v>
      </c>
      <c r="B1186" s="18">
        <v>45534</v>
      </c>
      <c r="C1186" t="s">
        <v>47</v>
      </c>
      <c r="D1186" t="s">
        <v>245</v>
      </c>
      <c r="E1186">
        <v>9</v>
      </c>
      <c r="F1186">
        <v>3471.32</v>
      </c>
      <c r="G1186" s="18">
        <v>45548</v>
      </c>
      <c r="H1186" s="18">
        <v>45548</v>
      </c>
      <c r="I1186">
        <v>9</v>
      </c>
      <c r="J1186">
        <v>31241.88</v>
      </c>
      <c r="K1186">
        <f>IF(tblPO[[#This Row],[Actual_Delivery_Date]]&lt;=tblPO[[#This Row],[Expected_Delivery_Date]],1,0)</f>
        <v>1</v>
      </c>
      <c r="L1186">
        <f>IF(tblPO[[#This Row],[Actual_Delivery_Date]]&gt;tblPO[[#This Row],[Expected_Delivery_Date]],1,0)</f>
        <v>0</v>
      </c>
      <c r="M1186">
        <f>tblPO[[#This Row],[Actual_Delivery_Date]]-tblPO[[#This Row],[PO_Date]]</f>
        <v>14</v>
      </c>
    </row>
    <row r="1187" spans="1:13" x14ac:dyDescent="0.3">
      <c r="A1187" t="s">
        <v>1071</v>
      </c>
      <c r="B1187" s="18">
        <v>45511</v>
      </c>
      <c r="C1187" t="s">
        <v>70</v>
      </c>
      <c r="D1187" t="s">
        <v>193</v>
      </c>
      <c r="E1187">
        <v>459</v>
      </c>
      <c r="F1187">
        <v>30.41</v>
      </c>
      <c r="G1187" s="18">
        <v>45516</v>
      </c>
      <c r="H1187" s="18">
        <v>45514</v>
      </c>
      <c r="I1187">
        <v>459</v>
      </c>
      <c r="J1187">
        <v>13958.19</v>
      </c>
      <c r="K1187">
        <f>IF(tblPO[[#This Row],[Actual_Delivery_Date]]&lt;=tblPO[[#This Row],[Expected_Delivery_Date]],1,0)</f>
        <v>1</v>
      </c>
      <c r="L1187">
        <f>IF(tblPO[[#This Row],[Actual_Delivery_Date]]&gt;tblPO[[#This Row],[Expected_Delivery_Date]],1,0)</f>
        <v>0</v>
      </c>
      <c r="M1187">
        <f>tblPO[[#This Row],[Actual_Delivery_Date]]-tblPO[[#This Row],[PO_Date]]</f>
        <v>3</v>
      </c>
    </row>
    <row r="1188" spans="1:13" x14ac:dyDescent="0.3">
      <c r="A1188" t="s">
        <v>1070</v>
      </c>
      <c r="B1188" s="18">
        <v>45519</v>
      </c>
      <c r="C1188" t="s">
        <v>55</v>
      </c>
      <c r="D1188" t="s">
        <v>215</v>
      </c>
      <c r="E1188">
        <v>6</v>
      </c>
      <c r="F1188">
        <v>4306.5200000000004</v>
      </c>
      <c r="G1188" s="18">
        <v>45534</v>
      </c>
      <c r="H1188" s="18">
        <v>45532</v>
      </c>
      <c r="I1188">
        <v>5</v>
      </c>
      <c r="J1188">
        <v>25839.119999999999</v>
      </c>
      <c r="K1188">
        <f>IF(tblPO[[#This Row],[Actual_Delivery_Date]]&lt;=tblPO[[#This Row],[Expected_Delivery_Date]],1,0)</f>
        <v>1</v>
      </c>
      <c r="L1188">
        <f>IF(tblPO[[#This Row],[Actual_Delivery_Date]]&gt;tblPO[[#This Row],[Expected_Delivery_Date]],1,0)</f>
        <v>0</v>
      </c>
      <c r="M1188">
        <f>tblPO[[#This Row],[Actual_Delivery_Date]]-tblPO[[#This Row],[PO_Date]]</f>
        <v>13</v>
      </c>
    </row>
    <row r="1189" spans="1:13" x14ac:dyDescent="0.3">
      <c r="A1189" t="s">
        <v>1069</v>
      </c>
      <c r="B1189" s="18">
        <v>45521</v>
      </c>
      <c r="C1189" t="s">
        <v>38</v>
      </c>
      <c r="D1189" t="s">
        <v>235</v>
      </c>
      <c r="E1189">
        <v>727</v>
      </c>
      <c r="F1189">
        <v>73.13</v>
      </c>
      <c r="G1189" s="18">
        <v>45538</v>
      </c>
      <c r="H1189" s="18">
        <v>45535</v>
      </c>
      <c r="I1189">
        <v>727</v>
      </c>
      <c r="J1189">
        <v>53165.51</v>
      </c>
      <c r="K1189">
        <f>IF(tblPO[[#This Row],[Actual_Delivery_Date]]&lt;=tblPO[[#This Row],[Expected_Delivery_Date]],1,0)</f>
        <v>1</v>
      </c>
      <c r="L1189">
        <f>IF(tblPO[[#This Row],[Actual_Delivery_Date]]&gt;tblPO[[#This Row],[Expected_Delivery_Date]],1,0)</f>
        <v>0</v>
      </c>
      <c r="M1189">
        <f>tblPO[[#This Row],[Actual_Delivery_Date]]-tblPO[[#This Row],[PO_Date]]</f>
        <v>14</v>
      </c>
    </row>
    <row r="1190" spans="1:13" x14ac:dyDescent="0.3">
      <c r="A1190" t="s">
        <v>1068</v>
      </c>
      <c r="B1190" s="18">
        <v>45509</v>
      </c>
      <c r="C1190" t="s">
        <v>56</v>
      </c>
      <c r="D1190" t="s">
        <v>140</v>
      </c>
      <c r="E1190">
        <v>64</v>
      </c>
      <c r="F1190">
        <v>373.6</v>
      </c>
      <c r="G1190" s="18">
        <v>45524</v>
      </c>
      <c r="H1190" s="18">
        <v>45523</v>
      </c>
      <c r="I1190">
        <v>58</v>
      </c>
      <c r="J1190">
        <v>23910.400000000001</v>
      </c>
      <c r="K1190">
        <f>IF(tblPO[[#This Row],[Actual_Delivery_Date]]&lt;=tblPO[[#This Row],[Expected_Delivery_Date]],1,0)</f>
        <v>1</v>
      </c>
      <c r="L1190">
        <f>IF(tblPO[[#This Row],[Actual_Delivery_Date]]&gt;tblPO[[#This Row],[Expected_Delivery_Date]],1,0)</f>
        <v>0</v>
      </c>
      <c r="M1190">
        <f>tblPO[[#This Row],[Actual_Delivery_Date]]-tblPO[[#This Row],[PO_Date]]</f>
        <v>14</v>
      </c>
    </row>
    <row r="1191" spans="1:13" x14ac:dyDescent="0.3">
      <c r="A1191" t="s">
        <v>1067</v>
      </c>
      <c r="B1191" s="18">
        <v>45528</v>
      </c>
      <c r="C1191" t="s">
        <v>55</v>
      </c>
      <c r="D1191" t="s">
        <v>245</v>
      </c>
      <c r="E1191">
        <v>14</v>
      </c>
      <c r="F1191">
        <v>4534.33</v>
      </c>
      <c r="G1191" s="18">
        <v>45553</v>
      </c>
      <c r="H1191" s="18">
        <v>45551</v>
      </c>
      <c r="I1191">
        <v>14</v>
      </c>
      <c r="J1191">
        <v>63480.62</v>
      </c>
      <c r="K1191">
        <f>IF(tblPO[[#This Row],[Actual_Delivery_Date]]&lt;=tblPO[[#This Row],[Expected_Delivery_Date]],1,0)</f>
        <v>1</v>
      </c>
      <c r="L1191">
        <f>IF(tblPO[[#This Row],[Actual_Delivery_Date]]&gt;tblPO[[#This Row],[Expected_Delivery_Date]],1,0)</f>
        <v>0</v>
      </c>
      <c r="M1191">
        <f>tblPO[[#This Row],[Actual_Delivery_Date]]-tblPO[[#This Row],[PO_Date]]</f>
        <v>23</v>
      </c>
    </row>
    <row r="1192" spans="1:13" x14ac:dyDescent="0.3">
      <c r="A1192" t="s">
        <v>1066</v>
      </c>
      <c r="B1192" s="18">
        <v>45520</v>
      </c>
      <c r="C1192" t="s">
        <v>69</v>
      </c>
      <c r="D1192" t="s">
        <v>123</v>
      </c>
      <c r="E1192">
        <v>21</v>
      </c>
      <c r="F1192">
        <v>1013.5</v>
      </c>
      <c r="G1192" s="18">
        <v>45536</v>
      </c>
      <c r="H1192" s="18">
        <v>45533</v>
      </c>
      <c r="I1192">
        <v>21</v>
      </c>
      <c r="J1192">
        <v>21283.5</v>
      </c>
      <c r="K1192">
        <f>IF(tblPO[[#This Row],[Actual_Delivery_Date]]&lt;=tblPO[[#This Row],[Expected_Delivery_Date]],1,0)</f>
        <v>1</v>
      </c>
      <c r="L1192">
        <f>IF(tblPO[[#This Row],[Actual_Delivery_Date]]&gt;tblPO[[#This Row],[Expected_Delivery_Date]],1,0)</f>
        <v>0</v>
      </c>
      <c r="M1192">
        <f>tblPO[[#This Row],[Actual_Delivery_Date]]-tblPO[[#This Row],[PO_Date]]</f>
        <v>13</v>
      </c>
    </row>
    <row r="1193" spans="1:13" x14ac:dyDescent="0.3">
      <c r="A1193" t="s">
        <v>1065</v>
      </c>
      <c r="B1193" s="18">
        <v>45533</v>
      </c>
      <c r="C1193" t="s">
        <v>40</v>
      </c>
      <c r="D1193" t="s">
        <v>140</v>
      </c>
      <c r="E1193">
        <v>23</v>
      </c>
      <c r="F1193">
        <v>431.11</v>
      </c>
      <c r="G1193" s="18">
        <v>45537</v>
      </c>
      <c r="H1193" s="18">
        <v>45535</v>
      </c>
      <c r="I1193">
        <v>20</v>
      </c>
      <c r="J1193">
        <v>9915.5300000000007</v>
      </c>
      <c r="K1193">
        <f>IF(tblPO[[#This Row],[Actual_Delivery_Date]]&lt;=tblPO[[#This Row],[Expected_Delivery_Date]],1,0)</f>
        <v>1</v>
      </c>
      <c r="L1193">
        <f>IF(tblPO[[#This Row],[Actual_Delivery_Date]]&gt;tblPO[[#This Row],[Expected_Delivery_Date]],1,0)</f>
        <v>0</v>
      </c>
      <c r="M1193">
        <f>tblPO[[#This Row],[Actual_Delivery_Date]]-tblPO[[#This Row],[PO_Date]]</f>
        <v>2</v>
      </c>
    </row>
    <row r="1194" spans="1:13" x14ac:dyDescent="0.3">
      <c r="A1194" t="s">
        <v>1064</v>
      </c>
      <c r="B1194" s="18">
        <v>45527</v>
      </c>
      <c r="C1194" t="s">
        <v>40</v>
      </c>
      <c r="D1194" t="s">
        <v>136</v>
      </c>
      <c r="E1194">
        <v>189</v>
      </c>
      <c r="F1194">
        <v>703.39</v>
      </c>
      <c r="G1194" s="18">
        <v>45542</v>
      </c>
      <c r="H1194" s="18">
        <v>45539</v>
      </c>
      <c r="I1194">
        <v>189</v>
      </c>
      <c r="J1194">
        <v>132940.71</v>
      </c>
      <c r="K1194">
        <f>IF(tblPO[[#This Row],[Actual_Delivery_Date]]&lt;=tblPO[[#This Row],[Expected_Delivery_Date]],1,0)</f>
        <v>1</v>
      </c>
      <c r="L1194">
        <f>IF(tblPO[[#This Row],[Actual_Delivery_Date]]&gt;tblPO[[#This Row],[Expected_Delivery_Date]],1,0)</f>
        <v>0</v>
      </c>
      <c r="M1194">
        <f>tblPO[[#This Row],[Actual_Delivery_Date]]-tblPO[[#This Row],[PO_Date]]</f>
        <v>12</v>
      </c>
    </row>
    <row r="1195" spans="1:13" x14ac:dyDescent="0.3">
      <c r="A1195" t="s">
        <v>1063</v>
      </c>
      <c r="B1195" s="18">
        <v>45530</v>
      </c>
      <c r="C1195" t="s">
        <v>38</v>
      </c>
      <c r="D1195" t="s">
        <v>235</v>
      </c>
      <c r="E1195">
        <v>225</v>
      </c>
      <c r="F1195">
        <v>75.97</v>
      </c>
      <c r="G1195" s="18">
        <v>45539</v>
      </c>
      <c r="H1195" s="18">
        <v>45538</v>
      </c>
      <c r="I1195">
        <v>225</v>
      </c>
      <c r="J1195">
        <v>17093.25</v>
      </c>
      <c r="K1195">
        <f>IF(tblPO[[#This Row],[Actual_Delivery_Date]]&lt;=tblPO[[#This Row],[Expected_Delivery_Date]],1,0)</f>
        <v>1</v>
      </c>
      <c r="L1195">
        <f>IF(tblPO[[#This Row],[Actual_Delivery_Date]]&gt;tblPO[[#This Row],[Expected_Delivery_Date]],1,0)</f>
        <v>0</v>
      </c>
      <c r="M1195">
        <f>tblPO[[#This Row],[Actual_Delivery_Date]]-tblPO[[#This Row],[PO_Date]]</f>
        <v>8</v>
      </c>
    </row>
    <row r="1196" spans="1:13" x14ac:dyDescent="0.3">
      <c r="A1196" t="s">
        <v>1062</v>
      </c>
      <c r="B1196" s="18">
        <v>45510</v>
      </c>
      <c r="C1196" t="s">
        <v>54</v>
      </c>
      <c r="D1196" t="s">
        <v>201</v>
      </c>
      <c r="E1196">
        <v>146</v>
      </c>
      <c r="F1196">
        <v>35.76</v>
      </c>
      <c r="G1196" s="18">
        <v>45528</v>
      </c>
      <c r="H1196" s="18">
        <v>45526</v>
      </c>
      <c r="I1196">
        <v>146</v>
      </c>
      <c r="J1196">
        <v>5220.96</v>
      </c>
      <c r="K1196">
        <f>IF(tblPO[[#This Row],[Actual_Delivery_Date]]&lt;=tblPO[[#This Row],[Expected_Delivery_Date]],1,0)</f>
        <v>1</v>
      </c>
      <c r="L1196">
        <f>IF(tblPO[[#This Row],[Actual_Delivery_Date]]&gt;tblPO[[#This Row],[Expected_Delivery_Date]],1,0)</f>
        <v>0</v>
      </c>
      <c r="M1196">
        <f>tblPO[[#This Row],[Actual_Delivery_Date]]-tblPO[[#This Row],[PO_Date]]</f>
        <v>16</v>
      </c>
    </row>
    <row r="1197" spans="1:13" x14ac:dyDescent="0.3">
      <c r="A1197" t="s">
        <v>1061</v>
      </c>
      <c r="B1197" s="18">
        <v>45515</v>
      </c>
      <c r="C1197" t="s">
        <v>44</v>
      </c>
      <c r="D1197" t="s">
        <v>188</v>
      </c>
      <c r="E1197">
        <v>241</v>
      </c>
      <c r="F1197">
        <v>30.09</v>
      </c>
      <c r="G1197" s="18">
        <v>45541</v>
      </c>
      <c r="H1197" s="18">
        <v>45538</v>
      </c>
      <c r="I1197">
        <v>241</v>
      </c>
      <c r="J1197">
        <v>7251.69</v>
      </c>
      <c r="K1197">
        <f>IF(tblPO[[#This Row],[Actual_Delivery_Date]]&lt;=tblPO[[#This Row],[Expected_Delivery_Date]],1,0)</f>
        <v>1</v>
      </c>
      <c r="L1197">
        <f>IF(tblPO[[#This Row],[Actual_Delivery_Date]]&gt;tblPO[[#This Row],[Expected_Delivery_Date]],1,0)</f>
        <v>0</v>
      </c>
      <c r="M1197">
        <f>tblPO[[#This Row],[Actual_Delivery_Date]]-tblPO[[#This Row],[PO_Date]]</f>
        <v>23</v>
      </c>
    </row>
    <row r="1198" spans="1:13" x14ac:dyDescent="0.3">
      <c r="A1198" t="s">
        <v>1060</v>
      </c>
      <c r="B1198" s="18">
        <v>45513</v>
      </c>
      <c r="C1198" t="s">
        <v>41</v>
      </c>
      <c r="D1198" t="s">
        <v>197</v>
      </c>
      <c r="E1198">
        <v>55</v>
      </c>
      <c r="F1198">
        <v>254.18</v>
      </c>
      <c r="G1198" s="18">
        <v>45518</v>
      </c>
      <c r="H1198" s="18">
        <v>45515</v>
      </c>
      <c r="I1198">
        <v>55</v>
      </c>
      <c r="J1198">
        <v>13979.9</v>
      </c>
      <c r="K1198">
        <f>IF(tblPO[[#This Row],[Actual_Delivery_Date]]&lt;=tblPO[[#This Row],[Expected_Delivery_Date]],1,0)</f>
        <v>1</v>
      </c>
      <c r="L1198">
        <f>IF(tblPO[[#This Row],[Actual_Delivery_Date]]&gt;tblPO[[#This Row],[Expected_Delivery_Date]],1,0)</f>
        <v>0</v>
      </c>
      <c r="M1198">
        <f>tblPO[[#This Row],[Actual_Delivery_Date]]-tblPO[[#This Row],[PO_Date]]</f>
        <v>2</v>
      </c>
    </row>
    <row r="1199" spans="1:13" x14ac:dyDescent="0.3">
      <c r="A1199" t="s">
        <v>1059</v>
      </c>
      <c r="B1199" s="18">
        <v>45532</v>
      </c>
      <c r="C1199" t="s">
        <v>40</v>
      </c>
      <c r="D1199" t="s">
        <v>127</v>
      </c>
      <c r="E1199">
        <v>17</v>
      </c>
      <c r="F1199">
        <v>5813.42</v>
      </c>
      <c r="G1199" s="18">
        <v>45542</v>
      </c>
      <c r="H1199" s="18">
        <v>45539</v>
      </c>
      <c r="I1199">
        <v>17</v>
      </c>
      <c r="J1199">
        <v>98828.14</v>
      </c>
      <c r="K1199">
        <f>IF(tblPO[[#This Row],[Actual_Delivery_Date]]&lt;=tblPO[[#This Row],[Expected_Delivery_Date]],1,0)</f>
        <v>1</v>
      </c>
      <c r="L1199">
        <f>IF(tblPO[[#This Row],[Actual_Delivery_Date]]&gt;tblPO[[#This Row],[Expected_Delivery_Date]],1,0)</f>
        <v>0</v>
      </c>
      <c r="M1199">
        <f>tblPO[[#This Row],[Actual_Delivery_Date]]-tblPO[[#This Row],[PO_Date]]</f>
        <v>7</v>
      </c>
    </row>
    <row r="1200" spans="1:13" x14ac:dyDescent="0.3">
      <c r="A1200" t="s">
        <v>1058</v>
      </c>
      <c r="B1200" s="18">
        <v>45531</v>
      </c>
      <c r="C1200" t="s">
        <v>39</v>
      </c>
      <c r="D1200" t="s">
        <v>158</v>
      </c>
      <c r="E1200">
        <v>84</v>
      </c>
      <c r="F1200">
        <v>131.66999999999999</v>
      </c>
      <c r="G1200" s="18">
        <v>45550</v>
      </c>
      <c r="H1200" s="18">
        <v>45548</v>
      </c>
      <c r="I1200">
        <v>84</v>
      </c>
      <c r="J1200">
        <v>11060.28</v>
      </c>
      <c r="K1200">
        <f>IF(tblPO[[#This Row],[Actual_Delivery_Date]]&lt;=tblPO[[#This Row],[Expected_Delivery_Date]],1,0)</f>
        <v>1</v>
      </c>
      <c r="L1200">
        <f>IF(tblPO[[#This Row],[Actual_Delivery_Date]]&gt;tblPO[[#This Row],[Expected_Delivery_Date]],1,0)</f>
        <v>0</v>
      </c>
      <c r="M1200">
        <f>tblPO[[#This Row],[Actual_Delivery_Date]]-tblPO[[#This Row],[PO_Date]]</f>
        <v>17</v>
      </c>
    </row>
    <row r="1201" spans="1:13" x14ac:dyDescent="0.3">
      <c r="A1201" t="s">
        <v>1057</v>
      </c>
      <c r="B1201" s="18">
        <v>45530</v>
      </c>
      <c r="C1201" t="s">
        <v>41</v>
      </c>
      <c r="D1201" t="s">
        <v>183</v>
      </c>
      <c r="E1201">
        <v>361</v>
      </c>
      <c r="F1201">
        <v>10.68</v>
      </c>
      <c r="G1201" s="18">
        <v>45543</v>
      </c>
      <c r="H1201" s="18">
        <v>45542</v>
      </c>
      <c r="I1201">
        <v>361</v>
      </c>
      <c r="J1201">
        <v>3855.48</v>
      </c>
      <c r="K1201">
        <f>IF(tblPO[[#This Row],[Actual_Delivery_Date]]&lt;=tblPO[[#This Row],[Expected_Delivery_Date]],1,0)</f>
        <v>1</v>
      </c>
      <c r="L1201">
        <f>IF(tblPO[[#This Row],[Actual_Delivery_Date]]&gt;tblPO[[#This Row],[Expected_Delivery_Date]],1,0)</f>
        <v>0</v>
      </c>
      <c r="M1201">
        <f>tblPO[[#This Row],[Actual_Delivery_Date]]-tblPO[[#This Row],[PO_Date]]</f>
        <v>12</v>
      </c>
    </row>
    <row r="1202" spans="1:13" x14ac:dyDescent="0.3">
      <c r="A1202" t="s">
        <v>1056</v>
      </c>
      <c r="B1202" s="18">
        <v>45516</v>
      </c>
      <c r="C1202" t="s">
        <v>38</v>
      </c>
      <c r="D1202" t="s">
        <v>235</v>
      </c>
      <c r="E1202">
        <v>309</v>
      </c>
      <c r="F1202">
        <v>76.989999999999995</v>
      </c>
      <c r="G1202" s="18">
        <v>45533</v>
      </c>
      <c r="H1202" s="18">
        <v>45532</v>
      </c>
      <c r="I1202">
        <v>309</v>
      </c>
      <c r="J1202">
        <v>23789.91</v>
      </c>
      <c r="K1202">
        <f>IF(tblPO[[#This Row],[Actual_Delivery_Date]]&lt;=tblPO[[#This Row],[Expected_Delivery_Date]],1,0)</f>
        <v>1</v>
      </c>
      <c r="L1202">
        <f>IF(tblPO[[#This Row],[Actual_Delivery_Date]]&gt;tblPO[[#This Row],[Expected_Delivery_Date]],1,0)</f>
        <v>0</v>
      </c>
      <c r="M1202">
        <f>tblPO[[#This Row],[Actual_Delivery_Date]]-tblPO[[#This Row],[PO_Date]]</f>
        <v>16</v>
      </c>
    </row>
    <row r="1203" spans="1:13" x14ac:dyDescent="0.3">
      <c r="A1203" t="s">
        <v>1055</v>
      </c>
      <c r="B1203" s="18">
        <v>45532</v>
      </c>
      <c r="C1203" t="s">
        <v>60</v>
      </c>
      <c r="D1203" t="s">
        <v>132</v>
      </c>
      <c r="E1203">
        <v>23</v>
      </c>
      <c r="F1203">
        <v>2079.12</v>
      </c>
      <c r="G1203" s="18">
        <v>45550</v>
      </c>
      <c r="H1203" s="18">
        <v>45547</v>
      </c>
      <c r="I1203">
        <v>23</v>
      </c>
      <c r="J1203">
        <v>47819.76</v>
      </c>
      <c r="K1203">
        <f>IF(tblPO[[#This Row],[Actual_Delivery_Date]]&lt;=tblPO[[#This Row],[Expected_Delivery_Date]],1,0)</f>
        <v>1</v>
      </c>
      <c r="L1203">
        <f>IF(tblPO[[#This Row],[Actual_Delivery_Date]]&gt;tblPO[[#This Row],[Expected_Delivery_Date]],1,0)</f>
        <v>0</v>
      </c>
      <c r="M1203">
        <f>tblPO[[#This Row],[Actual_Delivery_Date]]-tblPO[[#This Row],[PO_Date]]</f>
        <v>15</v>
      </c>
    </row>
    <row r="1204" spans="1:13" x14ac:dyDescent="0.3">
      <c r="A1204" t="s">
        <v>1054</v>
      </c>
      <c r="B1204" s="18">
        <v>45509</v>
      </c>
      <c r="C1204" t="s">
        <v>45</v>
      </c>
      <c r="D1204" t="s">
        <v>225</v>
      </c>
      <c r="E1204">
        <v>178</v>
      </c>
      <c r="F1204">
        <v>214.96</v>
      </c>
      <c r="G1204" s="18">
        <v>45523</v>
      </c>
      <c r="H1204" s="18">
        <v>45521</v>
      </c>
      <c r="I1204">
        <v>178</v>
      </c>
      <c r="J1204">
        <v>38262.879999999997</v>
      </c>
      <c r="K1204">
        <f>IF(tblPO[[#This Row],[Actual_Delivery_Date]]&lt;=tblPO[[#This Row],[Expected_Delivery_Date]],1,0)</f>
        <v>1</v>
      </c>
      <c r="L1204">
        <f>IF(tblPO[[#This Row],[Actual_Delivery_Date]]&gt;tblPO[[#This Row],[Expected_Delivery_Date]],1,0)</f>
        <v>0</v>
      </c>
      <c r="M1204">
        <f>tblPO[[#This Row],[Actual_Delivery_Date]]-tblPO[[#This Row],[PO_Date]]</f>
        <v>12</v>
      </c>
    </row>
    <row r="1205" spans="1:13" x14ac:dyDescent="0.3">
      <c r="A1205" t="s">
        <v>1053</v>
      </c>
      <c r="B1205" s="18">
        <v>45511</v>
      </c>
      <c r="C1205" t="s">
        <v>44</v>
      </c>
      <c r="D1205" t="s">
        <v>185</v>
      </c>
      <c r="E1205">
        <v>836</v>
      </c>
      <c r="F1205">
        <v>7.23</v>
      </c>
      <c r="G1205" s="18">
        <v>45525</v>
      </c>
      <c r="H1205" s="18">
        <v>45525</v>
      </c>
      <c r="I1205">
        <v>836</v>
      </c>
      <c r="J1205">
        <v>6044.28</v>
      </c>
      <c r="K1205">
        <f>IF(tblPO[[#This Row],[Actual_Delivery_Date]]&lt;=tblPO[[#This Row],[Expected_Delivery_Date]],1,0)</f>
        <v>1</v>
      </c>
      <c r="L1205">
        <f>IF(tblPO[[#This Row],[Actual_Delivery_Date]]&gt;tblPO[[#This Row],[Expected_Delivery_Date]],1,0)</f>
        <v>0</v>
      </c>
      <c r="M1205">
        <f>tblPO[[#This Row],[Actual_Delivery_Date]]-tblPO[[#This Row],[PO_Date]]</f>
        <v>14</v>
      </c>
    </row>
    <row r="1206" spans="1:13" x14ac:dyDescent="0.3">
      <c r="A1206" t="s">
        <v>1052</v>
      </c>
      <c r="B1206" s="18">
        <v>45522</v>
      </c>
      <c r="C1206" t="s">
        <v>40</v>
      </c>
      <c r="D1206" t="s">
        <v>134</v>
      </c>
      <c r="E1206">
        <v>23</v>
      </c>
      <c r="F1206">
        <v>4543.0600000000004</v>
      </c>
      <c r="G1206" s="18">
        <v>45539</v>
      </c>
      <c r="H1206" s="18">
        <v>45559</v>
      </c>
      <c r="I1206">
        <v>23</v>
      </c>
      <c r="J1206">
        <v>104490.38</v>
      </c>
      <c r="K1206">
        <f>IF(tblPO[[#This Row],[Actual_Delivery_Date]]&lt;=tblPO[[#This Row],[Expected_Delivery_Date]],1,0)</f>
        <v>0</v>
      </c>
      <c r="L1206">
        <f>IF(tblPO[[#This Row],[Actual_Delivery_Date]]&gt;tblPO[[#This Row],[Expected_Delivery_Date]],1,0)</f>
        <v>1</v>
      </c>
      <c r="M1206">
        <f>tblPO[[#This Row],[Actual_Delivery_Date]]-tblPO[[#This Row],[PO_Date]]</f>
        <v>37</v>
      </c>
    </row>
    <row r="1207" spans="1:13" x14ac:dyDescent="0.3">
      <c r="A1207" t="s">
        <v>1051</v>
      </c>
      <c r="B1207" s="18">
        <v>45533</v>
      </c>
      <c r="C1207" t="s">
        <v>61</v>
      </c>
      <c r="D1207" t="s">
        <v>235</v>
      </c>
      <c r="E1207">
        <v>407</v>
      </c>
      <c r="F1207">
        <v>69.08</v>
      </c>
      <c r="G1207" s="18">
        <v>45546</v>
      </c>
      <c r="H1207" s="18">
        <v>45546</v>
      </c>
      <c r="I1207">
        <v>407</v>
      </c>
      <c r="J1207">
        <v>28115.56</v>
      </c>
      <c r="K1207">
        <f>IF(tblPO[[#This Row],[Actual_Delivery_Date]]&lt;=tblPO[[#This Row],[Expected_Delivery_Date]],1,0)</f>
        <v>1</v>
      </c>
      <c r="L1207">
        <f>IF(tblPO[[#This Row],[Actual_Delivery_Date]]&gt;tblPO[[#This Row],[Expected_Delivery_Date]],1,0)</f>
        <v>0</v>
      </c>
      <c r="M1207">
        <f>tblPO[[#This Row],[Actual_Delivery_Date]]-tblPO[[#This Row],[PO_Date]]</f>
        <v>13</v>
      </c>
    </row>
    <row r="1208" spans="1:13" x14ac:dyDescent="0.3">
      <c r="A1208" t="s">
        <v>1050</v>
      </c>
      <c r="B1208" s="18">
        <v>45523</v>
      </c>
      <c r="C1208" t="s">
        <v>40</v>
      </c>
      <c r="D1208" t="s">
        <v>134</v>
      </c>
      <c r="E1208">
        <v>3</v>
      </c>
      <c r="F1208">
        <v>4342.7299999999996</v>
      </c>
      <c r="G1208" s="18">
        <v>45536</v>
      </c>
      <c r="H1208" s="18">
        <v>45533</v>
      </c>
      <c r="I1208">
        <v>3</v>
      </c>
      <c r="J1208">
        <v>13028.19</v>
      </c>
      <c r="K1208">
        <f>IF(tblPO[[#This Row],[Actual_Delivery_Date]]&lt;=tblPO[[#This Row],[Expected_Delivery_Date]],1,0)</f>
        <v>1</v>
      </c>
      <c r="L1208">
        <f>IF(tblPO[[#This Row],[Actual_Delivery_Date]]&gt;tblPO[[#This Row],[Expected_Delivery_Date]],1,0)</f>
        <v>0</v>
      </c>
      <c r="M1208">
        <f>tblPO[[#This Row],[Actual_Delivery_Date]]-tblPO[[#This Row],[PO_Date]]</f>
        <v>10</v>
      </c>
    </row>
    <row r="1209" spans="1:13" x14ac:dyDescent="0.3">
      <c r="A1209" t="s">
        <v>1049</v>
      </c>
      <c r="B1209" s="18">
        <v>45514</v>
      </c>
      <c r="C1209" t="s">
        <v>38</v>
      </c>
      <c r="D1209" t="s">
        <v>223</v>
      </c>
      <c r="E1209">
        <v>98</v>
      </c>
      <c r="F1209">
        <v>165.88</v>
      </c>
      <c r="G1209" s="18">
        <v>45520</v>
      </c>
      <c r="H1209" s="18">
        <v>45520</v>
      </c>
      <c r="I1209">
        <v>98</v>
      </c>
      <c r="J1209">
        <v>16256.24</v>
      </c>
      <c r="K1209">
        <f>IF(tblPO[[#This Row],[Actual_Delivery_Date]]&lt;=tblPO[[#This Row],[Expected_Delivery_Date]],1,0)</f>
        <v>1</v>
      </c>
      <c r="L1209">
        <f>IF(tblPO[[#This Row],[Actual_Delivery_Date]]&gt;tblPO[[#This Row],[Expected_Delivery_Date]],1,0)</f>
        <v>0</v>
      </c>
      <c r="M1209">
        <f>tblPO[[#This Row],[Actual_Delivery_Date]]-tblPO[[#This Row],[PO_Date]]</f>
        <v>6</v>
      </c>
    </row>
    <row r="1210" spans="1:13" x14ac:dyDescent="0.3">
      <c r="A1210" t="s">
        <v>1048</v>
      </c>
      <c r="B1210" s="18">
        <v>45521</v>
      </c>
      <c r="C1210" t="s">
        <v>61</v>
      </c>
      <c r="D1210" t="s">
        <v>243</v>
      </c>
      <c r="E1210">
        <v>48</v>
      </c>
      <c r="F1210">
        <v>157.97</v>
      </c>
      <c r="G1210" s="18">
        <v>45533</v>
      </c>
      <c r="H1210" s="18">
        <v>45531</v>
      </c>
      <c r="I1210">
        <v>48</v>
      </c>
      <c r="J1210">
        <v>7582.56</v>
      </c>
      <c r="K1210">
        <f>IF(tblPO[[#This Row],[Actual_Delivery_Date]]&lt;=tblPO[[#This Row],[Expected_Delivery_Date]],1,0)</f>
        <v>1</v>
      </c>
      <c r="L1210">
        <f>IF(tblPO[[#This Row],[Actual_Delivery_Date]]&gt;tblPO[[#This Row],[Expected_Delivery_Date]],1,0)</f>
        <v>0</v>
      </c>
      <c r="M1210">
        <f>tblPO[[#This Row],[Actual_Delivery_Date]]-tblPO[[#This Row],[PO_Date]]</f>
        <v>10</v>
      </c>
    </row>
    <row r="1211" spans="1:13" x14ac:dyDescent="0.3">
      <c r="A1211" t="s">
        <v>1047</v>
      </c>
      <c r="B1211" s="18">
        <v>45505</v>
      </c>
      <c r="C1211" t="s">
        <v>44</v>
      </c>
      <c r="D1211" t="s">
        <v>201</v>
      </c>
      <c r="E1211">
        <v>351</v>
      </c>
      <c r="F1211">
        <v>35.61</v>
      </c>
      <c r="G1211" s="18">
        <v>45531</v>
      </c>
      <c r="H1211" s="18">
        <v>45530</v>
      </c>
      <c r="I1211">
        <v>351</v>
      </c>
      <c r="J1211">
        <v>12499.11</v>
      </c>
      <c r="K1211">
        <f>IF(tblPO[[#This Row],[Actual_Delivery_Date]]&lt;=tblPO[[#This Row],[Expected_Delivery_Date]],1,0)</f>
        <v>1</v>
      </c>
      <c r="L1211">
        <f>IF(tblPO[[#This Row],[Actual_Delivery_Date]]&gt;tblPO[[#This Row],[Expected_Delivery_Date]],1,0)</f>
        <v>0</v>
      </c>
      <c r="M1211">
        <f>tblPO[[#This Row],[Actual_Delivery_Date]]-tblPO[[#This Row],[PO_Date]]</f>
        <v>25</v>
      </c>
    </row>
    <row r="1212" spans="1:13" x14ac:dyDescent="0.3">
      <c r="A1212" t="s">
        <v>1046</v>
      </c>
      <c r="B1212" s="18">
        <v>45505</v>
      </c>
      <c r="C1212" t="s">
        <v>67</v>
      </c>
      <c r="D1212" t="s">
        <v>108</v>
      </c>
      <c r="E1212">
        <v>5</v>
      </c>
      <c r="F1212">
        <v>12728.17</v>
      </c>
      <c r="G1212" s="18">
        <v>45530</v>
      </c>
      <c r="H1212" s="18">
        <v>45527</v>
      </c>
      <c r="I1212">
        <v>4</v>
      </c>
      <c r="J1212">
        <v>63640.85</v>
      </c>
      <c r="K1212">
        <f>IF(tblPO[[#This Row],[Actual_Delivery_Date]]&lt;=tblPO[[#This Row],[Expected_Delivery_Date]],1,0)</f>
        <v>1</v>
      </c>
      <c r="L1212">
        <f>IF(tblPO[[#This Row],[Actual_Delivery_Date]]&gt;tblPO[[#This Row],[Expected_Delivery_Date]],1,0)</f>
        <v>0</v>
      </c>
      <c r="M1212">
        <f>tblPO[[#This Row],[Actual_Delivery_Date]]-tblPO[[#This Row],[PO_Date]]</f>
        <v>22</v>
      </c>
    </row>
    <row r="1213" spans="1:13" x14ac:dyDescent="0.3">
      <c r="A1213" t="s">
        <v>1045</v>
      </c>
      <c r="B1213" s="18">
        <v>45535</v>
      </c>
      <c r="C1213" t="s">
        <v>42</v>
      </c>
      <c r="D1213" t="s">
        <v>81</v>
      </c>
      <c r="E1213">
        <v>3</v>
      </c>
      <c r="F1213">
        <v>26374.63</v>
      </c>
      <c r="G1213" s="18">
        <v>45549</v>
      </c>
      <c r="H1213" s="18">
        <v>45547</v>
      </c>
      <c r="I1213">
        <v>3</v>
      </c>
      <c r="J1213">
        <v>79123.89</v>
      </c>
      <c r="K1213">
        <f>IF(tblPO[[#This Row],[Actual_Delivery_Date]]&lt;=tblPO[[#This Row],[Expected_Delivery_Date]],1,0)</f>
        <v>1</v>
      </c>
      <c r="L1213">
        <f>IF(tblPO[[#This Row],[Actual_Delivery_Date]]&gt;tblPO[[#This Row],[Expected_Delivery_Date]],1,0)</f>
        <v>0</v>
      </c>
      <c r="M1213">
        <f>tblPO[[#This Row],[Actual_Delivery_Date]]-tblPO[[#This Row],[PO_Date]]</f>
        <v>12</v>
      </c>
    </row>
    <row r="1214" spans="1:13" x14ac:dyDescent="0.3">
      <c r="A1214" t="s">
        <v>1044</v>
      </c>
      <c r="B1214" s="18">
        <v>45514</v>
      </c>
      <c r="C1214" t="s">
        <v>40</v>
      </c>
      <c r="D1214" t="s">
        <v>136</v>
      </c>
      <c r="E1214">
        <v>30</v>
      </c>
      <c r="F1214">
        <v>678.79</v>
      </c>
      <c r="G1214" s="18">
        <v>45524</v>
      </c>
      <c r="H1214" s="18">
        <v>45523</v>
      </c>
      <c r="I1214">
        <v>30</v>
      </c>
      <c r="J1214">
        <v>20363.7</v>
      </c>
      <c r="K1214">
        <f>IF(tblPO[[#This Row],[Actual_Delivery_Date]]&lt;=tblPO[[#This Row],[Expected_Delivery_Date]],1,0)</f>
        <v>1</v>
      </c>
      <c r="L1214">
        <f>IF(tblPO[[#This Row],[Actual_Delivery_Date]]&gt;tblPO[[#This Row],[Expected_Delivery_Date]],1,0)</f>
        <v>0</v>
      </c>
      <c r="M1214">
        <f>tblPO[[#This Row],[Actual_Delivery_Date]]-tblPO[[#This Row],[PO_Date]]</f>
        <v>9</v>
      </c>
    </row>
    <row r="1215" spans="1:13" x14ac:dyDescent="0.3">
      <c r="A1215" t="s">
        <v>1043</v>
      </c>
      <c r="B1215" s="18">
        <v>45517</v>
      </c>
      <c r="C1215" t="s">
        <v>65</v>
      </c>
      <c r="D1215" t="s">
        <v>188</v>
      </c>
      <c r="E1215">
        <v>482</v>
      </c>
      <c r="F1215">
        <v>34.96</v>
      </c>
      <c r="G1215" s="18">
        <v>45523</v>
      </c>
      <c r="H1215" s="18">
        <v>45522</v>
      </c>
      <c r="I1215">
        <v>482</v>
      </c>
      <c r="J1215">
        <v>16850.72</v>
      </c>
      <c r="K1215">
        <f>IF(tblPO[[#This Row],[Actual_Delivery_Date]]&lt;=tblPO[[#This Row],[Expected_Delivery_Date]],1,0)</f>
        <v>1</v>
      </c>
      <c r="L1215">
        <f>IF(tblPO[[#This Row],[Actual_Delivery_Date]]&gt;tblPO[[#This Row],[Expected_Delivery_Date]],1,0)</f>
        <v>0</v>
      </c>
      <c r="M1215">
        <f>tblPO[[#This Row],[Actual_Delivery_Date]]-tblPO[[#This Row],[PO_Date]]</f>
        <v>5</v>
      </c>
    </row>
    <row r="1216" spans="1:13" x14ac:dyDescent="0.3">
      <c r="A1216" t="s">
        <v>1042</v>
      </c>
      <c r="B1216" s="18">
        <v>45533</v>
      </c>
      <c r="C1216" t="s">
        <v>45</v>
      </c>
      <c r="D1216" t="s">
        <v>241</v>
      </c>
      <c r="E1216">
        <v>23</v>
      </c>
      <c r="F1216">
        <v>3055.54</v>
      </c>
      <c r="G1216" s="18">
        <v>45546</v>
      </c>
      <c r="H1216" s="18">
        <v>45544</v>
      </c>
      <c r="I1216">
        <v>23</v>
      </c>
      <c r="J1216">
        <v>70277.42</v>
      </c>
      <c r="K1216">
        <f>IF(tblPO[[#This Row],[Actual_Delivery_Date]]&lt;=tblPO[[#This Row],[Expected_Delivery_Date]],1,0)</f>
        <v>1</v>
      </c>
      <c r="L1216">
        <f>IF(tblPO[[#This Row],[Actual_Delivery_Date]]&gt;tblPO[[#This Row],[Expected_Delivery_Date]],1,0)</f>
        <v>0</v>
      </c>
      <c r="M1216">
        <f>tblPO[[#This Row],[Actual_Delivery_Date]]-tblPO[[#This Row],[PO_Date]]</f>
        <v>11</v>
      </c>
    </row>
    <row r="1217" spans="1:13" x14ac:dyDescent="0.3">
      <c r="A1217" t="s">
        <v>1041</v>
      </c>
      <c r="B1217" s="18">
        <v>45522</v>
      </c>
      <c r="C1217" t="s">
        <v>46</v>
      </c>
      <c r="D1217" t="s">
        <v>104</v>
      </c>
      <c r="E1217">
        <v>116</v>
      </c>
      <c r="F1217">
        <v>465.5</v>
      </c>
      <c r="G1217" s="18">
        <v>45540</v>
      </c>
      <c r="H1217" s="18">
        <v>45537</v>
      </c>
      <c r="I1217">
        <v>116</v>
      </c>
      <c r="J1217">
        <v>53998</v>
      </c>
      <c r="K1217">
        <f>IF(tblPO[[#This Row],[Actual_Delivery_Date]]&lt;=tblPO[[#This Row],[Expected_Delivery_Date]],1,0)</f>
        <v>1</v>
      </c>
      <c r="L1217">
        <f>IF(tblPO[[#This Row],[Actual_Delivery_Date]]&gt;tblPO[[#This Row],[Expected_Delivery_Date]],1,0)</f>
        <v>0</v>
      </c>
      <c r="M1217">
        <f>tblPO[[#This Row],[Actual_Delivery_Date]]-tblPO[[#This Row],[PO_Date]]</f>
        <v>15</v>
      </c>
    </row>
    <row r="1218" spans="1:13" x14ac:dyDescent="0.3">
      <c r="A1218" t="s">
        <v>1040</v>
      </c>
      <c r="B1218" s="18">
        <v>45530</v>
      </c>
      <c r="C1218" t="s">
        <v>55</v>
      </c>
      <c r="D1218" t="s">
        <v>223</v>
      </c>
      <c r="E1218">
        <v>106</v>
      </c>
      <c r="F1218">
        <v>185.48</v>
      </c>
      <c r="G1218" s="18">
        <v>45555</v>
      </c>
      <c r="H1218" s="18">
        <v>45555</v>
      </c>
      <c r="I1218">
        <v>106</v>
      </c>
      <c r="J1218">
        <v>19660.88</v>
      </c>
      <c r="K1218">
        <f>IF(tblPO[[#This Row],[Actual_Delivery_Date]]&lt;=tblPO[[#This Row],[Expected_Delivery_Date]],1,0)</f>
        <v>1</v>
      </c>
      <c r="L1218">
        <f>IF(tblPO[[#This Row],[Actual_Delivery_Date]]&gt;tblPO[[#This Row],[Expected_Delivery_Date]],1,0)</f>
        <v>0</v>
      </c>
      <c r="M1218">
        <f>tblPO[[#This Row],[Actual_Delivery_Date]]-tblPO[[#This Row],[PO_Date]]</f>
        <v>25</v>
      </c>
    </row>
    <row r="1219" spans="1:13" x14ac:dyDescent="0.3">
      <c r="A1219" t="s">
        <v>1039</v>
      </c>
      <c r="B1219" s="18">
        <v>45516</v>
      </c>
      <c r="C1219" t="s">
        <v>67</v>
      </c>
      <c r="D1219" t="s">
        <v>94</v>
      </c>
      <c r="E1219">
        <v>192</v>
      </c>
      <c r="F1219">
        <v>478.07</v>
      </c>
      <c r="G1219" s="18">
        <v>45542</v>
      </c>
      <c r="H1219" s="18">
        <v>45542</v>
      </c>
      <c r="I1219">
        <v>192</v>
      </c>
      <c r="J1219">
        <v>91789.440000000002</v>
      </c>
      <c r="K1219">
        <f>IF(tblPO[[#This Row],[Actual_Delivery_Date]]&lt;=tblPO[[#This Row],[Expected_Delivery_Date]],1,0)</f>
        <v>1</v>
      </c>
      <c r="L1219">
        <f>IF(tblPO[[#This Row],[Actual_Delivery_Date]]&gt;tblPO[[#This Row],[Expected_Delivery_Date]],1,0)</f>
        <v>0</v>
      </c>
      <c r="M1219">
        <f>tblPO[[#This Row],[Actual_Delivery_Date]]-tblPO[[#This Row],[PO_Date]]</f>
        <v>26</v>
      </c>
    </row>
    <row r="1220" spans="1:13" x14ac:dyDescent="0.3">
      <c r="A1220" t="s">
        <v>1038</v>
      </c>
      <c r="B1220" s="18">
        <v>45505</v>
      </c>
      <c r="C1220" t="s">
        <v>44</v>
      </c>
      <c r="D1220" t="s">
        <v>197</v>
      </c>
      <c r="E1220">
        <v>153</v>
      </c>
      <c r="F1220">
        <v>228.89</v>
      </c>
      <c r="G1220" s="18">
        <v>45530</v>
      </c>
      <c r="H1220" s="18">
        <v>45528</v>
      </c>
      <c r="I1220">
        <v>153</v>
      </c>
      <c r="J1220">
        <v>35020.17</v>
      </c>
      <c r="K1220">
        <f>IF(tblPO[[#This Row],[Actual_Delivery_Date]]&lt;=tblPO[[#This Row],[Expected_Delivery_Date]],1,0)</f>
        <v>1</v>
      </c>
      <c r="L1220">
        <f>IF(tblPO[[#This Row],[Actual_Delivery_Date]]&gt;tblPO[[#This Row],[Expected_Delivery_Date]],1,0)</f>
        <v>0</v>
      </c>
      <c r="M1220">
        <f>tblPO[[#This Row],[Actual_Delivery_Date]]-tblPO[[#This Row],[PO_Date]]</f>
        <v>23</v>
      </c>
    </row>
    <row r="1221" spans="1:13" x14ac:dyDescent="0.3">
      <c r="A1221" t="s">
        <v>1037</v>
      </c>
      <c r="B1221" s="18">
        <v>45521</v>
      </c>
      <c r="C1221" t="s">
        <v>62</v>
      </c>
      <c r="D1221" t="s">
        <v>201</v>
      </c>
      <c r="E1221">
        <v>644</v>
      </c>
      <c r="F1221">
        <v>42.81</v>
      </c>
      <c r="G1221" s="18">
        <v>45535</v>
      </c>
      <c r="H1221" s="18">
        <v>45534</v>
      </c>
      <c r="I1221">
        <v>626</v>
      </c>
      <c r="J1221">
        <v>27569.64</v>
      </c>
      <c r="K1221">
        <f>IF(tblPO[[#This Row],[Actual_Delivery_Date]]&lt;=tblPO[[#This Row],[Expected_Delivery_Date]],1,0)</f>
        <v>1</v>
      </c>
      <c r="L1221">
        <f>IF(tblPO[[#This Row],[Actual_Delivery_Date]]&gt;tblPO[[#This Row],[Expected_Delivery_Date]],1,0)</f>
        <v>0</v>
      </c>
      <c r="M1221">
        <f>tblPO[[#This Row],[Actual_Delivery_Date]]-tblPO[[#This Row],[PO_Date]]</f>
        <v>13</v>
      </c>
    </row>
    <row r="1222" spans="1:13" x14ac:dyDescent="0.3">
      <c r="A1222" t="s">
        <v>1036</v>
      </c>
      <c r="B1222" s="18">
        <v>45519</v>
      </c>
      <c r="C1222" t="s">
        <v>47</v>
      </c>
      <c r="D1222" t="s">
        <v>243</v>
      </c>
      <c r="E1222">
        <v>11</v>
      </c>
      <c r="F1222">
        <v>142.88</v>
      </c>
      <c r="G1222" s="18">
        <v>45536</v>
      </c>
      <c r="H1222" s="18">
        <v>45537</v>
      </c>
      <c r="I1222">
        <v>10</v>
      </c>
      <c r="J1222">
        <v>1571.68</v>
      </c>
      <c r="K1222">
        <f>IF(tblPO[[#This Row],[Actual_Delivery_Date]]&lt;=tblPO[[#This Row],[Expected_Delivery_Date]],1,0)</f>
        <v>0</v>
      </c>
      <c r="L1222">
        <f>IF(tblPO[[#This Row],[Actual_Delivery_Date]]&gt;tblPO[[#This Row],[Expected_Delivery_Date]],1,0)</f>
        <v>1</v>
      </c>
      <c r="M1222">
        <f>tblPO[[#This Row],[Actual_Delivery_Date]]-tblPO[[#This Row],[PO_Date]]</f>
        <v>18</v>
      </c>
    </row>
    <row r="1223" spans="1:13" x14ac:dyDescent="0.3">
      <c r="A1223" t="s">
        <v>1035</v>
      </c>
      <c r="B1223" s="18">
        <v>45508</v>
      </c>
      <c r="C1223" t="s">
        <v>57</v>
      </c>
      <c r="D1223" t="s">
        <v>188</v>
      </c>
      <c r="E1223">
        <v>658</v>
      </c>
      <c r="F1223">
        <v>35.33</v>
      </c>
      <c r="G1223" s="18">
        <v>45529</v>
      </c>
      <c r="H1223" s="18">
        <v>45528</v>
      </c>
      <c r="I1223">
        <v>658</v>
      </c>
      <c r="J1223">
        <v>23247.14</v>
      </c>
      <c r="K1223">
        <f>IF(tblPO[[#This Row],[Actual_Delivery_Date]]&lt;=tblPO[[#This Row],[Expected_Delivery_Date]],1,0)</f>
        <v>1</v>
      </c>
      <c r="L1223">
        <f>IF(tblPO[[#This Row],[Actual_Delivery_Date]]&gt;tblPO[[#This Row],[Expected_Delivery_Date]],1,0)</f>
        <v>0</v>
      </c>
      <c r="M1223">
        <f>tblPO[[#This Row],[Actual_Delivery_Date]]-tblPO[[#This Row],[PO_Date]]</f>
        <v>20</v>
      </c>
    </row>
    <row r="1224" spans="1:13" x14ac:dyDescent="0.3">
      <c r="A1224" t="s">
        <v>1034</v>
      </c>
      <c r="B1224" s="18">
        <v>45521</v>
      </c>
      <c r="C1224" t="s">
        <v>47</v>
      </c>
      <c r="D1224" t="s">
        <v>245</v>
      </c>
      <c r="E1224">
        <v>23</v>
      </c>
      <c r="F1224">
        <v>3424.64</v>
      </c>
      <c r="G1224" s="18">
        <v>45525</v>
      </c>
      <c r="H1224" s="18">
        <v>45523</v>
      </c>
      <c r="I1224">
        <v>23</v>
      </c>
      <c r="J1224">
        <v>78766.720000000001</v>
      </c>
      <c r="K1224">
        <f>IF(tblPO[[#This Row],[Actual_Delivery_Date]]&lt;=tblPO[[#This Row],[Expected_Delivery_Date]],1,0)</f>
        <v>1</v>
      </c>
      <c r="L1224">
        <f>IF(tblPO[[#This Row],[Actual_Delivery_Date]]&gt;tblPO[[#This Row],[Expected_Delivery_Date]],1,0)</f>
        <v>0</v>
      </c>
      <c r="M1224">
        <f>tblPO[[#This Row],[Actual_Delivery_Date]]-tblPO[[#This Row],[PO_Date]]</f>
        <v>2</v>
      </c>
    </row>
    <row r="1225" spans="1:13" x14ac:dyDescent="0.3">
      <c r="A1225" t="s">
        <v>1033</v>
      </c>
      <c r="B1225" s="18">
        <v>45525</v>
      </c>
      <c r="C1225" t="s">
        <v>61</v>
      </c>
      <c r="D1225" t="s">
        <v>221</v>
      </c>
      <c r="E1225">
        <v>23</v>
      </c>
      <c r="F1225">
        <v>1666.09</v>
      </c>
      <c r="G1225" s="18">
        <v>45532</v>
      </c>
      <c r="H1225" s="18">
        <v>45531</v>
      </c>
      <c r="I1225">
        <v>23</v>
      </c>
      <c r="J1225">
        <v>38320.07</v>
      </c>
      <c r="K1225">
        <f>IF(tblPO[[#This Row],[Actual_Delivery_Date]]&lt;=tblPO[[#This Row],[Expected_Delivery_Date]],1,0)</f>
        <v>1</v>
      </c>
      <c r="L1225">
        <f>IF(tblPO[[#This Row],[Actual_Delivery_Date]]&gt;tblPO[[#This Row],[Expected_Delivery_Date]],1,0)</f>
        <v>0</v>
      </c>
      <c r="M1225">
        <f>tblPO[[#This Row],[Actual_Delivery_Date]]-tblPO[[#This Row],[PO_Date]]</f>
        <v>6</v>
      </c>
    </row>
    <row r="1226" spans="1:13" x14ac:dyDescent="0.3">
      <c r="A1226" t="s">
        <v>1032</v>
      </c>
      <c r="B1226" s="18">
        <v>45524</v>
      </c>
      <c r="C1226" t="s">
        <v>40</v>
      </c>
      <c r="D1226" t="s">
        <v>113</v>
      </c>
      <c r="E1226">
        <v>134</v>
      </c>
      <c r="F1226">
        <v>484.1</v>
      </c>
      <c r="G1226" s="18">
        <v>45533</v>
      </c>
      <c r="H1226" s="18">
        <v>45530</v>
      </c>
      <c r="I1226">
        <v>134</v>
      </c>
      <c r="J1226">
        <v>64869.4</v>
      </c>
      <c r="K1226">
        <f>IF(tblPO[[#This Row],[Actual_Delivery_Date]]&lt;=tblPO[[#This Row],[Expected_Delivery_Date]],1,0)</f>
        <v>1</v>
      </c>
      <c r="L1226">
        <f>IF(tblPO[[#This Row],[Actual_Delivery_Date]]&gt;tblPO[[#This Row],[Expected_Delivery_Date]],1,0)</f>
        <v>0</v>
      </c>
      <c r="M1226">
        <f>tblPO[[#This Row],[Actual_Delivery_Date]]-tblPO[[#This Row],[PO_Date]]</f>
        <v>6</v>
      </c>
    </row>
    <row r="1227" spans="1:13" x14ac:dyDescent="0.3">
      <c r="A1227" t="s">
        <v>1031</v>
      </c>
      <c r="B1227" s="18">
        <v>45511</v>
      </c>
      <c r="C1227" t="s">
        <v>52</v>
      </c>
      <c r="D1227" t="s">
        <v>245</v>
      </c>
      <c r="E1227">
        <v>9</v>
      </c>
      <c r="F1227">
        <v>4080.46</v>
      </c>
      <c r="G1227" s="18">
        <v>45517</v>
      </c>
      <c r="H1227" s="18">
        <v>45517</v>
      </c>
      <c r="I1227">
        <v>9</v>
      </c>
      <c r="J1227">
        <v>36724.14</v>
      </c>
      <c r="K1227">
        <f>IF(tblPO[[#This Row],[Actual_Delivery_Date]]&lt;=tblPO[[#This Row],[Expected_Delivery_Date]],1,0)</f>
        <v>1</v>
      </c>
      <c r="L1227">
        <f>IF(tblPO[[#This Row],[Actual_Delivery_Date]]&gt;tblPO[[#This Row],[Expected_Delivery_Date]],1,0)</f>
        <v>0</v>
      </c>
      <c r="M1227">
        <f>tblPO[[#This Row],[Actual_Delivery_Date]]-tblPO[[#This Row],[PO_Date]]</f>
        <v>6</v>
      </c>
    </row>
    <row r="1228" spans="1:13" x14ac:dyDescent="0.3">
      <c r="A1228" t="s">
        <v>1030</v>
      </c>
      <c r="B1228" s="18">
        <v>45520</v>
      </c>
      <c r="C1228" t="s">
        <v>48</v>
      </c>
      <c r="D1228" t="s">
        <v>146</v>
      </c>
      <c r="E1228">
        <v>14</v>
      </c>
      <c r="F1228">
        <v>3529.87</v>
      </c>
      <c r="G1228" s="18">
        <v>45537</v>
      </c>
      <c r="H1228" s="18">
        <v>45536</v>
      </c>
      <c r="I1228">
        <v>14</v>
      </c>
      <c r="J1228">
        <v>49418.18</v>
      </c>
      <c r="K1228">
        <f>IF(tblPO[[#This Row],[Actual_Delivery_Date]]&lt;=tblPO[[#This Row],[Expected_Delivery_Date]],1,0)</f>
        <v>1</v>
      </c>
      <c r="L1228">
        <f>IF(tblPO[[#This Row],[Actual_Delivery_Date]]&gt;tblPO[[#This Row],[Expected_Delivery_Date]],1,0)</f>
        <v>0</v>
      </c>
      <c r="M1228">
        <f>tblPO[[#This Row],[Actual_Delivery_Date]]-tblPO[[#This Row],[PO_Date]]</f>
        <v>16</v>
      </c>
    </row>
    <row r="1229" spans="1:13" x14ac:dyDescent="0.3">
      <c r="A1229" t="s">
        <v>1029</v>
      </c>
      <c r="B1229" s="18">
        <v>45524</v>
      </c>
      <c r="C1229" t="s">
        <v>39</v>
      </c>
      <c r="D1229" t="s">
        <v>156</v>
      </c>
      <c r="E1229">
        <v>723</v>
      </c>
      <c r="F1229">
        <v>64.58</v>
      </c>
      <c r="G1229" s="18">
        <v>45539</v>
      </c>
      <c r="H1229" s="18">
        <v>45536</v>
      </c>
      <c r="I1229">
        <v>723</v>
      </c>
      <c r="J1229">
        <v>46691.34</v>
      </c>
      <c r="K1229">
        <f>IF(tblPO[[#This Row],[Actual_Delivery_Date]]&lt;=tblPO[[#This Row],[Expected_Delivery_Date]],1,0)</f>
        <v>1</v>
      </c>
      <c r="L1229">
        <f>IF(tblPO[[#This Row],[Actual_Delivery_Date]]&gt;tblPO[[#This Row],[Expected_Delivery_Date]],1,0)</f>
        <v>0</v>
      </c>
      <c r="M1229">
        <f>tblPO[[#This Row],[Actual_Delivery_Date]]-tblPO[[#This Row],[PO_Date]]</f>
        <v>12</v>
      </c>
    </row>
    <row r="1230" spans="1:13" x14ac:dyDescent="0.3">
      <c r="A1230" t="s">
        <v>1028</v>
      </c>
      <c r="B1230" s="18">
        <v>45510</v>
      </c>
      <c r="C1230" t="s">
        <v>50</v>
      </c>
      <c r="D1230" t="s">
        <v>115</v>
      </c>
      <c r="E1230">
        <v>9</v>
      </c>
      <c r="F1230">
        <v>3327.87</v>
      </c>
      <c r="G1230" s="18">
        <v>45519</v>
      </c>
      <c r="H1230" s="18">
        <v>45518</v>
      </c>
      <c r="I1230">
        <v>9</v>
      </c>
      <c r="J1230">
        <v>29950.83</v>
      </c>
      <c r="K1230">
        <f>IF(tblPO[[#This Row],[Actual_Delivery_Date]]&lt;=tblPO[[#This Row],[Expected_Delivery_Date]],1,0)</f>
        <v>1</v>
      </c>
      <c r="L1230">
        <f>IF(tblPO[[#This Row],[Actual_Delivery_Date]]&gt;tblPO[[#This Row],[Expected_Delivery_Date]],1,0)</f>
        <v>0</v>
      </c>
      <c r="M1230">
        <f>tblPO[[#This Row],[Actual_Delivery_Date]]-tblPO[[#This Row],[PO_Date]]</f>
        <v>8</v>
      </c>
    </row>
    <row r="1231" spans="1:13" x14ac:dyDescent="0.3">
      <c r="A1231" t="s">
        <v>1027</v>
      </c>
      <c r="B1231" s="18">
        <v>45516</v>
      </c>
      <c r="C1231" t="s">
        <v>57</v>
      </c>
      <c r="D1231" t="s">
        <v>207</v>
      </c>
      <c r="E1231">
        <v>554</v>
      </c>
      <c r="F1231">
        <v>11.94</v>
      </c>
      <c r="G1231" s="18">
        <v>45536</v>
      </c>
      <c r="H1231" s="18">
        <v>45533</v>
      </c>
      <c r="I1231">
        <v>554</v>
      </c>
      <c r="J1231">
        <v>6614.76</v>
      </c>
      <c r="K1231">
        <f>IF(tblPO[[#This Row],[Actual_Delivery_Date]]&lt;=tblPO[[#This Row],[Expected_Delivery_Date]],1,0)</f>
        <v>1</v>
      </c>
      <c r="L1231">
        <f>IF(tblPO[[#This Row],[Actual_Delivery_Date]]&gt;tblPO[[#This Row],[Expected_Delivery_Date]],1,0)</f>
        <v>0</v>
      </c>
      <c r="M1231">
        <f>tblPO[[#This Row],[Actual_Delivery_Date]]-tblPO[[#This Row],[PO_Date]]</f>
        <v>17</v>
      </c>
    </row>
    <row r="1232" spans="1:13" x14ac:dyDescent="0.3">
      <c r="A1232" t="s">
        <v>1026</v>
      </c>
      <c r="B1232" s="18">
        <v>45514</v>
      </c>
      <c r="C1232" t="s">
        <v>53</v>
      </c>
      <c r="D1232" t="s">
        <v>84</v>
      </c>
      <c r="E1232">
        <v>17</v>
      </c>
      <c r="F1232">
        <v>211.47</v>
      </c>
      <c r="G1232" s="18">
        <v>45540</v>
      </c>
      <c r="H1232" s="18">
        <v>45540</v>
      </c>
      <c r="I1232">
        <v>15</v>
      </c>
      <c r="J1232">
        <v>3594.99</v>
      </c>
      <c r="K1232">
        <f>IF(tblPO[[#This Row],[Actual_Delivery_Date]]&lt;=tblPO[[#This Row],[Expected_Delivery_Date]],1,0)</f>
        <v>1</v>
      </c>
      <c r="L1232">
        <f>IF(tblPO[[#This Row],[Actual_Delivery_Date]]&gt;tblPO[[#This Row],[Expected_Delivery_Date]],1,0)</f>
        <v>0</v>
      </c>
      <c r="M1232">
        <f>tblPO[[#This Row],[Actual_Delivery_Date]]-tblPO[[#This Row],[PO_Date]]</f>
        <v>26</v>
      </c>
    </row>
    <row r="1233" spans="1:13" x14ac:dyDescent="0.3">
      <c r="A1233" t="s">
        <v>1025</v>
      </c>
      <c r="B1233" s="18">
        <v>45524</v>
      </c>
      <c r="C1233" t="s">
        <v>57</v>
      </c>
      <c r="D1233" t="s">
        <v>188</v>
      </c>
      <c r="E1233">
        <v>722</v>
      </c>
      <c r="F1233">
        <v>36.92</v>
      </c>
      <c r="G1233" s="18">
        <v>45550</v>
      </c>
      <c r="H1233" s="18">
        <v>45549</v>
      </c>
      <c r="I1233">
        <v>722</v>
      </c>
      <c r="J1233">
        <v>26656.240000000002</v>
      </c>
      <c r="K1233">
        <f>IF(tblPO[[#This Row],[Actual_Delivery_Date]]&lt;=tblPO[[#This Row],[Expected_Delivery_Date]],1,0)</f>
        <v>1</v>
      </c>
      <c r="L1233">
        <f>IF(tblPO[[#This Row],[Actual_Delivery_Date]]&gt;tblPO[[#This Row],[Expected_Delivery_Date]],1,0)</f>
        <v>0</v>
      </c>
      <c r="M1233">
        <f>tblPO[[#This Row],[Actual_Delivery_Date]]-tblPO[[#This Row],[PO_Date]]</f>
        <v>25</v>
      </c>
    </row>
    <row r="1234" spans="1:13" x14ac:dyDescent="0.3">
      <c r="A1234" t="s">
        <v>1024</v>
      </c>
      <c r="B1234" s="18">
        <v>45513</v>
      </c>
      <c r="C1234" t="s">
        <v>53</v>
      </c>
      <c r="D1234" t="s">
        <v>96</v>
      </c>
      <c r="E1234">
        <v>127</v>
      </c>
      <c r="F1234">
        <v>770.37</v>
      </c>
      <c r="G1234" s="18">
        <v>45525</v>
      </c>
      <c r="H1234" s="18">
        <v>45536</v>
      </c>
      <c r="I1234">
        <v>127</v>
      </c>
      <c r="J1234">
        <v>97836.99</v>
      </c>
      <c r="K1234">
        <f>IF(tblPO[[#This Row],[Actual_Delivery_Date]]&lt;=tblPO[[#This Row],[Expected_Delivery_Date]],1,0)</f>
        <v>0</v>
      </c>
      <c r="L1234">
        <f>IF(tblPO[[#This Row],[Actual_Delivery_Date]]&gt;tblPO[[#This Row],[Expected_Delivery_Date]],1,0)</f>
        <v>1</v>
      </c>
      <c r="M1234">
        <f>tblPO[[#This Row],[Actual_Delivery_Date]]-tblPO[[#This Row],[PO_Date]]</f>
        <v>23</v>
      </c>
    </row>
    <row r="1235" spans="1:13" x14ac:dyDescent="0.3">
      <c r="A1235" t="s">
        <v>1023</v>
      </c>
      <c r="B1235" s="18">
        <v>45521</v>
      </c>
      <c r="C1235" t="s">
        <v>38</v>
      </c>
      <c r="D1235" t="s">
        <v>219</v>
      </c>
      <c r="E1235">
        <v>773</v>
      </c>
      <c r="F1235">
        <v>92.8</v>
      </c>
      <c r="G1235" s="18">
        <v>45536</v>
      </c>
      <c r="H1235" s="18">
        <v>45534</v>
      </c>
      <c r="I1235">
        <v>773</v>
      </c>
      <c r="J1235">
        <v>71734.399999999994</v>
      </c>
      <c r="K1235">
        <f>IF(tblPO[[#This Row],[Actual_Delivery_Date]]&lt;=tblPO[[#This Row],[Expected_Delivery_Date]],1,0)</f>
        <v>1</v>
      </c>
      <c r="L1235">
        <f>IF(tblPO[[#This Row],[Actual_Delivery_Date]]&gt;tblPO[[#This Row],[Expected_Delivery_Date]],1,0)</f>
        <v>0</v>
      </c>
      <c r="M1235">
        <f>tblPO[[#This Row],[Actual_Delivery_Date]]-tblPO[[#This Row],[PO_Date]]</f>
        <v>13</v>
      </c>
    </row>
    <row r="1236" spans="1:13" x14ac:dyDescent="0.3">
      <c r="A1236" t="s">
        <v>1022</v>
      </c>
      <c r="B1236" s="18">
        <v>45515</v>
      </c>
      <c r="C1236" t="s">
        <v>61</v>
      </c>
      <c r="D1236" t="s">
        <v>229</v>
      </c>
      <c r="E1236">
        <v>20</v>
      </c>
      <c r="F1236">
        <v>1603.76</v>
      </c>
      <c r="G1236" s="18">
        <v>45532</v>
      </c>
      <c r="H1236" s="18">
        <v>45530</v>
      </c>
      <c r="I1236">
        <v>20</v>
      </c>
      <c r="J1236">
        <v>32075.200000000001</v>
      </c>
      <c r="K1236">
        <f>IF(tblPO[[#This Row],[Actual_Delivery_Date]]&lt;=tblPO[[#This Row],[Expected_Delivery_Date]],1,0)</f>
        <v>1</v>
      </c>
      <c r="L1236">
        <f>IF(tblPO[[#This Row],[Actual_Delivery_Date]]&gt;tblPO[[#This Row],[Expected_Delivery_Date]],1,0)</f>
        <v>0</v>
      </c>
      <c r="M1236">
        <f>tblPO[[#This Row],[Actual_Delivery_Date]]-tblPO[[#This Row],[PO_Date]]</f>
        <v>15</v>
      </c>
    </row>
    <row r="1237" spans="1:13" x14ac:dyDescent="0.3">
      <c r="A1237" t="s">
        <v>1021</v>
      </c>
      <c r="B1237" s="18">
        <v>45507</v>
      </c>
      <c r="C1237" t="s">
        <v>64</v>
      </c>
      <c r="D1237" t="s">
        <v>117</v>
      </c>
      <c r="E1237">
        <v>110</v>
      </c>
      <c r="F1237">
        <v>226.84</v>
      </c>
      <c r="G1237" s="18">
        <v>45525</v>
      </c>
      <c r="H1237" s="18">
        <v>45525</v>
      </c>
      <c r="I1237">
        <v>110</v>
      </c>
      <c r="J1237">
        <v>24952.400000000001</v>
      </c>
      <c r="K1237">
        <f>IF(tblPO[[#This Row],[Actual_Delivery_Date]]&lt;=tblPO[[#This Row],[Expected_Delivery_Date]],1,0)</f>
        <v>1</v>
      </c>
      <c r="L1237">
        <f>IF(tblPO[[#This Row],[Actual_Delivery_Date]]&gt;tblPO[[#This Row],[Expected_Delivery_Date]],1,0)</f>
        <v>0</v>
      </c>
      <c r="M1237">
        <f>tblPO[[#This Row],[Actual_Delivery_Date]]-tblPO[[#This Row],[PO_Date]]</f>
        <v>18</v>
      </c>
    </row>
    <row r="1238" spans="1:13" x14ac:dyDescent="0.3">
      <c r="A1238" t="s">
        <v>1020</v>
      </c>
      <c r="B1238" s="18">
        <v>45509</v>
      </c>
      <c r="C1238" t="s">
        <v>46</v>
      </c>
      <c r="D1238" t="s">
        <v>106</v>
      </c>
      <c r="E1238">
        <v>5</v>
      </c>
      <c r="F1238">
        <v>23265.67</v>
      </c>
      <c r="G1238" s="18">
        <v>45531</v>
      </c>
      <c r="H1238" s="18">
        <v>45530</v>
      </c>
      <c r="I1238">
        <v>5</v>
      </c>
      <c r="J1238">
        <v>116328.35</v>
      </c>
      <c r="K1238">
        <f>IF(tblPO[[#This Row],[Actual_Delivery_Date]]&lt;=tblPO[[#This Row],[Expected_Delivery_Date]],1,0)</f>
        <v>1</v>
      </c>
      <c r="L1238">
        <f>IF(tblPO[[#This Row],[Actual_Delivery_Date]]&gt;tblPO[[#This Row],[Expected_Delivery_Date]],1,0)</f>
        <v>0</v>
      </c>
      <c r="M1238">
        <f>tblPO[[#This Row],[Actual_Delivery_Date]]-tblPO[[#This Row],[PO_Date]]</f>
        <v>21</v>
      </c>
    </row>
    <row r="1239" spans="1:13" x14ac:dyDescent="0.3">
      <c r="A1239" t="s">
        <v>1019</v>
      </c>
      <c r="B1239" s="18">
        <v>45505</v>
      </c>
      <c r="C1239" t="s">
        <v>42</v>
      </c>
      <c r="D1239" t="s">
        <v>84</v>
      </c>
      <c r="E1239">
        <v>21</v>
      </c>
      <c r="F1239">
        <v>223.96</v>
      </c>
      <c r="G1239" s="18">
        <v>45522</v>
      </c>
      <c r="H1239" s="18">
        <v>45519</v>
      </c>
      <c r="I1239">
        <v>21</v>
      </c>
      <c r="J1239">
        <v>4703.16</v>
      </c>
      <c r="K1239">
        <f>IF(tblPO[[#This Row],[Actual_Delivery_Date]]&lt;=tblPO[[#This Row],[Expected_Delivery_Date]],1,0)</f>
        <v>1</v>
      </c>
      <c r="L1239">
        <f>IF(tblPO[[#This Row],[Actual_Delivery_Date]]&gt;tblPO[[#This Row],[Expected_Delivery_Date]],1,0)</f>
        <v>0</v>
      </c>
      <c r="M1239">
        <f>tblPO[[#This Row],[Actual_Delivery_Date]]-tblPO[[#This Row],[PO_Date]]</f>
        <v>14</v>
      </c>
    </row>
    <row r="1240" spans="1:13" x14ac:dyDescent="0.3">
      <c r="A1240" t="s">
        <v>1018</v>
      </c>
      <c r="B1240" s="18">
        <v>45529</v>
      </c>
      <c r="C1240" t="s">
        <v>55</v>
      </c>
      <c r="D1240" t="s">
        <v>221</v>
      </c>
      <c r="E1240">
        <v>9</v>
      </c>
      <c r="F1240">
        <v>2153.19</v>
      </c>
      <c r="G1240" s="18">
        <v>45548</v>
      </c>
      <c r="H1240" s="18">
        <v>45546</v>
      </c>
      <c r="I1240">
        <v>9</v>
      </c>
      <c r="J1240">
        <v>19378.71</v>
      </c>
      <c r="K1240">
        <f>IF(tblPO[[#This Row],[Actual_Delivery_Date]]&lt;=tblPO[[#This Row],[Expected_Delivery_Date]],1,0)</f>
        <v>1</v>
      </c>
      <c r="L1240">
        <f>IF(tblPO[[#This Row],[Actual_Delivery_Date]]&gt;tblPO[[#This Row],[Expected_Delivery_Date]],1,0)</f>
        <v>0</v>
      </c>
      <c r="M1240">
        <f>tblPO[[#This Row],[Actual_Delivery_Date]]-tblPO[[#This Row],[PO_Date]]</f>
        <v>17</v>
      </c>
    </row>
    <row r="1241" spans="1:13" x14ac:dyDescent="0.3">
      <c r="A1241" t="s">
        <v>1017</v>
      </c>
      <c r="B1241" s="18">
        <v>45534</v>
      </c>
      <c r="C1241" t="s">
        <v>51</v>
      </c>
      <c r="D1241" t="s">
        <v>164</v>
      </c>
      <c r="E1241">
        <v>117</v>
      </c>
      <c r="F1241">
        <v>108.42</v>
      </c>
      <c r="G1241" s="18">
        <v>45539</v>
      </c>
      <c r="H1241" s="18">
        <v>45538</v>
      </c>
      <c r="I1241">
        <v>117</v>
      </c>
      <c r="J1241">
        <v>12685.14</v>
      </c>
      <c r="K1241">
        <f>IF(tblPO[[#This Row],[Actual_Delivery_Date]]&lt;=tblPO[[#This Row],[Expected_Delivery_Date]],1,0)</f>
        <v>1</v>
      </c>
      <c r="L1241">
        <f>IF(tblPO[[#This Row],[Actual_Delivery_Date]]&gt;tblPO[[#This Row],[Expected_Delivery_Date]],1,0)</f>
        <v>0</v>
      </c>
      <c r="M1241">
        <f>tblPO[[#This Row],[Actual_Delivery_Date]]-tblPO[[#This Row],[PO_Date]]</f>
        <v>4</v>
      </c>
    </row>
    <row r="1242" spans="1:13" x14ac:dyDescent="0.3">
      <c r="A1242" t="s">
        <v>1016</v>
      </c>
      <c r="B1242" s="18">
        <v>45529</v>
      </c>
      <c r="C1242" t="s">
        <v>41</v>
      </c>
      <c r="D1242" t="s">
        <v>181</v>
      </c>
      <c r="E1242">
        <v>1004</v>
      </c>
      <c r="F1242">
        <v>4.22</v>
      </c>
      <c r="G1242" s="18">
        <v>45543</v>
      </c>
      <c r="H1242" s="18">
        <v>45540</v>
      </c>
      <c r="I1242">
        <v>1004</v>
      </c>
      <c r="J1242">
        <v>4236.88</v>
      </c>
      <c r="K1242">
        <f>IF(tblPO[[#This Row],[Actual_Delivery_Date]]&lt;=tblPO[[#This Row],[Expected_Delivery_Date]],1,0)</f>
        <v>1</v>
      </c>
      <c r="L1242">
        <f>IF(tblPO[[#This Row],[Actual_Delivery_Date]]&gt;tblPO[[#This Row],[Expected_Delivery_Date]],1,0)</f>
        <v>0</v>
      </c>
      <c r="M1242">
        <f>tblPO[[#This Row],[Actual_Delivery_Date]]-tblPO[[#This Row],[PO_Date]]</f>
        <v>11</v>
      </c>
    </row>
    <row r="1243" spans="1:13" x14ac:dyDescent="0.3">
      <c r="A1243" t="s">
        <v>1015</v>
      </c>
      <c r="B1243" s="18">
        <v>45517</v>
      </c>
      <c r="C1243" t="s">
        <v>52</v>
      </c>
      <c r="D1243" t="s">
        <v>231</v>
      </c>
      <c r="E1243">
        <v>125</v>
      </c>
      <c r="F1243">
        <v>136.24</v>
      </c>
      <c r="G1243" s="18">
        <v>45524</v>
      </c>
      <c r="H1243" s="18">
        <v>45539</v>
      </c>
      <c r="I1243">
        <v>125</v>
      </c>
      <c r="J1243">
        <v>17030</v>
      </c>
      <c r="K1243">
        <f>IF(tblPO[[#This Row],[Actual_Delivery_Date]]&lt;=tblPO[[#This Row],[Expected_Delivery_Date]],1,0)</f>
        <v>0</v>
      </c>
      <c r="L1243">
        <f>IF(tblPO[[#This Row],[Actual_Delivery_Date]]&gt;tblPO[[#This Row],[Expected_Delivery_Date]],1,0)</f>
        <v>1</v>
      </c>
      <c r="M1243">
        <f>tblPO[[#This Row],[Actual_Delivery_Date]]-tblPO[[#This Row],[PO_Date]]</f>
        <v>22</v>
      </c>
    </row>
    <row r="1244" spans="1:13" x14ac:dyDescent="0.3">
      <c r="A1244" t="s">
        <v>1014</v>
      </c>
      <c r="B1244" s="18">
        <v>45526</v>
      </c>
      <c r="C1244" t="s">
        <v>70</v>
      </c>
      <c r="D1244" t="s">
        <v>203</v>
      </c>
      <c r="E1244">
        <v>122</v>
      </c>
      <c r="F1244">
        <v>331.5</v>
      </c>
      <c r="G1244" s="18">
        <v>45538</v>
      </c>
      <c r="H1244" s="18">
        <v>45536</v>
      </c>
      <c r="I1244">
        <v>122</v>
      </c>
      <c r="J1244">
        <v>40443</v>
      </c>
      <c r="K1244">
        <f>IF(tblPO[[#This Row],[Actual_Delivery_Date]]&lt;=tblPO[[#This Row],[Expected_Delivery_Date]],1,0)</f>
        <v>1</v>
      </c>
      <c r="L1244">
        <f>IF(tblPO[[#This Row],[Actual_Delivery_Date]]&gt;tblPO[[#This Row],[Expected_Delivery_Date]],1,0)</f>
        <v>0</v>
      </c>
      <c r="M1244">
        <f>tblPO[[#This Row],[Actual_Delivery_Date]]-tblPO[[#This Row],[PO_Date]]</f>
        <v>10</v>
      </c>
    </row>
    <row r="1245" spans="1:13" x14ac:dyDescent="0.3">
      <c r="A1245" t="s">
        <v>1013</v>
      </c>
      <c r="B1245" s="18">
        <v>45507</v>
      </c>
      <c r="C1245" t="s">
        <v>65</v>
      </c>
      <c r="D1245" t="s">
        <v>193</v>
      </c>
      <c r="E1245">
        <v>246</v>
      </c>
      <c r="F1245">
        <v>32.64</v>
      </c>
      <c r="G1245" s="18">
        <v>45510</v>
      </c>
      <c r="H1245" s="18">
        <v>45507</v>
      </c>
      <c r="I1245">
        <v>246</v>
      </c>
      <c r="J1245">
        <v>8029.44</v>
      </c>
      <c r="K1245">
        <f>IF(tblPO[[#This Row],[Actual_Delivery_Date]]&lt;=tblPO[[#This Row],[Expected_Delivery_Date]],1,0)</f>
        <v>1</v>
      </c>
      <c r="L1245">
        <f>IF(tblPO[[#This Row],[Actual_Delivery_Date]]&gt;tblPO[[#This Row],[Expected_Delivery_Date]],1,0)</f>
        <v>0</v>
      </c>
      <c r="M1245">
        <f>tblPO[[#This Row],[Actual_Delivery_Date]]-tblPO[[#This Row],[PO_Date]]</f>
        <v>0</v>
      </c>
    </row>
    <row r="1246" spans="1:13" x14ac:dyDescent="0.3">
      <c r="A1246" t="s">
        <v>1012</v>
      </c>
      <c r="B1246" s="18">
        <v>45516</v>
      </c>
      <c r="C1246" t="s">
        <v>59</v>
      </c>
      <c r="D1246" t="s">
        <v>86</v>
      </c>
      <c r="E1246">
        <v>11</v>
      </c>
      <c r="F1246">
        <v>203.96</v>
      </c>
      <c r="G1246" s="18">
        <v>45532</v>
      </c>
      <c r="H1246" s="18">
        <v>45529</v>
      </c>
      <c r="I1246">
        <v>11</v>
      </c>
      <c r="J1246">
        <v>2243.56</v>
      </c>
      <c r="K1246">
        <f>IF(tblPO[[#This Row],[Actual_Delivery_Date]]&lt;=tblPO[[#This Row],[Expected_Delivery_Date]],1,0)</f>
        <v>1</v>
      </c>
      <c r="L1246">
        <f>IF(tblPO[[#This Row],[Actual_Delivery_Date]]&gt;tblPO[[#This Row],[Expected_Delivery_Date]],1,0)</f>
        <v>0</v>
      </c>
      <c r="M1246">
        <f>tblPO[[#This Row],[Actual_Delivery_Date]]-tblPO[[#This Row],[PO_Date]]</f>
        <v>13</v>
      </c>
    </row>
    <row r="1247" spans="1:13" x14ac:dyDescent="0.3">
      <c r="A1247" t="s">
        <v>1011</v>
      </c>
      <c r="B1247" s="18">
        <v>45525</v>
      </c>
      <c r="C1247" t="s">
        <v>49</v>
      </c>
      <c r="D1247" t="s">
        <v>188</v>
      </c>
      <c r="E1247">
        <v>795</v>
      </c>
      <c r="F1247">
        <v>34.06</v>
      </c>
      <c r="G1247" s="18">
        <v>45543</v>
      </c>
      <c r="H1247" s="18">
        <v>45541</v>
      </c>
      <c r="I1247">
        <v>795</v>
      </c>
      <c r="J1247">
        <v>27077.7</v>
      </c>
      <c r="K1247">
        <f>IF(tblPO[[#This Row],[Actual_Delivery_Date]]&lt;=tblPO[[#This Row],[Expected_Delivery_Date]],1,0)</f>
        <v>1</v>
      </c>
      <c r="L1247">
        <f>IF(tblPO[[#This Row],[Actual_Delivery_Date]]&gt;tblPO[[#This Row],[Expected_Delivery_Date]],1,0)</f>
        <v>0</v>
      </c>
      <c r="M1247">
        <f>tblPO[[#This Row],[Actual_Delivery_Date]]-tblPO[[#This Row],[PO_Date]]</f>
        <v>16</v>
      </c>
    </row>
    <row r="1248" spans="1:13" x14ac:dyDescent="0.3">
      <c r="A1248" t="s">
        <v>1010</v>
      </c>
      <c r="B1248" s="18">
        <v>45524</v>
      </c>
      <c r="C1248" t="s">
        <v>49</v>
      </c>
      <c r="D1248" t="s">
        <v>195</v>
      </c>
      <c r="E1248">
        <v>101</v>
      </c>
      <c r="F1248">
        <v>572.04</v>
      </c>
      <c r="G1248" s="18">
        <v>45531</v>
      </c>
      <c r="H1248" s="18">
        <v>45531</v>
      </c>
      <c r="I1248">
        <v>101</v>
      </c>
      <c r="J1248">
        <v>57776.04</v>
      </c>
      <c r="K1248">
        <f>IF(tblPO[[#This Row],[Actual_Delivery_Date]]&lt;=tblPO[[#This Row],[Expected_Delivery_Date]],1,0)</f>
        <v>1</v>
      </c>
      <c r="L1248">
        <f>IF(tblPO[[#This Row],[Actual_Delivery_Date]]&gt;tblPO[[#This Row],[Expected_Delivery_Date]],1,0)</f>
        <v>0</v>
      </c>
      <c r="M1248">
        <f>tblPO[[#This Row],[Actual_Delivery_Date]]-tblPO[[#This Row],[PO_Date]]</f>
        <v>7</v>
      </c>
    </row>
    <row r="1249" spans="1:13" x14ac:dyDescent="0.3">
      <c r="A1249" t="s">
        <v>1009</v>
      </c>
      <c r="B1249" s="18">
        <v>45507</v>
      </c>
      <c r="C1249" t="s">
        <v>48</v>
      </c>
      <c r="D1249" t="s">
        <v>164</v>
      </c>
      <c r="E1249">
        <v>155</v>
      </c>
      <c r="F1249">
        <v>167.36</v>
      </c>
      <c r="G1249" s="18">
        <v>45523</v>
      </c>
      <c r="H1249" s="18">
        <v>45522</v>
      </c>
      <c r="I1249">
        <v>155</v>
      </c>
      <c r="J1249">
        <v>25940.799999999999</v>
      </c>
      <c r="K1249">
        <f>IF(tblPO[[#This Row],[Actual_Delivery_Date]]&lt;=tblPO[[#This Row],[Expected_Delivery_Date]],1,0)</f>
        <v>1</v>
      </c>
      <c r="L1249">
        <f>IF(tblPO[[#This Row],[Actual_Delivery_Date]]&gt;tblPO[[#This Row],[Expected_Delivery_Date]],1,0)</f>
        <v>0</v>
      </c>
      <c r="M1249">
        <f>tblPO[[#This Row],[Actual_Delivery_Date]]-tblPO[[#This Row],[PO_Date]]</f>
        <v>15</v>
      </c>
    </row>
    <row r="1250" spans="1:13" x14ac:dyDescent="0.3">
      <c r="A1250" t="s">
        <v>1008</v>
      </c>
      <c r="B1250" s="18">
        <v>45522</v>
      </c>
      <c r="C1250" t="s">
        <v>38</v>
      </c>
      <c r="D1250" t="s">
        <v>221</v>
      </c>
      <c r="E1250">
        <v>21</v>
      </c>
      <c r="F1250">
        <v>1907.97</v>
      </c>
      <c r="G1250" s="18">
        <v>45535</v>
      </c>
      <c r="H1250" s="18">
        <v>45534</v>
      </c>
      <c r="I1250">
        <v>21</v>
      </c>
      <c r="J1250">
        <v>40067.370000000003</v>
      </c>
      <c r="K1250">
        <f>IF(tblPO[[#This Row],[Actual_Delivery_Date]]&lt;=tblPO[[#This Row],[Expected_Delivery_Date]],1,0)</f>
        <v>1</v>
      </c>
      <c r="L1250">
        <f>IF(tblPO[[#This Row],[Actual_Delivery_Date]]&gt;tblPO[[#This Row],[Expected_Delivery_Date]],1,0)</f>
        <v>0</v>
      </c>
      <c r="M1250">
        <f>tblPO[[#This Row],[Actual_Delivery_Date]]-tblPO[[#This Row],[PO_Date]]</f>
        <v>12</v>
      </c>
    </row>
    <row r="1251" spans="1:13" x14ac:dyDescent="0.3">
      <c r="A1251" t="s">
        <v>1007</v>
      </c>
      <c r="B1251" s="18">
        <v>45507</v>
      </c>
      <c r="C1251" t="s">
        <v>53</v>
      </c>
      <c r="D1251" t="s">
        <v>102</v>
      </c>
      <c r="E1251">
        <v>101</v>
      </c>
      <c r="F1251">
        <v>592.76</v>
      </c>
      <c r="G1251" s="18">
        <v>45524</v>
      </c>
      <c r="H1251" s="18">
        <v>45531</v>
      </c>
      <c r="I1251">
        <v>101</v>
      </c>
      <c r="J1251">
        <v>59868.76</v>
      </c>
      <c r="K1251">
        <f>IF(tblPO[[#This Row],[Actual_Delivery_Date]]&lt;=tblPO[[#This Row],[Expected_Delivery_Date]],1,0)</f>
        <v>0</v>
      </c>
      <c r="L1251">
        <f>IF(tblPO[[#This Row],[Actual_Delivery_Date]]&gt;tblPO[[#This Row],[Expected_Delivery_Date]],1,0)</f>
        <v>1</v>
      </c>
      <c r="M1251">
        <f>tblPO[[#This Row],[Actual_Delivery_Date]]-tblPO[[#This Row],[PO_Date]]</f>
        <v>24</v>
      </c>
    </row>
    <row r="1252" spans="1:13" x14ac:dyDescent="0.3">
      <c r="A1252" t="s">
        <v>1006</v>
      </c>
      <c r="B1252" s="18">
        <v>45521</v>
      </c>
      <c r="C1252" t="s">
        <v>40</v>
      </c>
      <c r="D1252" t="s">
        <v>136</v>
      </c>
      <c r="E1252">
        <v>166</v>
      </c>
      <c r="F1252">
        <v>701.78</v>
      </c>
      <c r="G1252" s="18">
        <v>45533</v>
      </c>
      <c r="H1252" s="18">
        <v>45530</v>
      </c>
      <c r="I1252">
        <v>166</v>
      </c>
      <c r="J1252">
        <v>116495.48</v>
      </c>
      <c r="K1252">
        <f>IF(tblPO[[#This Row],[Actual_Delivery_Date]]&lt;=tblPO[[#This Row],[Expected_Delivery_Date]],1,0)</f>
        <v>1</v>
      </c>
      <c r="L1252">
        <f>IF(tblPO[[#This Row],[Actual_Delivery_Date]]&gt;tblPO[[#This Row],[Expected_Delivery_Date]],1,0)</f>
        <v>0</v>
      </c>
      <c r="M1252">
        <f>tblPO[[#This Row],[Actual_Delivery_Date]]-tblPO[[#This Row],[PO_Date]]</f>
        <v>9</v>
      </c>
    </row>
    <row r="1253" spans="1:13" x14ac:dyDescent="0.3">
      <c r="A1253" t="s">
        <v>1005</v>
      </c>
      <c r="B1253" s="18">
        <v>45534</v>
      </c>
      <c r="C1253" t="s">
        <v>51</v>
      </c>
      <c r="D1253" t="s">
        <v>146</v>
      </c>
      <c r="E1253">
        <v>17</v>
      </c>
      <c r="F1253">
        <v>2305.91</v>
      </c>
      <c r="G1253" s="18">
        <v>45545</v>
      </c>
      <c r="H1253" s="18">
        <v>45542</v>
      </c>
      <c r="I1253">
        <v>17</v>
      </c>
      <c r="J1253">
        <v>39200.47</v>
      </c>
      <c r="K1253">
        <f>IF(tblPO[[#This Row],[Actual_Delivery_Date]]&lt;=tblPO[[#This Row],[Expected_Delivery_Date]],1,0)</f>
        <v>1</v>
      </c>
      <c r="L1253">
        <f>IF(tblPO[[#This Row],[Actual_Delivery_Date]]&gt;tblPO[[#This Row],[Expected_Delivery_Date]],1,0)</f>
        <v>0</v>
      </c>
      <c r="M1253">
        <f>tblPO[[#This Row],[Actual_Delivery_Date]]-tblPO[[#This Row],[PO_Date]]</f>
        <v>8</v>
      </c>
    </row>
    <row r="1254" spans="1:13" x14ac:dyDescent="0.3">
      <c r="A1254" t="s">
        <v>1004</v>
      </c>
      <c r="B1254" s="18">
        <v>45509</v>
      </c>
      <c r="C1254" t="s">
        <v>55</v>
      </c>
      <c r="D1254" t="s">
        <v>235</v>
      </c>
      <c r="E1254">
        <v>110</v>
      </c>
      <c r="F1254">
        <v>83.08</v>
      </c>
      <c r="G1254" s="18">
        <v>45527</v>
      </c>
      <c r="H1254" s="18">
        <v>45526</v>
      </c>
      <c r="I1254">
        <v>110</v>
      </c>
      <c r="J1254">
        <v>9138.7999999999993</v>
      </c>
      <c r="K1254">
        <f>IF(tblPO[[#This Row],[Actual_Delivery_Date]]&lt;=tblPO[[#This Row],[Expected_Delivery_Date]],1,0)</f>
        <v>1</v>
      </c>
      <c r="L1254">
        <f>IF(tblPO[[#This Row],[Actual_Delivery_Date]]&gt;tblPO[[#This Row],[Expected_Delivery_Date]],1,0)</f>
        <v>0</v>
      </c>
      <c r="M1254">
        <f>tblPO[[#This Row],[Actual_Delivery_Date]]-tblPO[[#This Row],[PO_Date]]</f>
        <v>17</v>
      </c>
    </row>
    <row r="1255" spans="1:13" x14ac:dyDescent="0.3">
      <c r="A1255" t="s">
        <v>1003</v>
      </c>
      <c r="B1255" s="18">
        <v>45512</v>
      </c>
      <c r="C1255" t="s">
        <v>48</v>
      </c>
      <c r="D1255" t="s">
        <v>156</v>
      </c>
      <c r="E1255">
        <v>113</v>
      </c>
      <c r="F1255">
        <v>73.86</v>
      </c>
      <c r="G1255" s="18">
        <v>45539</v>
      </c>
      <c r="H1255" s="18">
        <v>45536</v>
      </c>
      <c r="I1255">
        <v>113</v>
      </c>
      <c r="J1255">
        <v>8346.18</v>
      </c>
      <c r="K1255">
        <f>IF(tblPO[[#This Row],[Actual_Delivery_Date]]&lt;=tblPO[[#This Row],[Expected_Delivery_Date]],1,0)</f>
        <v>1</v>
      </c>
      <c r="L1255">
        <f>IF(tblPO[[#This Row],[Actual_Delivery_Date]]&gt;tblPO[[#This Row],[Expected_Delivery_Date]],1,0)</f>
        <v>0</v>
      </c>
      <c r="M1255">
        <f>tblPO[[#This Row],[Actual_Delivery_Date]]-tblPO[[#This Row],[PO_Date]]</f>
        <v>24</v>
      </c>
    </row>
    <row r="1256" spans="1:13" x14ac:dyDescent="0.3">
      <c r="A1256" t="s">
        <v>1002</v>
      </c>
      <c r="B1256" s="18">
        <v>45528</v>
      </c>
      <c r="C1256" t="s">
        <v>40</v>
      </c>
      <c r="D1256" t="s">
        <v>140</v>
      </c>
      <c r="E1256">
        <v>163</v>
      </c>
      <c r="F1256">
        <v>456.87</v>
      </c>
      <c r="G1256" s="18">
        <v>45533</v>
      </c>
      <c r="H1256" s="18">
        <v>45533</v>
      </c>
      <c r="I1256">
        <v>163</v>
      </c>
      <c r="J1256">
        <v>74469.81</v>
      </c>
      <c r="K1256">
        <f>IF(tblPO[[#This Row],[Actual_Delivery_Date]]&lt;=tblPO[[#This Row],[Expected_Delivery_Date]],1,0)</f>
        <v>1</v>
      </c>
      <c r="L1256">
        <f>IF(tblPO[[#This Row],[Actual_Delivery_Date]]&gt;tblPO[[#This Row],[Expected_Delivery_Date]],1,0)</f>
        <v>0</v>
      </c>
      <c r="M1256">
        <f>tblPO[[#This Row],[Actual_Delivery_Date]]-tblPO[[#This Row],[PO_Date]]</f>
        <v>5</v>
      </c>
    </row>
    <row r="1257" spans="1:13" x14ac:dyDescent="0.3">
      <c r="A1257" t="s">
        <v>1001</v>
      </c>
      <c r="B1257" s="18">
        <v>45506</v>
      </c>
      <c r="C1257" t="s">
        <v>40</v>
      </c>
      <c r="D1257" t="s">
        <v>134</v>
      </c>
      <c r="E1257">
        <v>5</v>
      </c>
      <c r="F1257">
        <v>4488.79</v>
      </c>
      <c r="G1257" s="18">
        <v>45524</v>
      </c>
      <c r="H1257" s="18">
        <v>45523</v>
      </c>
      <c r="I1257">
        <v>5</v>
      </c>
      <c r="J1257">
        <v>22443.95</v>
      </c>
      <c r="K1257">
        <f>IF(tblPO[[#This Row],[Actual_Delivery_Date]]&lt;=tblPO[[#This Row],[Expected_Delivery_Date]],1,0)</f>
        <v>1</v>
      </c>
      <c r="L1257">
        <f>IF(tblPO[[#This Row],[Actual_Delivery_Date]]&gt;tblPO[[#This Row],[Expected_Delivery_Date]],1,0)</f>
        <v>0</v>
      </c>
      <c r="M1257">
        <f>tblPO[[#This Row],[Actual_Delivery_Date]]-tblPO[[#This Row],[PO_Date]]</f>
        <v>17</v>
      </c>
    </row>
    <row r="1258" spans="1:13" x14ac:dyDescent="0.3">
      <c r="A1258" t="s">
        <v>1000</v>
      </c>
      <c r="B1258" s="18">
        <v>45505</v>
      </c>
      <c r="C1258" t="s">
        <v>40</v>
      </c>
      <c r="D1258" t="s">
        <v>134</v>
      </c>
      <c r="E1258">
        <v>9</v>
      </c>
      <c r="F1258">
        <v>4509.33</v>
      </c>
      <c r="G1258" s="18">
        <v>45509</v>
      </c>
      <c r="H1258" s="18">
        <v>45507</v>
      </c>
      <c r="I1258">
        <v>9</v>
      </c>
      <c r="J1258">
        <v>40583.97</v>
      </c>
      <c r="K1258">
        <f>IF(tblPO[[#This Row],[Actual_Delivery_Date]]&lt;=tblPO[[#This Row],[Expected_Delivery_Date]],1,0)</f>
        <v>1</v>
      </c>
      <c r="L1258">
        <f>IF(tblPO[[#This Row],[Actual_Delivery_Date]]&gt;tblPO[[#This Row],[Expected_Delivery_Date]],1,0)</f>
        <v>0</v>
      </c>
      <c r="M1258">
        <f>tblPO[[#This Row],[Actual_Delivery_Date]]-tblPO[[#This Row],[PO_Date]]</f>
        <v>2</v>
      </c>
    </row>
    <row r="1259" spans="1:13" x14ac:dyDescent="0.3">
      <c r="A1259" t="s">
        <v>999</v>
      </c>
      <c r="B1259" s="18">
        <v>45528</v>
      </c>
      <c r="C1259" t="s">
        <v>51</v>
      </c>
      <c r="D1259" t="s">
        <v>149</v>
      </c>
      <c r="E1259">
        <v>750</v>
      </c>
      <c r="F1259">
        <v>60.61</v>
      </c>
      <c r="G1259" s="18">
        <v>45531</v>
      </c>
      <c r="H1259" s="18">
        <v>45528</v>
      </c>
      <c r="I1259">
        <v>750</v>
      </c>
      <c r="J1259">
        <v>45457.5</v>
      </c>
      <c r="K1259">
        <f>IF(tblPO[[#This Row],[Actual_Delivery_Date]]&lt;=tblPO[[#This Row],[Expected_Delivery_Date]],1,0)</f>
        <v>1</v>
      </c>
      <c r="L1259">
        <f>IF(tblPO[[#This Row],[Actual_Delivery_Date]]&gt;tblPO[[#This Row],[Expected_Delivery_Date]],1,0)</f>
        <v>0</v>
      </c>
      <c r="M1259">
        <f>tblPO[[#This Row],[Actual_Delivery_Date]]-tblPO[[#This Row],[PO_Date]]</f>
        <v>0</v>
      </c>
    </row>
    <row r="1260" spans="1:13" x14ac:dyDescent="0.3">
      <c r="A1260" t="s">
        <v>998</v>
      </c>
      <c r="B1260" s="18">
        <v>45527</v>
      </c>
      <c r="C1260" t="s">
        <v>66</v>
      </c>
      <c r="D1260" t="s">
        <v>227</v>
      </c>
      <c r="E1260">
        <v>15</v>
      </c>
      <c r="F1260">
        <v>1079.1099999999999</v>
      </c>
      <c r="G1260" s="18">
        <v>45543</v>
      </c>
      <c r="H1260" s="18">
        <v>45540</v>
      </c>
      <c r="I1260">
        <v>15</v>
      </c>
      <c r="J1260">
        <v>16186.65</v>
      </c>
      <c r="K1260">
        <f>IF(tblPO[[#This Row],[Actual_Delivery_Date]]&lt;=tblPO[[#This Row],[Expected_Delivery_Date]],1,0)</f>
        <v>1</v>
      </c>
      <c r="L1260">
        <f>IF(tblPO[[#This Row],[Actual_Delivery_Date]]&gt;tblPO[[#This Row],[Expected_Delivery_Date]],1,0)</f>
        <v>0</v>
      </c>
      <c r="M1260">
        <f>tblPO[[#This Row],[Actual_Delivery_Date]]-tblPO[[#This Row],[PO_Date]]</f>
        <v>13</v>
      </c>
    </row>
    <row r="1261" spans="1:13" x14ac:dyDescent="0.3">
      <c r="A1261" t="s">
        <v>997</v>
      </c>
      <c r="B1261" s="18">
        <v>45516</v>
      </c>
      <c r="C1261" t="s">
        <v>43</v>
      </c>
      <c r="D1261" t="s">
        <v>146</v>
      </c>
      <c r="E1261">
        <v>13</v>
      </c>
      <c r="F1261">
        <v>2543.3200000000002</v>
      </c>
      <c r="G1261" s="18">
        <v>45525</v>
      </c>
      <c r="H1261" s="18">
        <v>45522</v>
      </c>
      <c r="I1261">
        <v>13</v>
      </c>
      <c r="J1261">
        <v>33063.160000000003</v>
      </c>
      <c r="K1261">
        <f>IF(tblPO[[#This Row],[Actual_Delivery_Date]]&lt;=tblPO[[#This Row],[Expected_Delivery_Date]],1,0)</f>
        <v>1</v>
      </c>
      <c r="L1261">
        <f>IF(tblPO[[#This Row],[Actual_Delivery_Date]]&gt;tblPO[[#This Row],[Expected_Delivery_Date]],1,0)</f>
        <v>0</v>
      </c>
      <c r="M1261">
        <f>tblPO[[#This Row],[Actual_Delivery_Date]]-tblPO[[#This Row],[PO_Date]]</f>
        <v>6</v>
      </c>
    </row>
    <row r="1262" spans="1:13" x14ac:dyDescent="0.3">
      <c r="A1262" t="s">
        <v>996</v>
      </c>
      <c r="B1262" s="18">
        <v>45518</v>
      </c>
      <c r="C1262" t="s">
        <v>43</v>
      </c>
      <c r="D1262" t="s">
        <v>174</v>
      </c>
      <c r="E1262">
        <v>282</v>
      </c>
      <c r="F1262">
        <v>34.44</v>
      </c>
      <c r="G1262" s="18">
        <v>45522</v>
      </c>
      <c r="H1262" s="18">
        <v>45528</v>
      </c>
      <c r="I1262">
        <v>282</v>
      </c>
      <c r="J1262">
        <v>9712.08</v>
      </c>
      <c r="K1262">
        <f>IF(tblPO[[#This Row],[Actual_Delivery_Date]]&lt;=tblPO[[#This Row],[Expected_Delivery_Date]],1,0)</f>
        <v>0</v>
      </c>
      <c r="L1262">
        <f>IF(tblPO[[#This Row],[Actual_Delivery_Date]]&gt;tblPO[[#This Row],[Expected_Delivery_Date]],1,0)</f>
        <v>1</v>
      </c>
      <c r="M1262">
        <f>tblPO[[#This Row],[Actual_Delivery_Date]]-tblPO[[#This Row],[PO_Date]]</f>
        <v>10</v>
      </c>
    </row>
    <row r="1263" spans="1:13" x14ac:dyDescent="0.3">
      <c r="A1263" t="s">
        <v>995</v>
      </c>
      <c r="B1263" s="18">
        <v>45506</v>
      </c>
      <c r="C1263" t="s">
        <v>42</v>
      </c>
      <c r="D1263" t="s">
        <v>104</v>
      </c>
      <c r="E1263">
        <v>29</v>
      </c>
      <c r="F1263">
        <v>475.19</v>
      </c>
      <c r="G1263" s="18">
        <v>45522</v>
      </c>
      <c r="H1263" s="18">
        <v>45521</v>
      </c>
      <c r="I1263">
        <v>26</v>
      </c>
      <c r="J1263">
        <v>13780.51</v>
      </c>
      <c r="K1263">
        <f>IF(tblPO[[#This Row],[Actual_Delivery_Date]]&lt;=tblPO[[#This Row],[Expected_Delivery_Date]],1,0)</f>
        <v>1</v>
      </c>
      <c r="L1263">
        <f>IF(tblPO[[#This Row],[Actual_Delivery_Date]]&gt;tblPO[[#This Row],[Expected_Delivery_Date]],1,0)</f>
        <v>0</v>
      </c>
      <c r="M1263">
        <f>tblPO[[#This Row],[Actual_Delivery_Date]]-tblPO[[#This Row],[PO_Date]]</f>
        <v>15</v>
      </c>
    </row>
    <row r="1264" spans="1:13" x14ac:dyDescent="0.3">
      <c r="A1264" t="s">
        <v>994</v>
      </c>
      <c r="B1264" s="18">
        <v>45509</v>
      </c>
      <c r="C1264" t="s">
        <v>42</v>
      </c>
      <c r="D1264" t="s">
        <v>90</v>
      </c>
      <c r="E1264">
        <v>5</v>
      </c>
      <c r="F1264">
        <v>35226.949999999997</v>
      </c>
      <c r="G1264" s="18">
        <v>45533</v>
      </c>
      <c r="H1264" s="18">
        <v>45530</v>
      </c>
      <c r="I1264">
        <v>5</v>
      </c>
      <c r="J1264">
        <v>176134.75</v>
      </c>
      <c r="K1264">
        <f>IF(tblPO[[#This Row],[Actual_Delivery_Date]]&lt;=tblPO[[#This Row],[Expected_Delivery_Date]],1,0)</f>
        <v>1</v>
      </c>
      <c r="L1264">
        <f>IF(tblPO[[#This Row],[Actual_Delivery_Date]]&gt;tblPO[[#This Row],[Expected_Delivery_Date]],1,0)</f>
        <v>0</v>
      </c>
      <c r="M1264">
        <f>tblPO[[#This Row],[Actual_Delivery_Date]]-tblPO[[#This Row],[PO_Date]]</f>
        <v>21</v>
      </c>
    </row>
    <row r="1265" spans="1:13" x14ac:dyDescent="0.3">
      <c r="A1265" t="s">
        <v>993</v>
      </c>
      <c r="B1265" s="18">
        <v>45511</v>
      </c>
      <c r="C1265" t="s">
        <v>57</v>
      </c>
      <c r="D1265" t="s">
        <v>207</v>
      </c>
      <c r="E1265">
        <v>606</v>
      </c>
      <c r="F1265">
        <v>11.29</v>
      </c>
      <c r="G1265" s="18">
        <v>45538</v>
      </c>
      <c r="H1265" s="18">
        <v>45537</v>
      </c>
      <c r="I1265">
        <v>606</v>
      </c>
      <c r="J1265">
        <v>6841.74</v>
      </c>
      <c r="K1265">
        <f>IF(tblPO[[#This Row],[Actual_Delivery_Date]]&lt;=tblPO[[#This Row],[Expected_Delivery_Date]],1,0)</f>
        <v>1</v>
      </c>
      <c r="L1265">
        <f>IF(tblPO[[#This Row],[Actual_Delivery_Date]]&gt;tblPO[[#This Row],[Expected_Delivery_Date]],1,0)</f>
        <v>0</v>
      </c>
      <c r="M1265">
        <f>tblPO[[#This Row],[Actual_Delivery_Date]]-tblPO[[#This Row],[PO_Date]]</f>
        <v>26</v>
      </c>
    </row>
    <row r="1266" spans="1:13" x14ac:dyDescent="0.3">
      <c r="A1266" t="s">
        <v>992</v>
      </c>
      <c r="B1266" s="18">
        <v>45514</v>
      </c>
      <c r="C1266" t="s">
        <v>39</v>
      </c>
      <c r="D1266" t="s">
        <v>149</v>
      </c>
      <c r="E1266">
        <v>780</v>
      </c>
      <c r="F1266">
        <v>83.06</v>
      </c>
      <c r="G1266" s="18">
        <v>45537</v>
      </c>
      <c r="H1266" s="18">
        <v>45536</v>
      </c>
      <c r="I1266">
        <v>780</v>
      </c>
      <c r="J1266">
        <v>64786.8</v>
      </c>
      <c r="K1266">
        <f>IF(tblPO[[#This Row],[Actual_Delivery_Date]]&lt;=tblPO[[#This Row],[Expected_Delivery_Date]],1,0)</f>
        <v>1</v>
      </c>
      <c r="L1266">
        <f>IF(tblPO[[#This Row],[Actual_Delivery_Date]]&gt;tblPO[[#This Row],[Expected_Delivery_Date]],1,0)</f>
        <v>0</v>
      </c>
      <c r="M1266">
        <f>tblPO[[#This Row],[Actual_Delivery_Date]]-tblPO[[#This Row],[PO_Date]]</f>
        <v>22</v>
      </c>
    </row>
    <row r="1267" spans="1:13" x14ac:dyDescent="0.3">
      <c r="A1267" t="s">
        <v>991</v>
      </c>
      <c r="B1267" s="18">
        <v>45515</v>
      </c>
      <c r="C1267" t="s">
        <v>46</v>
      </c>
      <c r="D1267" t="s">
        <v>104</v>
      </c>
      <c r="E1267">
        <v>78</v>
      </c>
      <c r="F1267">
        <v>476.02</v>
      </c>
      <c r="G1267" s="18">
        <v>45544</v>
      </c>
      <c r="H1267" s="18">
        <v>45541</v>
      </c>
      <c r="I1267">
        <v>78</v>
      </c>
      <c r="J1267">
        <v>37129.56</v>
      </c>
      <c r="K1267">
        <f>IF(tblPO[[#This Row],[Actual_Delivery_Date]]&lt;=tblPO[[#This Row],[Expected_Delivery_Date]],1,0)</f>
        <v>1</v>
      </c>
      <c r="L1267">
        <f>IF(tblPO[[#This Row],[Actual_Delivery_Date]]&gt;tblPO[[#This Row],[Expected_Delivery_Date]],1,0)</f>
        <v>0</v>
      </c>
      <c r="M1267">
        <f>tblPO[[#This Row],[Actual_Delivery_Date]]-tblPO[[#This Row],[PO_Date]]</f>
        <v>26</v>
      </c>
    </row>
    <row r="1268" spans="1:13" x14ac:dyDescent="0.3">
      <c r="A1268" t="s">
        <v>990</v>
      </c>
      <c r="B1268" s="18">
        <v>45520</v>
      </c>
      <c r="C1268" t="s">
        <v>72</v>
      </c>
      <c r="D1268" t="s">
        <v>225</v>
      </c>
      <c r="E1268">
        <v>169</v>
      </c>
      <c r="F1268">
        <v>152.06</v>
      </c>
      <c r="G1268" s="18">
        <v>45531</v>
      </c>
      <c r="H1268" s="18">
        <v>45529</v>
      </c>
      <c r="I1268">
        <v>169</v>
      </c>
      <c r="J1268">
        <v>25698.14</v>
      </c>
      <c r="K1268">
        <f>IF(tblPO[[#This Row],[Actual_Delivery_Date]]&lt;=tblPO[[#This Row],[Expected_Delivery_Date]],1,0)</f>
        <v>1</v>
      </c>
      <c r="L1268">
        <f>IF(tblPO[[#This Row],[Actual_Delivery_Date]]&gt;tblPO[[#This Row],[Expected_Delivery_Date]],1,0)</f>
        <v>0</v>
      </c>
      <c r="M1268">
        <f>tblPO[[#This Row],[Actual_Delivery_Date]]-tblPO[[#This Row],[PO_Date]]</f>
        <v>9</v>
      </c>
    </row>
    <row r="1269" spans="1:13" x14ac:dyDescent="0.3">
      <c r="A1269" t="s">
        <v>989</v>
      </c>
      <c r="B1269" s="18">
        <v>45511</v>
      </c>
      <c r="C1269" t="s">
        <v>44</v>
      </c>
      <c r="D1269" t="s">
        <v>193</v>
      </c>
      <c r="E1269">
        <v>616</v>
      </c>
      <c r="F1269">
        <v>28.08</v>
      </c>
      <c r="G1269" s="18">
        <v>45526</v>
      </c>
      <c r="H1269" s="18">
        <v>45524</v>
      </c>
      <c r="I1269">
        <v>558</v>
      </c>
      <c r="J1269">
        <v>17297.28</v>
      </c>
      <c r="K1269">
        <f>IF(tblPO[[#This Row],[Actual_Delivery_Date]]&lt;=tblPO[[#This Row],[Expected_Delivery_Date]],1,0)</f>
        <v>1</v>
      </c>
      <c r="L1269">
        <f>IF(tblPO[[#This Row],[Actual_Delivery_Date]]&gt;tblPO[[#This Row],[Expected_Delivery_Date]],1,0)</f>
        <v>0</v>
      </c>
      <c r="M1269">
        <f>tblPO[[#This Row],[Actual_Delivery_Date]]-tblPO[[#This Row],[PO_Date]]</f>
        <v>13</v>
      </c>
    </row>
    <row r="1270" spans="1:13" x14ac:dyDescent="0.3">
      <c r="A1270" t="s">
        <v>988</v>
      </c>
      <c r="B1270" s="18">
        <v>45535</v>
      </c>
      <c r="C1270" t="s">
        <v>43</v>
      </c>
      <c r="D1270" t="s">
        <v>162</v>
      </c>
      <c r="E1270">
        <v>514</v>
      </c>
      <c r="F1270">
        <v>34.61</v>
      </c>
      <c r="G1270" s="18">
        <v>45541</v>
      </c>
      <c r="H1270" s="18">
        <v>45538</v>
      </c>
      <c r="I1270">
        <v>514</v>
      </c>
      <c r="J1270">
        <v>17789.54</v>
      </c>
      <c r="K1270">
        <f>IF(tblPO[[#This Row],[Actual_Delivery_Date]]&lt;=tblPO[[#This Row],[Expected_Delivery_Date]],1,0)</f>
        <v>1</v>
      </c>
      <c r="L1270">
        <f>IF(tblPO[[#This Row],[Actual_Delivery_Date]]&gt;tblPO[[#This Row],[Expected_Delivery_Date]],1,0)</f>
        <v>0</v>
      </c>
      <c r="M1270">
        <f>tblPO[[#This Row],[Actual_Delivery_Date]]-tblPO[[#This Row],[PO_Date]]</f>
        <v>3</v>
      </c>
    </row>
    <row r="1271" spans="1:13" x14ac:dyDescent="0.3">
      <c r="A1271" t="s">
        <v>987</v>
      </c>
      <c r="B1271" s="18">
        <v>45506</v>
      </c>
      <c r="C1271" t="s">
        <v>57</v>
      </c>
      <c r="D1271" t="s">
        <v>190</v>
      </c>
      <c r="E1271">
        <v>31</v>
      </c>
      <c r="F1271">
        <v>114.13</v>
      </c>
      <c r="G1271" s="18">
        <v>45526</v>
      </c>
      <c r="H1271" s="18">
        <v>45530</v>
      </c>
      <c r="I1271">
        <v>31</v>
      </c>
      <c r="J1271">
        <v>3538.03</v>
      </c>
      <c r="K1271">
        <f>IF(tblPO[[#This Row],[Actual_Delivery_Date]]&lt;=tblPO[[#This Row],[Expected_Delivery_Date]],1,0)</f>
        <v>0</v>
      </c>
      <c r="L1271">
        <f>IF(tblPO[[#This Row],[Actual_Delivery_Date]]&gt;tblPO[[#This Row],[Expected_Delivery_Date]],1,0)</f>
        <v>1</v>
      </c>
      <c r="M1271">
        <f>tblPO[[#This Row],[Actual_Delivery_Date]]-tblPO[[#This Row],[PO_Date]]</f>
        <v>24</v>
      </c>
    </row>
    <row r="1272" spans="1:13" x14ac:dyDescent="0.3">
      <c r="A1272" t="s">
        <v>986</v>
      </c>
      <c r="B1272" s="18">
        <v>45506</v>
      </c>
      <c r="C1272" t="s">
        <v>44</v>
      </c>
      <c r="D1272" t="s">
        <v>181</v>
      </c>
      <c r="E1272">
        <v>1009</v>
      </c>
      <c r="F1272">
        <v>3.66</v>
      </c>
      <c r="G1272" s="18">
        <v>45525</v>
      </c>
      <c r="H1272" s="18">
        <v>45523</v>
      </c>
      <c r="I1272">
        <v>1009</v>
      </c>
      <c r="J1272">
        <v>3692.94</v>
      </c>
      <c r="K1272">
        <f>IF(tblPO[[#This Row],[Actual_Delivery_Date]]&lt;=tblPO[[#This Row],[Expected_Delivery_Date]],1,0)</f>
        <v>1</v>
      </c>
      <c r="L1272">
        <f>IF(tblPO[[#This Row],[Actual_Delivery_Date]]&gt;tblPO[[#This Row],[Expected_Delivery_Date]],1,0)</f>
        <v>0</v>
      </c>
      <c r="M1272">
        <f>tblPO[[#This Row],[Actual_Delivery_Date]]-tblPO[[#This Row],[PO_Date]]</f>
        <v>17</v>
      </c>
    </row>
    <row r="1273" spans="1:13" x14ac:dyDescent="0.3">
      <c r="A1273" t="s">
        <v>985</v>
      </c>
      <c r="B1273" s="18">
        <v>45506</v>
      </c>
      <c r="C1273" t="s">
        <v>68</v>
      </c>
      <c r="D1273" t="s">
        <v>160</v>
      </c>
      <c r="E1273">
        <v>362</v>
      </c>
      <c r="F1273">
        <v>71.45</v>
      </c>
      <c r="G1273" s="18">
        <v>45520</v>
      </c>
      <c r="H1273" s="18">
        <v>45540</v>
      </c>
      <c r="I1273">
        <v>362</v>
      </c>
      <c r="J1273">
        <v>25864.9</v>
      </c>
      <c r="K1273">
        <f>IF(tblPO[[#This Row],[Actual_Delivery_Date]]&lt;=tblPO[[#This Row],[Expected_Delivery_Date]],1,0)</f>
        <v>0</v>
      </c>
      <c r="L1273">
        <f>IF(tblPO[[#This Row],[Actual_Delivery_Date]]&gt;tblPO[[#This Row],[Expected_Delivery_Date]],1,0)</f>
        <v>1</v>
      </c>
      <c r="M1273">
        <f>tblPO[[#This Row],[Actual_Delivery_Date]]-tblPO[[#This Row],[PO_Date]]</f>
        <v>34</v>
      </c>
    </row>
    <row r="1274" spans="1:13" x14ac:dyDescent="0.3">
      <c r="A1274" t="s">
        <v>984</v>
      </c>
      <c r="B1274" s="18">
        <v>45530</v>
      </c>
      <c r="C1274" t="s">
        <v>42</v>
      </c>
      <c r="D1274" t="s">
        <v>81</v>
      </c>
      <c r="E1274">
        <v>5</v>
      </c>
      <c r="F1274">
        <v>26488.33</v>
      </c>
      <c r="G1274" s="18">
        <v>45560</v>
      </c>
      <c r="H1274" s="18">
        <v>45557</v>
      </c>
      <c r="I1274">
        <v>5</v>
      </c>
      <c r="J1274">
        <v>132441.65</v>
      </c>
      <c r="K1274">
        <f>IF(tblPO[[#This Row],[Actual_Delivery_Date]]&lt;=tblPO[[#This Row],[Expected_Delivery_Date]],1,0)</f>
        <v>1</v>
      </c>
      <c r="L1274">
        <f>IF(tblPO[[#This Row],[Actual_Delivery_Date]]&gt;tblPO[[#This Row],[Expected_Delivery_Date]],1,0)</f>
        <v>0</v>
      </c>
      <c r="M1274">
        <f>tblPO[[#This Row],[Actual_Delivery_Date]]-tblPO[[#This Row],[PO_Date]]</f>
        <v>27</v>
      </c>
    </row>
    <row r="1275" spans="1:13" x14ac:dyDescent="0.3">
      <c r="A1275" t="s">
        <v>983</v>
      </c>
      <c r="B1275" s="18">
        <v>45530</v>
      </c>
      <c r="C1275" t="s">
        <v>64</v>
      </c>
      <c r="D1275" t="s">
        <v>115</v>
      </c>
      <c r="E1275">
        <v>15</v>
      </c>
      <c r="F1275">
        <v>2261.7800000000002</v>
      </c>
      <c r="G1275" s="18">
        <v>45534</v>
      </c>
      <c r="H1275" s="18">
        <v>45548</v>
      </c>
      <c r="I1275">
        <v>15</v>
      </c>
      <c r="J1275">
        <v>33926.699999999997</v>
      </c>
      <c r="K1275">
        <f>IF(tblPO[[#This Row],[Actual_Delivery_Date]]&lt;=tblPO[[#This Row],[Expected_Delivery_Date]],1,0)</f>
        <v>0</v>
      </c>
      <c r="L1275">
        <f>IF(tblPO[[#This Row],[Actual_Delivery_Date]]&gt;tblPO[[#This Row],[Expected_Delivery_Date]],1,0)</f>
        <v>1</v>
      </c>
      <c r="M1275">
        <f>tblPO[[#This Row],[Actual_Delivery_Date]]-tblPO[[#This Row],[PO_Date]]</f>
        <v>18</v>
      </c>
    </row>
    <row r="1276" spans="1:13" x14ac:dyDescent="0.3">
      <c r="A1276" t="s">
        <v>982</v>
      </c>
      <c r="B1276" s="18">
        <v>45519</v>
      </c>
      <c r="C1276" t="s">
        <v>45</v>
      </c>
      <c r="D1276" t="s">
        <v>233</v>
      </c>
      <c r="E1276">
        <v>146</v>
      </c>
      <c r="F1276">
        <v>205.22</v>
      </c>
      <c r="G1276" s="18">
        <v>45535</v>
      </c>
      <c r="H1276" s="18">
        <v>45534</v>
      </c>
      <c r="I1276">
        <v>146</v>
      </c>
      <c r="J1276">
        <v>29962.12</v>
      </c>
      <c r="K1276">
        <f>IF(tblPO[[#This Row],[Actual_Delivery_Date]]&lt;=tblPO[[#This Row],[Expected_Delivery_Date]],1,0)</f>
        <v>1</v>
      </c>
      <c r="L1276">
        <f>IF(tblPO[[#This Row],[Actual_Delivery_Date]]&gt;tblPO[[#This Row],[Expected_Delivery_Date]],1,0)</f>
        <v>0</v>
      </c>
      <c r="M1276">
        <f>tblPO[[#This Row],[Actual_Delivery_Date]]-tblPO[[#This Row],[PO_Date]]</f>
        <v>15</v>
      </c>
    </row>
    <row r="1277" spans="1:13" x14ac:dyDescent="0.3">
      <c r="A1277" t="s">
        <v>981</v>
      </c>
      <c r="B1277" s="18">
        <v>45509</v>
      </c>
      <c r="C1277" t="s">
        <v>43</v>
      </c>
      <c r="D1277" t="s">
        <v>164</v>
      </c>
      <c r="E1277">
        <v>70</v>
      </c>
      <c r="F1277">
        <v>112.21</v>
      </c>
      <c r="G1277" s="18">
        <v>45512</v>
      </c>
      <c r="H1277" s="18">
        <v>45511</v>
      </c>
      <c r="I1277">
        <v>70</v>
      </c>
      <c r="J1277">
        <v>7854.7</v>
      </c>
      <c r="K1277">
        <f>IF(tblPO[[#This Row],[Actual_Delivery_Date]]&lt;=tblPO[[#This Row],[Expected_Delivery_Date]],1,0)</f>
        <v>1</v>
      </c>
      <c r="L1277">
        <f>IF(tblPO[[#This Row],[Actual_Delivery_Date]]&gt;tblPO[[#This Row],[Expected_Delivery_Date]],1,0)</f>
        <v>0</v>
      </c>
      <c r="M1277">
        <f>tblPO[[#This Row],[Actual_Delivery_Date]]-tblPO[[#This Row],[PO_Date]]</f>
        <v>2</v>
      </c>
    </row>
    <row r="1278" spans="1:13" x14ac:dyDescent="0.3">
      <c r="A1278" t="s">
        <v>980</v>
      </c>
      <c r="B1278" s="18">
        <v>45515</v>
      </c>
      <c r="C1278" t="s">
        <v>47</v>
      </c>
      <c r="D1278" t="s">
        <v>237</v>
      </c>
      <c r="E1278">
        <v>352</v>
      </c>
      <c r="F1278">
        <v>71.930000000000007</v>
      </c>
      <c r="G1278" s="18">
        <v>45530</v>
      </c>
      <c r="H1278" s="18">
        <v>45529</v>
      </c>
      <c r="I1278">
        <v>352</v>
      </c>
      <c r="J1278">
        <v>25319.360000000001</v>
      </c>
      <c r="K1278">
        <f>IF(tblPO[[#This Row],[Actual_Delivery_Date]]&lt;=tblPO[[#This Row],[Expected_Delivery_Date]],1,0)</f>
        <v>1</v>
      </c>
      <c r="L1278">
        <f>IF(tblPO[[#This Row],[Actual_Delivery_Date]]&gt;tblPO[[#This Row],[Expected_Delivery_Date]],1,0)</f>
        <v>0</v>
      </c>
      <c r="M1278">
        <f>tblPO[[#This Row],[Actual_Delivery_Date]]-tblPO[[#This Row],[PO_Date]]</f>
        <v>14</v>
      </c>
    </row>
    <row r="1279" spans="1:13" x14ac:dyDescent="0.3">
      <c r="A1279" t="s">
        <v>979</v>
      </c>
      <c r="B1279" s="18">
        <v>45530</v>
      </c>
      <c r="C1279" t="s">
        <v>39</v>
      </c>
      <c r="D1279" t="s">
        <v>156</v>
      </c>
      <c r="E1279">
        <v>718</v>
      </c>
      <c r="F1279">
        <v>63.6</v>
      </c>
      <c r="G1279" s="18">
        <v>45542</v>
      </c>
      <c r="H1279" s="18">
        <v>45541</v>
      </c>
      <c r="I1279">
        <v>718</v>
      </c>
      <c r="J1279">
        <v>45664.800000000003</v>
      </c>
      <c r="K1279">
        <f>IF(tblPO[[#This Row],[Actual_Delivery_Date]]&lt;=tblPO[[#This Row],[Expected_Delivery_Date]],1,0)</f>
        <v>1</v>
      </c>
      <c r="L1279">
        <f>IF(tblPO[[#This Row],[Actual_Delivery_Date]]&gt;tblPO[[#This Row],[Expected_Delivery_Date]],1,0)</f>
        <v>0</v>
      </c>
      <c r="M1279">
        <f>tblPO[[#This Row],[Actual_Delivery_Date]]-tblPO[[#This Row],[PO_Date]]</f>
        <v>11</v>
      </c>
    </row>
    <row r="1280" spans="1:13" x14ac:dyDescent="0.3">
      <c r="A1280" t="s">
        <v>978</v>
      </c>
      <c r="B1280" s="18">
        <v>45505</v>
      </c>
      <c r="C1280" t="s">
        <v>44</v>
      </c>
      <c r="D1280" t="s">
        <v>181</v>
      </c>
      <c r="E1280">
        <v>1047</v>
      </c>
      <c r="F1280">
        <v>3.6</v>
      </c>
      <c r="G1280" s="18">
        <v>45531</v>
      </c>
      <c r="H1280" s="18">
        <v>45528</v>
      </c>
      <c r="I1280">
        <v>1047</v>
      </c>
      <c r="J1280">
        <v>3769.2</v>
      </c>
      <c r="K1280">
        <f>IF(tblPO[[#This Row],[Actual_Delivery_Date]]&lt;=tblPO[[#This Row],[Expected_Delivery_Date]],1,0)</f>
        <v>1</v>
      </c>
      <c r="L1280">
        <f>IF(tblPO[[#This Row],[Actual_Delivery_Date]]&gt;tblPO[[#This Row],[Expected_Delivery_Date]],1,0)</f>
        <v>0</v>
      </c>
      <c r="M1280">
        <f>tblPO[[#This Row],[Actual_Delivery_Date]]-tblPO[[#This Row],[PO_Date]]</f>
        <v>23</v>
      </c>
    </row>
    <row r="1281" spans="1:13" x14ac:dyDescent="0.3">
      <c r="A1281" t="s">
        <v>977</v>
      </c>
      <c r="B1281" s="18">
        <v>45511</v>
      </c>
      <c r="C1281" t="s">
        <v>41</v>
      </c>
      <c r="D1281" t="s">
        <v>195</v>
      </c>
      <c r="E1281">
        <v>152</v>
      </c>
      <c r="F1281">
        <v>604.59</v>
      </c>
      <c r="G1281" s="18">
        <v>45527</v>
      </c>
      <c r="H1281" s="18">
        <v>45524</v>
      </c>
      <c r="I1281">
        <v>152</v>
      </c>
      <c r="J1281">
        <v>91897.68</v>
      </c>
      <c r="K1281">
        <f>IF(tblPO[[#This Row],[Actual_Delivery_Date]]&lt;=tblPO[[#This Row],[Expected_Delivery_Date]],1,0)</f>
        <v>1</v>
      </c>
      <c r="L1281">
        <f>IF(tblPO[[#This Row],[Actual_Delivery_Date]]&gt;tblPO[[#This Row],[Expected_Delivery_Date]],1,0)</f>
        <v>0</v>
      </c>
      <c r="M1281">
        <f>tblPO[[#This Row],[Actual_Delivery_Date]]-tblPO[[#This Row],[PO_Date]]</f>
        <v>13</v>
      </c>
    </row>
    <row r="1282" spans="1:13" x14ac:dyDescent="0.3">
      <c r="A1282" t="s">
        <v>976</v>
      </c>
      <c r="B1282" s="18">
        <v>45519</v>
      </c>
      <c r="C1282" t="s">
        <v>50</v>
      </c>
      <c r="D1282" t="s">
        <v>123</v>
      </c>
      <c r="E1282">
        <v>4</v>
      </c>
      <c r="F1282">
        <v>1229.04</v>
      </c>
      <c r="G1282" s="18">
        <v>45527</v>
      </c>
      <c r="H1282" s="18">
        <v>45526</v>
      </c>
      <c r="I1282">
        <v>4</v>
      </c>
      <c r="J1282">
        <v>4916.16</v>
      </c>
      <c r="K1282">
        <f>IF(tblPO[[#This Row],[Actual_Delivery_Date]]&lt;=tblPO[[#This Row],[Expected_Delivery_Date]],1,0)</f>
        <v>1</v>
      </c>
      <c r="L1282">
        <f>IF(tblPO[[#This Row],[Actual_Delivery_Date]]&gt;tblPO[[#This Row],[Expected_Delivery_Date]],1,0)</f>
        <v>0</v>
      </c>
      <c r="M1282">
        <f>tblPO[[#This Row],[Actual_Delivery_Date]]-tblPO[[#This Row],[PO_Date]]</f>
        <v>7</v>
      </c>
    </row>
    <row r="1283" spans="1:13" x14ac:dyDescent="0.3">
      <c r="A1283" t="s">
        <v>975</v>
      </c>
      <c r="B1283" s="18">
        <v>45510</v>
      </c>
      <c r="C1283" t="s">
        <v>51</v>
      </c>
      <c r="D1283" t="s">
        <v>162</v>
      </c>
      <c r="E1283">
        <v>695</v>
      </c>
      <c r="F1283">
        <v>31.34</v>
      </c>
      <c r="G1283" s="18">
        <v>45517</v>
      </c>
      <c r="H1283" s="18">
        <v>45518</v>
      </c>
      <c r="I1283">
        <v>695</v>
      </c>
      <c r="J1283">
        <v>21781.3</v>
      </c>
      <c r="K1283">
        <f>IF(tblPO[[#This Row],[Actual_Delivery_Date]]&lt;=tblPO[[#This Row],[Expected_Delivery_Date]],1,0)</f>
        <v>0</v>
      </c>
      <c r="L1283">
        <f>IF(tblPO[[#This Row],[Actual_Delivery_Date]]&gt;tblPO[[#This Row],[Expected_Delivery_Date]],1,0)</f>
        <v>1</v>
      </c>
      <c r="M1283">
        <f>tblPO[[#This Row],[Actual_Delivery_Date]]-tblPO[[#This Row],[PO_Date]]</f>
        <v>8</v>
      </c>
    </row>
    <row r="1284" spans="1:13" x14ac:dyDescent="0.3">
      <c r="A1284" t="s">
        <v>974</v>
      </c>
      <c r="B1284" s="18">
        <v>45521</v>
      </c>
      <c r="C1284" t="s">
        <v>49</v>
      </c>
      <c r="D1284" t="s">
        <v>188</v>
      </c>
      <c r="E1284">
        <v>750</v>
      </c>
      <c r="F1284">
        <v>32.21</v>
      </c>
      <c r="G1284" s="18">
        <v>45538</v>
      </c>
      <c r="H1284" s="18">
        <v>45535</v>
      </c>
      <c r="I1284">
        <v>750</v>
      </c>
      <c r="J1284">
        <v>24157.5</v>
      </c>
      <c r="K1284">
        <f>IF(tblPO[[#This Row],[Actual_Delivery_Date]]&lt;=tblPO[[#This Row],[Expected_Delivery_Date]],1,0)</f>
        <v>1</v>
      </c>
      <c r="L1284">
        <f>IF(tblPO[[#This Row],[Actual_Delivery_Date]]&gt;tblPO[[#This Row],[Expected_Delivery_Date]],1,0)</f>
        <v>0</v>
      </c>
      <c r="M1284">
        <f>tblPO[[#This Row],[Actual_Delivery_Date]]-tblPO[[#This Row],[PO_Date]]</f>
        <v>14</v>
      </c>
    </row>
    <row r="1285" spans="1:13" x14ac:dyDescent="0.3">
      <c r="A1285" t="s">
        <v>973</v>
      </c>
      <c r="B1285" s="18">
        <v>45513</v>
      </c>
      <c r="C1285" t="s">
        <v>52</v>
      </c>
      <c r="D1285" t="s">
        <v>237</v>
      </c>
      <c r="E1285">
        <v>781</v>
      </c>
      <c r="F1285">
        <v>82.36</v>
      </c>
      <c r="G1285" s="18">
        <v>45524</v>
      </c>
      <c r="H1285" s="18">
        <v>45523</v>
      </c>
      <c r="I1285">
        <v>781</v>
      </c>
      <c r="J1285">
        <v>64323.16</v>
      </c>
      <c r="K1285">
        <f>IF(tblPO[[#This Row],[Actual_Delivery_Date]]&lt;=tblPO[[#This Row],[Expected_Delivery_Date]],1,0)</f>
        <v>1</v>
      </c>
      <c r="L1285">
        <f>IF(tblPO[[#This Row],[Actual_Delivery_Date]]&gt;tblPO[[#This Row],[Expected_Delivery_Date]],1,0)</f>
        <v>0</v>
      </c>
      <c r="M1285">
        <f>tblPO[[#This Row],[Actual_Delivery_Date]]-tblPO[[#This Row],[PO_Date]]</f>
        <v>10</v>
      </c>
    </row>
    <row r="1286" spans="1:13" x14ac:dyDescent="0.3">
      <c r="A1286" t="s">
        <v>972</v>
      </c>
      <c r="B1286" s="18">
        <v>45508</v>
      </c>
      <c r="C1286" t="s">
        <v>65</v>
      </c>
      <c r="D1286" t="s">
        <v>209</v>
      </c>
      <c r="E1286">
        <v>408</v>
      </c>
      <c r="F1286">
        <v>16.97</v>
      </c>
      <c r="G1286" s="18">
        <v>45513</v>
      </c>
      <c r="H1286" s="18">
        <v>45510</v>
      </c>
      <c r="I1286">
        <v>408</v>
      </c>
      <c r="J1286">
        <v>6923.76</v>
      </c>
      <c r="K1286">
        <f>IF(tblPO[[#This Row],[Actual_Delivery_Date]]&lt;=tblPO[[#This Row],[Expected_Delivery_Date]],1,0)</f>
        <v>1</v>
      </c>
      <c r="L1286">
        <f>IF(tblPO[[#This Row],[Actual_Delivery_Date]]&gt;tblPO[[#This Row],[Expected_Delivery_Date]],1,0)</f>
        <v>0</v>
      </c>
      <c r="M1286">
        <f>tblPO[[#This Row],[Actual_Delivery_Date]]-tblPO[[#This Row],[PO_Date]]</f>
        <v>2</v>
      </c>
    </row>
    <row r="1287" spans="1:13" x14ac:dyDescent="0.3">
      <c r="A1287" t="s">
        <v>971</v>
      </c>
      <c r="B1287" s="18">
        <v>45516</v>
      </c>
      <c r="C1287" t="s">
        <v>62</v>
      </c>
      <c r="D1287" t="s">
        <v>203</v>
      </c>
      <c r="E1287">
        <v>156</v>
      </c>
      <c r="F1287">
        <v>345.03</v>
      </c>
      <c r="G1287" s="18">
        <v>45532</v>
      </c>
      <c r="H1287" s="18">
        <v>45532</v>
      </c>
      <c r="I1287">
        <v>156</v>
      </c>
      <c r="J1287">
        <v>53824.68</v>
      </c>
      <c r="K1287">
        <f>IF(tblPO[[#This Row],[Actual_Delivery_Date]]&lt;=tblPO[[#This Row],[Expected_Delivery_Date]],1,0)</f>
        <v>1</v>
      </c>
      <c r="L1287">
        <f>IF(tblPO[[#This Row],[Actual_Delivery_Date]]&gt;tblPO[[#This Row],[Expected_Delivery_Date]],1,0)</f>
        <v>0</v>
      </c>
      <c r="M1287">
        <f>tblPO[[#This Row],[Actual_Delivery_Date]]-tblPO[[#This Row],[PO_Date]]</f>
        <v>16</v>
      </c>
    </row>
    <row r="1288" spans="1:13" x14ac:dyDescent="0.3">
      <c r="A1288" t="s">
        <v>970</v>
      </c>
      <c r="B1288" s="18">
        <v>45530</v>
      </c>
      <c r="C1288" t="s">
        <v>39</v>
      </c>
      <c r="D1288" t="s">
        <v>172</v>
      </c>
      <c r="E1288">
        <v>671</v>
      </c>
      <c r="F1288">
        <v>36.32</v>
      </c>
      <c r="G1288" s="18">
        <v>45553</v>
      </c>
      <c r="H1288" s="18">
        <v>45553</v>
      </c>
      <c r="I1288">
        <v>671</v>
      </c>
      <c r="J1288">
        <v>24370.720000000001</v>
      </c>
      <c r="K1288">
        <f>IF(tblPO[[#This Row],[Actual_Delivery_Date]]&lt;=tblPO[[#This Row],[Expected_Delivery_Date]],1,0)</f>
        <v>1</v>
      </c>
      <c r="L1288">
        <f>IF(tblPO[[#This Row],[Actual_Delivery_Date]]&gt;tblPO[[#This Row],[Expected_Delivery_Date]],1,0)</f>
        <v>0</v>
      </c>
      <c r="M1288">
        <f>tblPO[[#This Row],[Actual_Delivery_Date]]-tblPO[[#This Row],[PO_Date]]</f>
        <v>23</v>
      </c>
    </row>
    <row r="1289" spans="1:13" x14ac:dyDescent="0.3">
      <c r="A1289" t="s">
        <v>969</v>
      </c>
      <c r="B1289" s="18">
        <v>45524</v>
      </c>
      <c r="C1289" t="s">
        <v>39</v>
      </c>
      <c r="D1289" t="s">
        <v>166</v>
      </c>
      <c r="E1289">
        <v>351</v>
      </c>
      <c r="F1289">
        <v>96.53</v>
      </c>
      <c r="G1289" s="18">
        <v>45536</v>
      </c>
      <c r="H1289" s="18">
        <v>45533</v>
      </c>
      <c r="I1289">
        <v>351</v>
      </c>
      <c r="J1289">
        <v>33882.03</v>
      </c>
      <c r="K1289">
        <f>IF(tblPO[[#This Row],[Actual_Delivery_Date]]&lt;=tblPO[[#This Row],[Expected_Delivery_Date]],1,0)</f>
        <v>1</v>
      </c>
      <c r="L1289">
        <f>IF(tblPO[[#This Row],[Actual_Delivery_Date]]&gt;tblPO[[#This Row],[Expected_Delivery_Date]],1,0)</f>
        <v>0</v>
      </c>
      <c r="M1289">
        <f>tblPO[[#This Row],[Actual_Delivery_Date]]-tblPO[[#This Row],[PO_Date]]</f>
        <v>9</v>
      </c>
    </row>
    <row r="1290" spans="1:13" x14ac:dyDescent="0.3">
      <c r="A1290" t="s">
        <v>968</v>
      </c>
      <c r="B1290" s="18">
        <v>45508</v>
      </c>
      <c r="C1290" t="s">
        <v>58</v>
      </c>
      <c r="D1290" t="s">
        <v>172</v>
      </c>
      <c r="E1290">
        <v>76</v>
      </c>
      <c r="F1290">
        <v>39.67</v>
      </c>
      <c r="G1290" s="18">
        <v>45526</v>
      </c>
      <c r="H1290" s="18">
        <v>45525</v>
      </c>
      <c r="I1290">
        <v>76</v>
      </c>
      <c r="J1290">
        <v>3014.92</v>
      </c>
      <c r="K1290">
        <f>IF(tblPO[[#This Row],[Actual_Delivery_Date]]&lt;=tblPO[[#This Row],[Expected_Delivery_Date]],1,0)</f>
        <v>1</v>
      </c>
      <c r="L1290">
        <f>IF(tblPO[[#This Row],[Actual_Delivery_Date]]&gt;tblPO[[#This Row],[Expected_Delivery_Date]],1,0)</f>
        <v>0</v>
      </c>
      <c r="M1290">
        <f>tblPO[[#This Row],[Actual_Delivery_Date]]-tblPO[[#This Row],[PO_Date]]</f>
        <v>17</v>
      </c>
    </row>
    <row r="1291" spans="1:13" x14ac:dyDescent="0.3">
      <c r="A1291" t="s">
        <v>967</v>
      </c>
      <c r="B1291" s="18">
        <v>45526</v>
      </c>
      <c r="C1291" t="s">
        <v>39</v>
      </c>
      <c r="D1291" t="s">
        <v>164</v>
      </c>
      <c r="E1291">
        <v>18</v>
      </c>
      <c r="F1291">
        <v>151.4</v>
      </c>
      <c r="G1291" s="18">
        <v>45542</v>
      </c>
      <c r="H1291" s="18">
        <v>45539</v>
      </c>
      <c r="I1291">
        <v>18</v>
      </c>
      <c r="J1291">
        <v>2725.2</v>
      </c>
      <c r="K1291">
        <f>IF(tblPO[[#This Row],[Actual_Delivery_Date]]&lt;=tblPO[[#This Row],[Expected_Delivery_Date]],1,0)</f>
        <v>1</v>
      </c>
      <c r="L1291">
        <f>IF(tblPO[[#This Row],[Actual_Delivery_Date]]&gt;tblPO[[#This Row],[Expected_Delivery_Date]],1,0)</f>
        <v>0</v>
      </c>
      <c r="M1291">
        <f>tblPO[[#This Row],[Actual_Delivery_Date]]-tblPO[[#This Row],[PO_Date]]</f>
        <v>13</v>
      </c>
    </row>
    <row r="1292" spans="1:13" x14ac:dyDescent="0.3">
      <c r="A1292" t="s">
        <v>966</v>
      </c>
      <c r="B1292" s="18">
        <v>45525</v>
      </c>
      <c r="C1292" t="s">
        <v>38</v>
      </c>
      <c r="D1292" t="s">
        <v>237</v>
      </c>
      <c r="E1292">
        <v>638</v>
      </c>
      <c r="F1292">
        <v>88.46</v>
      </c>
      <c r="G1292" s="18">
        <v>45541</v>
      </c>
      <c r="H1292" s="18">
        <v>45538</v>
      </c>
      <c r="I1292">
        <v>638</v>
      </c>
      <c r="J1292">
        <v>56437.48</v>
      </c>
      <c r="K1292">
        <f>IF(tblPO[[#This Row],[Actual_Delivery_Date]]&lt;=tblPO[[#This Row],[Expected_Delivery_Date]],1,0)</f>
        <v>1</v>
      </c>
      <c r="L1292">
        <f>IF(tblPO[[#This Row],[Actual_Delivery_Date]]&gt;tblPO[[#This Row],[Expected_Delivery_Date]],1,0)</f>
        <v>0</v>
      </c>
      <c r="M1292">
        <f>tblPO[[#This Row],[Actual_Delivery_Date]]-tblPO[[#This Row],[PO_Date]]</f>
        <v>13</v>
      </c>
    </row>
    <row r="1293" spans="1:13" x14ac:dyDescent="0.3">
      <c r="A1293" t="s">
        <v>965</v>
      </c>
      <c r="B1293" s="18">
        <v>45520</v>
      </c>
      <c r="C1293" t="s">
        <v>64</v>
      </c>
      <c r="D1293" t="s">
        <v>125</v>
      </c>
      <c r="E1293">
        <v>165</v>
      </c>
      <c r="F1293">
        <v>680.86</v>
      </c>
      <c r="G1293" s="18">
        <v>45537</v>
      </c>
      <c r="H1293" s="18">
        <v>45535</v>
      </c>
      <c r="I1293">
        <v>165</v>
      </c>
      <c r="J1293">
        <v>112341.9</v>
      </c>
      <c r="K1293">
        <f>IF(tblPO[[#This Row],[Actual_Delivery_Date]]&lt;=tblPO[[#This Row],[Expected_Delivery_Date]],1,0)</f>
        <v>1</v>
      </c>
      <c r="L1293">
        <f>IF(tblPO[[#This Row],[Actual_Delivery_Date]]&gt;tblPO[[#This Row],[Expected_Delivery_Date]],1,0)</f>
        <v>0</v>
      </c>
      <c r="M1293">
        <f>tblPO[[#This Row],[Actual_Delivery_Date]]-tblPO[[#This Row],[PO_Date]]</f>
        <v>15</v>
      </c>
    </row>
    <row r="1294" spans="1:13" x14ac:dyDescent="0.3">
      <c r="A1294" t="s">
        <v>964</v>
      </c>
      <c r="B1294" s="18">
        <v>45512</v>
      </c>
      <c r="C1294" t="s">
        <v>39</v>
      </c>
      <c r="D1294" t="s">
        <v>168</v>
      </c>
      <c r="E1294">
        <v>386</v>
      </c>
      <c r="F1294">
        <v>79.22</v>
      </c>
      <c r="G1294" s="18">
        <v>45535</v>
      </c>
      <c r="H1294" s="18">
        <v>45534</v>
      </c>
      <c r="I1294">
        <v>386</v>
      </c>
      <c r="J1294">
        <v>30578.92</v>
      </c>
      <c r="K1294">
        <f>IF(tblPO[[#This Row],[Actual_Delivery_Date]]&lt;=tblPO[[#This Row],[Expected_Delivery_Date]],1,0)</f>
        <v>1</v>
      </c>
      <c r="L1294">
        <f>IF(tblPO[[#This Row],[Actual_Delivery_Date]]&gt;tblPO[[#This Row],[Expected_Delivery_Date]],1,0)</f>
        <v>0</v>
      </c>
      <c r="M1294">
        <f>tblPO[[#This Row],[Actual_Delivery_Date]]-tblPO[[#This Row],[PO_Date]]</f>
        <v>22</v>
      </c>
    </row>
    <row r="1295" spans="1:13" x14ac:dyDescent="0.3">
      <c r="A1295" t="s">
        <v>963</v>
      </c>
      <c r="B1295" s="18">
        <v>45528</v>
      </c>
      <c r="C1295" t="s">
        <v>53</v>
      </c>
      <c r="D1295" t="s">
        <v>108</v>
      </c>
      <c r="E1295">
        <v>8</v>
      </c>
      <c r="F1295">
        <v>14013.15</v>
      </c>
      <c r="G1295" s="18">
        <v>45553</v>
      </c>
      <c r="H1295" s="18">
        <v>45552</v>
      </c>
      <c r="I1295">
        <v>8</v>
      </c>
      <c r="J1295">
        <v>112105.2</v>
      </c>
      <c r="K1295">
        <f>IF(tblPO[[#This Row],[Actual_Delivery_Date]]&lt;=tblPO[[#This Row],[Expected_Delivery_Date]],1,0)</f>
        <v>1</v>
      </c>
      <c r="L1295">
        <f>IF(tblPO[[#This Row],[Actual_Delivery_Date]]&gt;tblPO[[#This Row],[Expected_Delivery_Date]],1,0)</f>
        <v>0</v>
      </c>
      <c r="M1295">
        <f>tblPO[[#This Row],[Actual_Delivery_Date]]-tblPO[[#This Row],[PO_Date]]</f>
        <v>24</v>
      </c>
    </row>
    <row r="1296" spans="1:13" x14ac:dyDescent="0.3">
      <c r="A1296" t="s">
        <v>962</v>
      </c>
      <c r="B1296" s="18">
        <v>45520</v>
      </c>
      <c r="C1296" t="s">
        <v>49</v>
      </c>
      <c r="D1296" t="s">
        <v>207</v>
      </c>
      <c r="E1296">
        <v>719</v>
      </c>
      <c r="F1296">
        <v>10.91</v>
      </c>
      <c r="G1296" s="18">
        <v>45530</v>
      </c>
      <c r="H1296" s="18">
        <v>45530</v>
      </c>
      <c r="I1296">
        <v>719</v>
      </c>
      <c r="J1296">
        <v>7844.29</v>
      </c>
      <c r="K1296">
        <f>IF(tblPO[[#This Row],[Actual_Delivery_Date]]&lt;=tblPO[[#This Row],[Expected_Delivery_Date]],1,0)</f>
        <v>1</v>
      </c>
      <c r="L1296">
        <f>IF(tblPO[[#This Row],[Actual_Delivery_Date]]&gt;tblPO[[#This Row],[Expected_Delivery_Date]],1,0)</f>
        <v>0</v>
      </c>
      <c r="M1296">
        <f>tblPO[[#This Row],[Actual_Delivery_Date]]-tblPO[[#This Row],[PO_Date]]</f>
        <v>10</v>
      </c>
    </row>
    <row r="1297" spans="1:13" x14ac:dyDescent="0.3">
      <c r="A1297" t="s">
        <v>961</v>
      </c>
      <c r="B1297" s="18">
        <v>45529</v>
      </c>
      <c r="C1297" t="s">
        <v>47</v>
      </c>
      <c r="D1297" t="s">
        <v>243</v>
      </c>
      <c r="E1297">
        <v>72</v>
      </c>
      <c r="F1297">
        <v>148.9</v>
      </c>
      <c r="G1297" s="18">
        <v>45545</v>
      </c>
      <c r="H1297" s="18">
        <v>45543</v>
      </c>
      <c r="I1297">
        <v>72</v>
      </c>
      <c r="J1297">
        <v>10720.8</v>
      </c>
      <c r="K1297">
        <f>IF(tblPO[[#This Row],[Actual_Delivery_Date]]&lt;=tblPO[[#This Row],[Expected_Delivery_Date]],1,0)</f>
        <v>1</v>
      </c>
      <c r="L1297">
        <f>IF(tblPO[[#This Row],[Actual_Delivery_Date]]&gt;tblPO[[#This Row],[Expected_Delivery_Date]],1,0)</f>
        <v>0</v>
      </c>
      <c r="M1297">
        <f>tblPO[[#This Row],[Actual_Delivery_Date]]-tblPO[[#This Row],[PO_Date]]</f>
        <v>14</v>
      </c>
    </row>
    <row r="1298" spans="1:13" x14ac:dyDescent="0.3">
      <c r="A1298" t="s">
        <v>960</v>
      </c>
      <c r="B1298" s="18">
        <v>45508</v>
      </c>
      <c r="C1298" t="s">
        <v>49</v>
      </c>
      <c r="D1298" t="s">
        <v>183</v>
      </c>
      <c r="E1298">
        <v>371</v>
      </c>
      <c r="F1298">
        <v>10.38</v>
      </c>
      <c r="G1298" s="18">
        <v>45513</v>
      </c>
      <c r="H1298" s="18">
        <v>45511</v>
      </c>
      <c r="I1298">
        <v>371</v>
      </c>
      <c r="J1298">
        <v>3850.98</v>
      </c>
      <c r="K1298">
        <f>IF(tblPO[[#This Row],[Actual_Delivery_Date]]&lt;=tblPO[[#This Row],[Expected_Delivery_Date]],1,0)</f>
        <v>1</v>
      </c>
      <c r="L1298">
        <f>IF(tblPO[[#This Row],[Actual_Delivery_Date]]&gt;tblPO[[#This Row],[Expected_Delivery_Date]],1,0)</f>
        <v>0</v>
      </c>
      <c r="M1298">
        <f>tblPO[[#This Row],[Actual_Delivery_Date]]-tblPO[[#This Row],[PO_Date]]</f>
        <v>3</v>
      </c>
    </row>
    <row r="1299" spans="1:13" x14ac:dyDescent="0.3">
      <c r="A1299" t="s">
        <v>959</v>
      </c>
      <c r="B1299" s="18">
        <v>45533</v>
      </c>
      <c r="C1299" t="s">
        <v>46</v>
      </c>
      <c r="D1299" t="s">
        <v>90</v>
      </c>
      <c r="E1299">
        <v>4</v>
      </c>
      <c r="F1299">
        <v>36068.04</v>
      </c>
      <c r="G1299" s="18">
        <v>45550</v>
      </c>
      <c r="H1299" s="18">
        <v>45547</v>
      </c>
      <c r="I1299">
        <v>4</v>
      </c>
      <c r="J1299">
        <v>144272.16</v>
      </c>
      <c r="K1299">
        <f>IF(tblPO[[#This Row],[Actual_Delivery_Date]]&lt;=tblPO[[#This Row],[Expected_Delivery_Date]],1,0)</f>
        <v>1</v>
      </c>
      <c r="L1299">
        <f>IF(tblPO[[#This Row],[Actual_Delivery_Date]]&gt;tblPO[[#This Row],[Expected_Delivery_Date]],1,0)</f>
        <v>0</v>
      </c>
      <c r="M1299">
        <f>tblPO[[#This Row],[Actual_Delivery_Date]]-tblPO[[#This Row],[PO_Date]]</f>
        <v>14</v>
      </c>
    </row>
    <row r="1300" spans="1:13" x14ac:dyDescent="0.3">
      <c r="A1300" t="s">
        <v>958</v>
      </c>
      <c r="B1300" s="18">
        <v>45527</v>
      </c>
      <c r="C1300" t="s">
        <v>56</v>
      </c>
      <c r="D1300" t="s">
        <v>130</v>
      </c>
      <c r="E1300">
        <v>151</v>
      </c>
      <c r="F1300">
        <v>335.53</v>
      </c>
      <c r="G1300" s="18">
        <v>45545</v>
      </c>
      <c r="H1300" s="18">
        <v>45543</v>
      </c>
      <c r="I1300">
        <v>151</v>
      </c>
      <c r="J1300">
        <v>50665.03</v>
      </c>
      <c r="K1300">
        <f>IF(tblPO[[#This Row],[Actual_Delivery_Date]]&lt;=tblPO[[#This Row],[Expected_Delivery_Date]],1,0)</f>
        <v>1</v>
      </c>
      <c r="L1300">
        <f>IF(tblPO[[#This Row],[Actual_Delivery_Date]]&gt;tblPO[[#This Row],[Expected_Delivery_Date]],1,0)</f>
        <v>0</v>
      </c>
      <c r="M1300">
        <f>tblPO[[#This Row],[Actual_Delivery_Date]]-tblPO[[#This Row],[PO_Date]]</f>
        <v>16</v>
      </c>
    </row>
    <row r="1301" spans="1:13" x14ac:dyDescent="0.3">
      <c r="A1301" t="s">
        <v>957</v>
      </c>
      <c r="B1301" s="18">
        <v>45510</v>
      </c>
      <c r="C1301" t="s">
        <v>50</v>
      </c>
      <c r="D1301" t="s">
        <v>115</v>
      </c>
      <c r="E1301">
        <v>24</v>
      </c>
      <c r="F1301">
        <v>3246.09</v>
      </c>
      <c r="G1301" s="18">
        <v>45515</v>
      </c>
      <c r="H1301" s="18">
        <v>45515</v>
      </c>
      <c r="I1301">
        <v>24</v>
      </c>
      <c r="J1301">
        <v>77906.16</v>
      </c>
      <c r="K1301">
        <f>IF(tblPO[[#This Row],[Actual_Delivery_Date]]&lt;=tblPO[[#This Row],[Expected_Delivery_Date]],1,0)</f>
        <v>1</v>
      </c>
      <c r="L1301">
        <f>IF(tblPO[[#This Row],[Actual_Delivery_Date]]&gt;tblPO[[#This Row],[Expected_Delivery_Date]],1,0)</f>
        <v>0</v>
      </c>
      <c r="M1301">
        <f>tblPO[[#This Row],[Actual_Delivery_Date]]-tblPO[[#This Row],[PO_Date]]</f>
        <v>5</v>
      </c>
    </row>
    <row r="1302" spans="1:13" x14ac:dyDescent="0.3">
      <c r="A1302" t="s">
        <v>956</v>
      </c>
      <c r="B1302" s="18">
        <v>45522</v>
      </c>
      <c r="C1302" t="s">
        <v>58</v>
      </c>
      <c r="D1302" t="s">
        <v>166</v>
      </c>
      <c r="E1302">
        <v>763</v>
      </c>
      <c r="F1302">
        <v>95.47</v>
      </c>
      <c r="G1302" s="18">
        <v>45541</v>
      </c>
      <c r="H1302" s="18">
        <v>45538</v>
      </c>
      <c r="I1302">
        <v>763</v>
      </c>
      <c r="J1302">
        <v>72843.61</v>
      </c>
      <c r="K1302">
        <f>IF(tblPO[[#This Row],[Actual_Delivery_Date]]&lt;=tblPO[[#This Row],[Expected_Delivery_Date]],1,0)</f>
        <v>1</v>
      </c>
      <c r="L1302">
        <f>IF(tblPO[[#This Row],[Actual_Delivery_Date]]&gt;tblPO[[#This Row],[Expected_Delivery_Date]],1,0)</f>
        <v>0</v>
      </c>
      <c r="M1302">
        <f>tblPO[[#This Row],[Actual_Delivery_Date]]-tblPO[[#This Row],[PO_Date]]</f>
        <v>16</v>
      </c>
    </row>
    <row r="1303" spans="1:13" x14ac:dyDescent="0.3">
      <c r="A1303" t="s">
        <v>955</v>
      </c>
      <c r="B1303" s="18">
        <v>45524</v>
      </c>
      <c r="C1303" t="s">
        <v>40</v>
      </c>
      <c r="D1303" t="s">
        <v>115</v>
      </c>
      <c r="E1303">
        <v>20</v>
      </c>
      <c r="F1303">
        <v>3467.08</v>
      </c>
      <c r="G1303" s="18">
        <v>45530</v>
      </c>
      <c r="H1303" s="18">
        <v>45536</v>
      </c>
      <c r="I1303">
        <v>19</v>
      </c>
      <c r="J1303">
        <v>69341.600000000006</v>
      </c>
      <c r="K1303">
        <f>IF(tblPO[[#This Row],[Actual_Delivery_Date]]&lt;=tblPO[[#This Row],[Expected_Delivery_Date]],1,0)</f>
        <v>0</v>
      </c>
      <c r="L1303">
        <f>IF(tblPO[[#This Row],[Actual_Delivery_Date]]&gt;tblPO[[#This Row],[Expected_Delivery_Date]],1,0)</f>
        <v>1</v>
      </c>
      <c r="M1303">
        <f>tblPO[[#This Row],[Actual_Delivery_Date]]-tblPO[[#This Row],[PO_Date]]</f>
        <v>12</v>
      </c>
    </row>
    <row r="1304" spans="1:13" x14ac:dyDescent="0.3">
      <c r="A1304" t="s">
        <v>954</v>
      </c>
      <c r="B1304" s="18">
        <v>45519</v>
      </c>
      <c r="C1304" t="s">
        <v>55</v>
      </c>
      <c r="D1304" t="s">
        <v>223</v>
      </c>
      <c r="E1304">
        <v>171</v>
      </c>
      <c r="F1304">
        <v>190.87</v>
      </c>
      <c r="G1304" s="18">
        <v>45544</v>
      </c>
      <c r="H1304" s="18">
        <v>45544</v>
      </c>
      <c r="I1304">
        <v>171</v>
      </c>
      <c r="J1304">
        <v>32638.77</v>
      </c>
      <c r="K1304">
        <f>IF(tblPO[[#This Row],[Actual_Delivery_Date]]&lt;=tblPO[[#This Row],[Expected_Delivery_Date]],1,0)</f>
        <v>1</v>
      </c>
      <c r="L1304">
        <f>IF(tblPO[[#This Row],[Actual_Delivery_Date]]&gt;tblPO[[#This Row],[Expected_Delivery_Date]],1,0)</f>
        <v>0</v>
      </c>
      <c r="M1304">
        <f>tblPO[[#This Row],[Actual_Delivery_Date]]-tblPO[[#This Row],[PO_Date]]</f>
        <v>25</v>
      </c>
    </row>
    <row r="1305" spans="1:13" x14ac:dyDescent="0.3">
      <c r="A1305" t="s">
        <v>953</v>
      </c>
      <c r="B1305" s="18">
        <v>45534</v>
      </c>
      <c r="C1305" t="s">
        <v>47</v>
      </c>
      <c r="D1305" t="s">
        <v>241</v>
      </c>
      <c r="E1305">
        <v>20</v>
      </c>
      <c r="F1305">
        <v>2605.8200000000002</v>
      </c>
      <c r="G1305" s="18">
        <v>45539</v>
      </c>
      <c r="H1305" s="18">
        <v>45536</v>
      </c>
      <c r="I1305">
        <v>20</v>
      </c>
      <c r="J1305">
        <v>52116.4</v>
      </c>
      <c r="K1305">
        <f>IF(tblPO[[#This Row],[Actual_Delivery_Date]]&lt;=tblPO[[#This Row],[Expected_Delivery_Date]],1,0)</f>
        <v>1</v>
      </c>
      <c r="L1305">
        <f>IF(tblPO[[#This Row],[Actual_Delivery_Date]]&gt;tblPO[[#This Row],[Expected_Delivery_Date]],1,0)</f>
        <v>0</v>
      </c>
      <c r="M1305">
        <f>tblPO[[#This Row],[Actual_Delivery_Date]]-tblPO[[#This Row],[PO_Date]]</f>
        <v>2</v>
      </c>
    </row>
    <row r="1306" spans="1:13" x14ac:dyDescent="0.3">
      <c r="A1306" t="s">
        <v>952</v>
      </c>
      <c r="B1306" s="18">
        <v>45517</v>
      </c>
      <c r="C1306" t="s">
        <v>39</v>
      </c>
      <c r="D1306" t="s">
        <v>166</v>
      </c>
      <c r="E1306">
        <v>514</v>
      </c>
      <c r="F1306">
        <v>98.11</v>
      </c>
      <c r="G1306" s="18">
        <v>45539</v>
      </c>
      <c r="H1306" s="18">
        <v>45538</v>
      </c>
      <c r="I1306">
        <v>514</v>
      </c>
      <c r="J1306">
        <v>50428.54</v>
      </c>
      <c r="K1306">
        <f>IF(tblPO[[#This Row],[Actual_Delivery_Date]]&lt;=tblPO[[#This Row],[Expected_Delivery_Date]],1,0)</f>
        <v>1</v>
      </c>
      <c r="L1306">
        <f>IF(tblPO[[#This Row],[Actual_Delivery_Date]]&gt;tblPO[[#This Row],[Expected_Delivery_Date]],1,0)</f>
        <v>0</v>
      </c>
      <c r="M1306">
        <f>tblPO[[#This Row],[Actual_Delivery_Date]]-tblPO[[#This Row],[PO_Date]]</f>
        <v>21</v>
      </c>
    </row>
    <row r="1307" spans="1:13" x14ac:dyDescent="0.3">
      <c r="A1307" t="s">
        <v>951</v>
      </c>
      <c r="B1307" s="18">
        <v>45515</v>
      </c>
      <c r="C1307" t="s">
        <v>59</v>
      </c>
      <c r="D1307" t="s">
        <v>108</v>
      </c>
      <c r="E1307">
        <v>8</v>
      </c>
      <c r="F1307">
        <v>8807.23</v>
      </c>
      <c r="G1307" s="18">
        <v>45519</v>
      </c>
      <c r="H1307" s="18">
        <v>45519</v>
      </c>
      <c r="I1307">
        <v>8</v>
      </c>
      <c r="J1307">
        <v>70457.84</v>
      </c>
      <c r="K1307">
        <f>IF(tblPO[[#This Row],[Actual_Delivery_Date]]&lt;=tblPO[[#This Row],[Expected_Delivery_Date]],1,0)</f>
        <v>1</v>
      </c>
      <c r="L1307">
        <f>IF(tblPO[[#This Row],[Actual_Delivery_Date]]&gt;tblPO[[#This Row],[Expected_Delivery_Date]],1,0)</f>
        <v>0</v>
      </c>
      <c r="M1307">
        <f>tblPO[[#This Row],[Actual_Delivery_Date]]-tblPO[[#This Row],[PO_Date]]</f>
        <v>4</v>
      </c>
    </row>
    <row r="1308" spans="1:13" x14ac:dyDescent="0.3">
      <c r="A1308" t="s">
        <v>950</v>
      </c>
      <c r="B1308" s="18">
        <v>45535</v>
      </c>
      <c r="C1308" t="s">
        <v>66</v>
      </c>
      <c r="D1308" t="s">
        <v>227</v>
      </c>
      <c r="E1308">
        <v>7</v>
      </c>
      <c r="F1308">
        <v>1047.08</v>
      </c>
      <c r="G1308" s="18">
        <v>45542</v>
      </c>
      <c r="H1308" s="18">
        <v>45540</v>
      </c>
      <c r="I1308">
        <v>7</v>
      </c>
      <c r="J1308">
        <v>7329.56</v>
      </c>
      <c r="K1308">
        <f>IF(tblPO[[#This Row],[Actual_Delivery_Date]]&lt;=tblPO[[#This Row],[Expected_Delivery_Date]],1,0)</f>
        <v>1</v>
      </c>
      <c r="L1308">
        <f>IF(tblPO[[#This Row],[Actual_Delivery_Date]]&gt;tblPO[[#This Row],[Expected_Delivery_Date]],1,0)</f>
        <v>0</v>
      </c>
      <c r="M1308">
        <f>tblPO[[#This Row],[Actual_Delivery_Date]]-tblPO[[#This Row],[PO_Date]]</f>
        <v>5</v>
      </c>
    </row>
    <row r="1309" spans="1:13" x14ac:dyDescent="0.3">
      <c r="A1309" t="s">
        <v>949</v>
      </c>
      <c r="B1309" s="18">
        <v>45515</v>
      </c>
      <c r="C1309" t="s">
        <v>43</v>
      </c>
      <c r="D1309" t="s">
        <v>168</v>
      </c>
      <c r="E1309">
        <v>680</v>
      </c>
      <c r="F1309">
        <v>58.85</v>
      </c>
      <c r="G1309" s="18">
        <v>45521</v>
      </c>
      <c r="H1309" s="18">
        <v>45519</v>
      </c>
      <c r="I1309">
        <v>680</v>
      </c>
      <c r="J1309">
        <v>40018</v>
      </c>
      <c r="K1309">
        <f>IF(tblPO[[#This Row],[Actual_Delivery_Date]]&lt;=tblPO[[#This Row],[Expected_Delivery_Date]],1,0)</f>
        <v>1</v>
      </c>
      <c r="L1309">
        <f>IF(tblPO[[#This Row],[Actual_Delivery_Date]]&gt;tblPO[[#This Row],[Expected_Delivery_Date]],1,0)</f>
        <v>0</v>
      </c>
      <c r="M1309">
        <f>tblPO[[#This Row],[Actual_Delivery_Date]]-tblPO[[#This Row],[PO_Date]]</f>
        <v>4</v>
      </c>
    </row>
    <row r="1310" spans="1:13" x14ac:dyDescent="0.3">
      <c r="A1310" t="s">
        <v>948</v>
      </c>
      <c r="B1310" s="18">
        <v>45533</v>
      </c>
      <c r="C1310" t="s">
        <v>55</v>
      </c>
      <c r="D1310" t="s">
        <v>235</v>
      </c>
      <c r="E1310">
        <v>279</v>
      </c>
      <c r="F1310">
        <v>85.03</v>
      </c>
      <c r="G1310" s="18">
        <v>45550</v>
      </c>
      <c r="H1310" s="18">
        <v>45549</v>
      </c>
      <c r="I1310">
        <v>279</v>
      </c>
      <c r="J1310">
        <v>23723.37</v>
      </c>
      <c r="K1310">
        <f>IF(tblPO[[#This Row],[Actual_Delivery_Date]]&lt;=tblPO[[#This Row],[Expected_Delivery_Date]],1,0)</f>
        <v>1</v>
      </c>
      <c r="L1310">
        <f>IF(tblPO[[#This Row],[Actual_Delivery_Date]]&gt;tblPO[[#This Row],[Expected_Delivery_Date]],1,0)</f>
        <v>0</v>
      </c>
      <c r="M1310">
        <f>tblPO[[#This Row],[Actual_Delivery_Date]]-tblPO[[#This Row],[PO_Date]]</f>
        <v>16</v>
      </c>
    </row>
    <row r="1311" spans="1:13" x14ac:dyDescent="0.3">
      <c r="A1311" t="s">
        <v>947</v>
      </c>
      <c r="B1311" s="18">
        <v>45513</v>
      </c>
      <c r="C1311" t="s">
        <v>45</v>
      </c>
      <c r="D1311" t="s">
        <v>245</v>
      </c>
      <c r="E1311">
        <v>23</v>
      </c>
      <c r="F1311">
        <v>4125.51</v>
      </c>
      <c r="G1311" s="18">
        <v>45520</v>
      </c>
      <c r="H1311" s="18">
        <v>45518</v>
      </c>
      <c r="I1311">
        <v>22</v>
      </c>
      <c r="J1311">
        <v>94886.73</v>
      </c>
      <c r="K1311">
        <f>IF(tblPO[[#This Row],[Actual_Delivery_Date]]&lt;=tblPO[[#This Row],[Expected_Delivery_Date]],1,0)</f>
        <v>1</v>
      </c>
      <c r="L1311">
        <f>IF(tblPO[[#This Row],[Actual_Delivery_Date]]&gt;tblPO[[#This Row],[Expected_Delivery_Date]],1,0)</f>
        <v>0</v>
      </c>
      <c r="M1311">
        <f>tblPO[[#This Row],[Actual_Delivery_Date]]-tblPO[[#This Row],[PO_Date]]</f>
        <v>5</v>
      </c>
    </row>
    <row r="1312" spans="1:13" x14ac:dyDescent="0.3">
      <c r="A1312" t="s">
        <v>946</v>
      </c>
      <c r="B1312" s="18">
        <v>45505</v>
      </c>
      <c r="C1312" t="s">
        <v>62</v>
      </c>
      <c r="D1312" t="s">
        <v>179</v>
      </c>
      <c r="E1312">
        <v>249</v>
      </c>
      <c r="F1312">
        <v>20.53</v>
      </c>
      <c r="G1312" s="18">
        <v>45523</v>
      </c>
      <c r="H1312" s="18">
        <v>45520</v>
      </c>
      <c r="I1312">
        <v>249</v>
      </c>
      <c r="J1312">
        <v>5111.97</v>
      </c>
      <c r="K1312">
        <f>IF(tblPO[[#This Row],[Actual_Delivery_Date]]&lt;=tblPO[[#This Row],[Expected_Delivery_Date]],1,0)</f>
        <v>1</v>
      </c>
      <c r="L1312">
        <f>IF(tblPO[[#This Row],[Actual_Delivery_Date]]&gt;tblPO[[#This Row],[Expected_Delivery_Date]],1,0)</f>
        <v>0</v>
      </c>
      <c r="M1312">
        <f>tblPO[[#This Row],[Actual_Delivery_Date]]-tblPO[[#This Row],[PO_Date]]</f>
        <v>15</v>
      </c>
    </row>
    <row r="1313" spans="1:13" x14ac:dyDescent="0.3">
      <c r="A1313" t="s">
        <v>945</v>
      </c>
      <c r="B1313" s="18">
        <v>45518</v>
      </c>
      <c r="C1313" t="s">
        <v>50</v>
      </c>
      <c r="D1313" t="s">
        <v>134</v>
      </c>
      <c r="E1313">
        <v>20</v>
      </c>
      <c r="F1313">
        <v>4435.42</v>
      </c>
      <c r="G1313" s="18">
        <v>45535</v>
      </c>
      <c r="H1313" s="18">
        <v>45535</v>
      </c>
      <c r="I1313">
        <v>20</v>
      </c>
      <c r="J1313">
        <v>88708.4</v>
      </c>
      <c r="K1313">
        <f>IF(tblPO[[#This Row],[Actual_Delivery_Date]]&lt;=tblPO[[#This Row],[Expected_Delivery_Date]],1,0)</f>
        <v>1</v>
      </c>
      <c r="L1313">
        <f>IF(tblPO[[#This Row],[Actual_Delivery_Date]]&gt;tblPO[[#This Row],[Expected_Delivery_Date]],1,0)</f>
        <v>0</v>
      </c>
      <c r="M1313">
        <f>tblPO[[#This Row],[Actual_Delivery_Date]]-tblPO[[#This Row],[PO_Date]]</f>
        <v>17</v>
      </c>
    </row>
    <row r="1314" spans="1:13" x14ac:dyDescent="0.3">
      <c r="A1314" t="s">
        <v>944</v>
      </c>
      <c r="B1314" s="18">
        <v>45519</v>
      </c>
      <c r="C1314" t="s">
        <v>55</v>
      </c>
      <c r="D1314" t="s">
        <v>245</v>
      </c>
      <c r="E1314">
        <v>5</v>
      </c>
      <c r="F1314">
        <v>4785.38</v>
      </c>
      <c r="G1314" s="18">
        <v>45544</v>
      </c>
      <c r="H1314" s="18">
        <v>45541</v>
      </c>
      <c r="I1314">
        <v>5</v>
      </c>
      <c r="J1314">
        <v>23926.9</v>
      </c>
      <c r="K1314">
        <f>IF(tblPO[[#This Row],[Actual_Delivery_Date]]&lt;=tblPO[[#This Row],[Expected_Delivery_Date]],1,0)</f>
        <v>1</v>
      </c>
      <c r="L1314">
        <f>IF(tblPO[[#This Row],[Actual_Delivery_Date]]&gt;tblPO[[#This Row],[Expected_Delivery_Date]],1,0)</f>
        <v>0</v>
      </c>
      <c r="M1314">
        <f>tblPO[[#This Row],[Actual_Delivery_Date]]-tblPO[[#This Row],[PO_Date]]</f>
        <v>22</v>
      </c>
    </row>
    <row r="1315" spans="1:13" x14ac:dyDescent="0.3">
      <c r="A1315" t="s">
        <v>943</v>
      </c>
      <c r="B1315" s="18">
        <v>45535</v>
      </c>
      <c r="C1315" t="s">
        <v>43</v>
      </c>
      <c r="D1315" t="s">
        <v>168</v>
      </c>
      <c r="E1315">
        <v>169</v>
      </c>
      <c r="F1315">
        <v>59.58</v>
      </c>
      <c r="G1315" s="18">
        <v>45549</v>
      </c>
      <c r="H1315" s="18">
        <v>45547</v>
      </c>
      <c r="I1315">
        <v>169</v>
      </c>
      <c r="J1315">
        <v>10069.02</v>
      </c>
      <c r="K1315">
        <f>IF(tblPO[[#This Row],[Actual_Delivery_Date]]&lt;=tblPO[[#This Row],[Expected_Delivery_Date]],1,0)</f>
        <v>1</v>
      </c>
      <c r="L1315">
        <f>IF(tblPO[[#This Row],[Actual_Delivery_Date]]&gt;tblPO[[#This Row],[Expected_Delivery_Date]],1,0)</f>
        <v>0</v>
      </c>
      <c r="M1315">
        <f>tblPO[[#This Row],[Actual_Delivery_Date]]-tblPO[[#This Row],[PO_Date]]</f>
        <v>12</v>
      </c>
    </row>
    <row r="1316" spans="1:13" x14ac:dyDescent="0.3">
      <c r="A1316" t="s">
        <v>942</v>
      </c>
      <c r="B1316" s="18">
        <v>45513</v>
      </c>
      <c r="C1316" t="s">
        <v>65</v>
      </c>
      <c r="D1316" t="s">
        <v>199</v>
      </c>
      <c r="E1316">
        <v>95</v>
      </c>
      <c r="F1316">
        <v>283.2</v>
      </c>
      <c r="G1316" s="18">
        <v>45530</v>
      </c>
      <c r="H1316" s="18">
        <v>45527</v>
      </c>
      <c r="I1316">
        <v>95</v>
      </c>
      <c r="J1316">
        <v>26904</v>
      </c>
      <c r="K1316">
        <f>IF(tblPO[[#This Row],[Actual_Delivery_Date]]&lt;=tblPO[[#This Row],[Expected_Delivery_Date]],1,0)</f>
        <v>1</v>
      </c>
      <c r="L1316">
        <f>IF(tblPO[[#This Row],[Actual_Delivery_Date]]&gt;tblPO[[#This Row],[Expected_Delivery_Date]],1,0)</f>
        <v>0</v>
      </c>
      <c r="M1316">
        <f>tblPO[[#This Row],[Actual_Delivery_Date]]-tblPO[[#This Row],[PO_Date]]</f>
        <v>14</v>
      </c>
    </row>
    <row r="1317" spans="1:13" x14ac:dyDescent="0.3">
      <c r="A1317" t="s">
        <v>941</v>
      </c>
      <c r="B1317" s="18">
        <v>45518</v>
      </c>
      <c r="C1317" t="s">
        <v>55</v>
      </c>
      <c r="D1317" t="s">
        <v>231</v>
      </c>
      <c r="E1317">
        <v>19</v>
      </c>
      <c r="F1317">
        <v>167.5</v>
      </c>
      <c r="G1317" s="18">
        <v>45533</v>
      </c>
      <c r="H1317" s="18">
        <v>45532</v>
      </c>
      <c r="I1317">
        <v>19</v>
      </c>
      <c r="J1317">
        <v>3182.5</v>
      </c>
      <c r="K1317">
        <f>IF(tblPO[[#This Row],[Actual_Delivery_Date]]&lt;=tblPO[[#This Row],[Expected_Delivery_Date]],1,0)</f>
        <v>1</v>
      </c>
      <c r="L1317">
        <f>IF(tblPO[[#This Row],[Actual_Delivery_Date]]&gt;tblPO[[#This Row],[Expected_Delivery_Date]],1,0)</f>
        <v>0</v>
      </c>
      <c r="M1317">
        <f>tblPO[[#This Row],[Actual_Delivery_Date]]-tblPO[[#This Row],[PO_Date]]</f>
        <v>14</v>
      </c>
    </row>
    <row r="1318" spans="1:13" x14ac:dyDescent="0.3">
      <c r="A1318" t="s">
        <v>940</v>
      </c>
      <c r="B1318" s="18">
        <v>45506</v>
      </c>
      <c r="C1318" t="s">
        <v>46</v>
      </c>
      <c r="D1318" t="s">
        <v>94</v>
      </c>
      <c r="E1318">
        <v>170</v>
      </c>
      <c r="F1318">
        <v>531.77</v>
      </c>
      <c r="G1318" s="18">
        <v>45518</v>
      </c>
      <c r="H1318" s="18">
        <v>45518</v>
      </c>
      <c r="I1318">
        <v>170</v>
      </c>
      <c r="J1318">
        <v>90400.9</v>
      </c>
      <c r="K1318">
        <f>IF(tblPO[[#This Row],[Actual_Delivery_Date]]&lt;=tblPO[[#This Row],[Expected_Delivery_Date]],1,0)</f>
        <v>1</v>
      </c>
      <c r="L1318">
        <f>IF(tblPO[[#This Row],[Actual_Delivery_Date]]&gt;tblPO[[#This Row],[Expected_Delivery_Date]],1,0)</f>
        <v>0</v>
      </c>
      <c r="M1318">
        <f>tblPO[[#This Row],[Actual_Delivery_Date]]-tblPO[[#This Row],[PO_Date]]</f>
        <v>12</v>
      </c>
    </row>
    <row r="1319" spans="1:13" x14ac:dyDescent="0.3">
      <c r="A1319" t="s">
        <v>939</v>
      </c>
      <c r="B1319" s="18">
        <v>45520</v>
      </c>
      <c r="C1319" t="s">
        <v>41</v>
      </c>
      <c r="D1319" t="s">
        <v>203</v>
      </c>
      <c r="E1319">
        <v>77</v>
      </c>
      <c r="F1319">
        <v>354.45</v>
      </c>
      <c r="G1319" s="18">
        <v>45527</v>
      </c>
      <c r="H1319" s="18">
        <v>45525</v>
      </c>
      <c r="I1319">
        <v>77</v>
      </c>
      <c r="J1319">
        <v>27292.65</v>
      </c>
      <c r="K1319">
        <f>IF(tblPO[[#This Row],[Actual_Delivery_Date]]&lt;=tblPO[[#This Row],[Expected_Delivery_Date]],1,0)</f>
        <v>1</v>
      </c>
      <c r="L1319">
        <f>IF(tblPO[[#This Row],[Actual_Delivery_Date]]&gt;tblPO[[#This Row],[Expected_Delivery_Date]],1,0)</f>
        <v>0</v>
      </c>
      <c r="M1319">
        <f>tblPO[[#This Row],[Actual_Delivery_Date]]-tblPO[[#This Row],[PO_Date]]</f>
        <v>5</v>
      </c>
    </row>
    <row r="1320" spans="1:13" x14ac:dyDescent="0.3">
      <c r="A1320" t="s">
        <v>938</v>
      </c>
      <c r="B1320" s="18">
        <v>45533</v>
      </c>
      <c r="C1320" t="s">
        <v>50</v>
      </c>
      <c r="D1320" t="s">
        <v>134</v>
      </c>
      <c r="E1320">
        <v>22</v>
      </c>
      <c r="F1320">
        <v>4157.8100000000004</v>
      </c>
      <c r="G1320" s="18">
        <v>45538</v>
      </c>
      <c r="H1320" s="18">
        <v>45540</v>
      </c>
      <c r="I1320">
        <v>19</v>
      </c>
      <c r="J1320">
        <v>91471.82</v>
      </c>
      <c r="K1320">
        <f>IF(tblPO[[#This Row],[Actual_Delivery_Date]]&lt;=tblPO[[#This Row],[Expected_Delivery_Date]],1,0)</f>
        <v>0</v>
      </c>
      <c r="L1320">
        <f>IF(tblPO[[#This Row],[Actual_Delivery_Date]]&gt;tblPO[[#This Row],[Expected_Delivery_Date]],1,0)</f>
        <v>1</v>
      </c>
      <c r="M1320">
        <f>tblPO[[#This Row],[Actual_Delivery_Date]]-tblPO[[#This Row],[PO_Date]]</f>
        <v>7</v>
      </c>
    </row>
    <row r="1321" spans="1:13" x14ac:dyDescent="0.3">
      <c r="A1321" t="s">
        <v>937</v>
      </c>
      <c r="B1321" s="18">
        <v>45510</v>
      </c>
      <c r="C1321" t="s">
        <v>42</v>
      </c>
      <c r="D1321" t="s">
        <v>94</v>
      </c>
      <c r="E1321">
        <v>191</v>
      </c>
      <c r="F1321">
        <v>516.96</v>
      </c>
      <c r="G1321" s="18">
        <v>45523</v>
      </c>
      <c r="H1321" s="18">
        <v>45522</v>
      </c>
      <c r="I1321">
        <v>191</v>
      </c>
      <c r="J1321">
        <v>98739.36</v>
      </c>
      <c r="K1321">
        <f>IF(tblPO[[#This Row],[Actual_Delivery_Date]]&lt;=tblPO[[#This Row],[Expected_Delivery_Date]],1,0)</f>
        <v>1</v>
      </c>
      <c r="L1321">
        <f>IF(tblPO[[#This Row],[Actual_Delivery_Date]]&gt;tblPO[[#This Row],[Expected_Delivery_Date]],1,0)</f>
        <v>0</v>
      </c>
      <c r="M1321">
        <f>tblPO[[#This Row],[Actual_Delivery_Date]]-tblPO[[#This Row],[PO_Date]]</f>
        <v>12</v>
      </c>
    </row>
    <row r="1322" spans="1:13" x14ac:dyDescent="0.3">
      <c r="A1322" t="s">
        <v>936</v>
      </c>
      <c r="B1322" s="18">
        <v>45558</v>
      </c>
      <c r="C1322" t="s">
        <v>49</v>
      </c>
      <c r="D1322" t="s">
        <v>181</v>
      </c>
      <c r="E1322">
        <v>758</v>
      </c>
      <c r="F1322">
        <v>3.85</v>
      </c>
      <c r="G1322" s="18">
        <v>45574</v>
      </c>
      <c r="H1322" s="18">
        <v>45573</v>
      </c>
      <c r="I1322">
        <v>758</v>
      </c>
      <c r="J1322">
        <v>2918.3</v>
      </c>
      <c r="K1322">
        <f>IF(tblPO[[#This Row],[Actual_Delivery_Date]]&lt;=tblPO[[#This Row],[Expected_Delivery_Date]],1,0)</f>
        <v>1</v>
      </c>
      <c r="L1322">
        <f>IF(tblPO[[#This Row],[Actual_Delivery_Date]]&gt;tblPO[[#This Row],[Expected_Delivery_Date]],1,0)</f>
        <v>0</v>
      </c>
      <c r="M1322">
        <f>tblPO[[#This Row],[Actual_Delivery_Date]]-tblPO[[#This Row],[PO_Date]]</f>
        <v>15</v>
      </c>
    </row>
    <row r="1323" spans="1:13" x14ac:dyDescent="0.3">
      <c r="A1323" t="s">
        <v>935</v>
      </c>
      <c r="B1323" s="18">
        <v>45553</v>
      </c>
      <c r="C1323" t="s">
        <v>41</v>
      </c>
      <c r="D1323" t="s">
        <v>183</v>
      </c>
      <c r="E1323">
        <v>550</v>
      </c>
      <c r="F1323">
        <v>11.1</v>
      </c>
      <c r="G1323" s="18">
        <v>45571</v>
      </c>
      <c r="H1323" s="18">
        <v>45569</v>
      </c>
      <c r="I1323">
        <v>550</v>
      </c>
      <c r="J1323">
        <v>6105</v>
      </c>
      <c r="K1323">
        <f>IF(tblPO[[#This Row],[Actual_Delivery_Date]]&lt;=tblPO[[#This Row],[Expected_Delivery_Date]],1,0)</f>
        <v>1</v>
      </c>
      <c r="L1323">
        <f>IF(tblPO[[#This Row],[Actual_Delivery_Date]]&gt;tblPO[[#This Row],[Expected_Delivery_Date]],1,0)</f>
        <v>0</v>
      </c>
      <c r="M1323">
        <f>tblPO[[#This Row],[Actual_Delivery_Date]]-tblPO[[#This Row],[PO_Date]]</f>
        <v>16</v>
      </c>
    </row>
    <row r="1324" spans="1:13" x14ac:dyDescent="0.3">
      <c r="A1324" t="s">
        <v>934</v>
      </c>
      <c r="B1324" s="18">
        <v>45565</v>
      </c>
      <c r="C1324" t="s">
        <v>42</v>
      </c>
      <c r="D1324" t="s">
        <v>88</v>
      </c>
      <c r="E1324">
        <v>2</v>
      </c>
      <c r="F1324">
        <v>18884.28</v>
      </c>
      <c r="G1324" s="18">
        <v>45580</v>
      </c>
      <c r="H1324" s="18">
        <v>45577</v>
      </c>
      <c r="I1324">
        <v>2</v>
      </c>
      <c r="J1324">
        <v>37768.559999999998</v>
      </c>
      <c r="K1324">
        <f>IF(tblPO[[#This Row],[Actual_Delivery_Date]]&lt;=tblPO[[#This Row],[Expected_Delivery_Date]],1,0)</f>
        <v>1</v>
      </c>
      <c r="L1324">
        <f>IF(tblPO[[#This Row],[Actual_Delivery_Date]]&gt;tblPO[[#This Row],[Expected_Delivery_Date]],1,0)</f>
        <v>0</v>
      </c>
      <c r="M1324">
        <f>tblPO[[#This Row],[Actual_Delivery_Date]]-tblPO[[#This Row],[PO_Date]]</f>
        <v>12</v>
      </c>
    </row>
    <row r="1325" spans="1:13" x14ac:dyDescent="0.3">
      <c r="A1325" t="s">
        <v>933</v>
      </c>
      <c r="B1325" s="18">
        <v>45559</v>
      </c>
      <c r="C1325" t="s">
        <v>46</v>
      </c>
      <c r="D1325" t="s">
        <v>86</v>
      </c>
      <c r="E1325">
        <v>143</v>
      </c>
      <c r="F1325">
        <v>336.38</v>
      </c>
      <c r="G1325" s="18">
        <v>45574</v>
      </c>
      <c r="H1325" s="18">
        <v>45574</v>
      </c>
      <c r="I1325">
        <v>143</v>
      </c>
      <c r="J1325">
        <v>48102.34</v>
      </c>
      <c r="K1325">
        <f>IF(tblPO[[#This Row],[Actual_Delivery_Date]]&lt;=tblPO[[#This Row],[Expected_Delivery_Date]],1,0)</f>
        <v>1</v>
      </c>
      <c r="L1325">
        <f>IF(tblPO[[#This Row],[Actual_Delivery_Date]]&gt;tblPO[[#This Row],[Expected_Delivery_Date]],1,0)</f>
        <v>0</v>
      </c>
      <c r="M1325">
        <f>tblPO[[#This Row],[Actual_Delivery_Date]]-tblPO[[#This Row],[PO_Date]]</f>
        <v>15</v>
      </c>
    </row>
    <row r="1326" spans="1:13" x14ac:dyDescent="0.3">
      <c r="A1326" t="s">
        <v>932</v>
      </c>
      <c r="B1326" s="18">
        <v>45551</v>
      </c>
      <c r="C1326" t="s">
        <v>66</v>
      </c>
      <c r="D1326" t="s">
        <v>245</v>
      </c>
      <c r="E1326">
        <v>15</v>
      </c>
      <c r="F1326">
        <v>3438.36</v>
      </c>
      <c r="G1326" s="18">
        <v>45559</v>
      </c>
      <c r="H1326" s="18">
        <v>45559</v>
      </c>
      <c r="I1326">
        <v>15</v>
      </c>
      <c r="J1326">
        <v>51575.4</v>
      </c>
      <c r="K1326">
        <f>IF(tblPO[[#This Row],[Actual_Delivery_Date]]&lt;=tblPO[[#This Row],[Expected_Delivery_Date]],1,0)</f>
        <v>1</v>
      </c>
      <c r="L1326">
        <f>IF(tblPO[[#This Row],[Actual_Delivery_Date]]&gt;tblPO[[#This Row],[Expected_Delivery_Date]],1,0)</f>
        <v>0</v>
      </c>
      <c r="M1326">
        <f>tblPO[[#This Row],[Actual_Delivery_Date]]-tblPO[[#This Row],[PO_Date]]</f>
        <v>8</v>
      </c>
    </row>
    <row r="1327" spans="1:13" x14ac:dyDescent="0.3">
      <c r="A1327" t="s">
        <v>931</v>
      </c>
      <c r="B1327" s="18">
        <v>45536</v>
      </c>
      <c r="C1327" t="s">
        <v>60</v>
      </c>
      <c r="D1327" t="s">
        <v>115</v>
      </c>
      <c r="E1327">
        <v>14</v>
      </c>
      <c r="F1327">
        <v>2312.6799999999998</v>
      </c>
      <c r="G1327" s="18">
        <v>45548</v>
      </c>
      <c r="H1327" s="18">
        <v>45547</v>
      </c>
      <c r="I1327">
        <v>14</v>
      </c>
      <c r="J1327">
        <v>32377.52</v>
      </c>
      <c r="K1327">
        <f>IF(tblPO[[#This Row],[Actual_Delivery_Date]]&lt;=tblPO[[#This Row],[Expected_Delivery_Date]],1,0)</f>
        <v>1</v>
      </c>
      <c r="L1327">
        <f>IF(tblPO[[#This Row],[Actual_Delivery_Date]]&gt;tblPO[[#This Row],[Expected_Delivery_Date]],1,0)</f>
        <v>0</v>
      </c>
      <c r="M1327">
        <f>tblPO[[#This Row],[Actual_Delivery_Date]]-tblPO[[#This Row],[PO_Date]]</f>
        <v>11</v>
      </c>
    </row>
    <row r="1328" spans="1:13" x14ac:dyDescent="0.3">
      <c r="A1328" t="s">
        <v>930</v>
      </c>
      <c r="B1328" s="18">
        <v>45546</v>
      </c>
      <c r="C1328" t="s">
        <v>58</v>
      </c>
      <c r="D1328" t="s">
        <v>146</v>
      </c>
      <c r="E1328">
        <v>18</v>
      </c>
      <c r="F1328">
        <v>3407.49</v>
      </c>
      <c r="G1328" s="18">
        <v>45569</v>
      </c>
      <c r="H1328" s="18">
        <v>45567</v>
      </c>
      <c r="I1328">
        <v>18</v>
      </c>
      <c r="J1328">
        <v>61334.82</v>
      </c>
      <c r="K1328">
        <f>IF(tblPO[[#This Row],[Actual_Delivery_Date]]&lt;=tblPO[[#This Row],[Expected_Delivery_Date]],1,0)</f>
        <v>1</v>
      </c>
      <c r="L1328">
        <f>IF(tblPO[[#This Row],[Actual_Delivery_Date]]&gt;tblPO[[#This Row],[Expected_Delivery_Date]],1,0)</f>
        <v>0</v>
      </c>
      <c r="M1328">
        <f>tblPO[[#This Row],[Actual_Delivery_Date]]-tblPO[[#This Row],[PO_Date]]</f>
        <v>21</v>
      </c>
    </row>
    <row r="1329" spans="1:13" x14ac:dyDescent="0.3">
      <c r="A1329" t="s">
        <v>929</v>
      </c>
      <c r="B1329" s="18">
        <v>45558</v>
      </c>
      <c r="C1329" t="s">
        <v>60</v>
      </c>
      <c r="D1329" t="s">
        <v>125</v>
      </c>
      <c r="E1329">
        <v>167</v>
      </c>
      <c r="F1329">
        <v>694.12</v>
      </c>
      <c r="G1329" s="18">
        <v>45572</v>
      </c>
      <c r="H1329" s="18">
        <v>45571</v>
      </c>
      <c r="I1329">
        <v>167</v>
      </c>
      <c r="J1329">
        <v>115918.04</v>
      </c>
      <c r="K1329">
        <f>IF(tblPO[[#This Row],[Actual_Delivery_Date]]&lt;=tblPO[[#This Row],[Expected_Delivery_Date]],1,0)</f>
        <v>1</v>
      </c>
      <c r="L1329">
        <f>IF(tblPO[[#This Row],[Actual_Delivery_Date]]&gt;tblPO[[#This Row],[Expected_Delivery_Date]],1,0)</f>
        <v>0</v>
      </c>
      <c r="M1329">
        <f>tblPO[[#This Row],[Actual_Delivery_Date]]-tblPO[[#This Row],[PO_Date]]</f>
        <v>13</v>
      </c>
    </row>
    <row r="1330" spans="1:13" x14ac:dyDescent="0.3">
      <c r="A1330" t="s">
        <v>928</v>
      </c>
      <c r="B1330" s="18">
        <v>45563</v>
      </c>
      <c r="C1330" t="s">
        <v>50</v>
      </c>
      <c r="D1330" t="s">
        <v>136</v>
      </c>
      <c r="E1330">
        <v>194</v>
      </c>
      <c r="F1330">
        <v>686.14</v>
      </c>
      <c r="G1330" s="18">
        <v>45570</v>
      </c>
      <c r="H1330" s="18">
        <v>45570</v>
      </c>
      <c r="I1330">
        <v>179</v>
      </c>
      <c r="J1330">
        <v>133111.16</v>
      </c>
      <c r="K1330">
        <f>IF(tblPO[[#This Row],[Actual_Delivery_Date]]&lt;=tblPO[[#This Row],[Expected_Delivery_Date]],1,0)</f>
        <v>1</v>
      </c>
      <c r="L1330">
        <f>IF(tblPO[[#This Row],[Actual_Delivery_Date]]&gt;tblPO[[#This Row],[Expected_Delivery_Date]],1,0)</f>
        <v>0</v>
      </c>
      <c r="M1330">
        <f>tblPO[[#This Row],[Actual_Delivery_Date]]-tblPO[[#This Row],[PO_Date]]</f>
        <v>7</v>
      </c>
    </row>
    <row r="1331" spans="1:13" x14ac:dyDescent="0.3">
      <c r="A1331" t="s">
        <v>927</v>
      </c>
      <c r="B1331" s="18">
        <v>45545</v>
      </c>
      <c r="C1331" t="s">
        <v>45</v>
      </c>
      <c r="D1331" t="s">
        <v>243</v>
      </c>
      <c r="E1331">
        <v>11</v>
      </c>
      <c r="F1331">
        <v>170.6</v>
      </c>
      <c r="G1331" s="18">
        <v>45554</v>
      </c>
      <c r="H1331" s="18">
        <v>45551</v>
      </c>
      <c r="I1331">
        <v>11</v>
      </c>
      <c r="J1331">
        <v>1876.6</v>
      </c>
      <c r="K1331">
        <f>IF(tblPO[[#This Row],[Actual_Delivery_Date]]&lt;=tblPO[[#This Row],[Expected_Delivery_Date]],1,0)</f>
        <v>1</v>
      </c>
      <c r="L1331">
        <f>IF(tblPO[[#This Row],[Actual_Delivery_Date]]&gt;tblPO[[#This Row],[Expected_Delivery_Date]],1,0)</f>
        <v>0</v>
      </c>
      <c r="M1331">
        <f>tblPO[[#This Row],[Actual_Delivery_Date]]-tblPO[[#This Row],[PO_Date]]</f>
        <v>6</v>
      </c>
    </row>
    <row r="1332" spans="1:13" x14ac:dyDescent="0.3">
      <c r="A1332" t="s">
        <v>926</v>
      </c>
      <c r="B1332" s="18">
        <v>45550</v>
      </c>
      <c r="C1332" t="s">
        <v>49</v>
      </c>
      <c r="D1332" t="s">
        <v>199</v>
      </c>
      <c r="E1332">
        <v>169</v>
      </c>
      <c r="F1332">
        <v>272.47000000000003</v>
      </c>
      <c r="G1332" s="18">
        <v>45558</v>
      </c>
      <c r="H1332" s="18">
        <v>45556</v>
      </c>
      <c r="I1332">
        <v>169</v>
      </c>
      <c r="J1332">
        <v>46047.43</v>
      </c>
      <c r="K1332">
        <f>IF(tblPO[[#This Row],[Actual_Delivery_Date]]&lt;=tblPO[[#This Row],[Expected_Delivery_Date]],1,0)</f>
        <v>1</v>
      </c>
      <c r="L1332">
        <f>IF(tblPO[[#This Row],[Actual_Delivery_Date]]&gt;tblPO[[#This Row],[Expected_Delivery_Date]],1,0)</f>
        <v>0</v>
      </c>
      <c r="M1332">
        <f>tblPO[[#This Row],[Actual_Delivery_Date]]-tblPO[[#This Row],[PO_Date]]</f>
        <v>6</v>
      </c>
    </row>
    <row r="1333" spans="1:13" x14ac:dyDescent="0.3">
      <c r="A1333" t="s">
        <v>925</v>
      </c>
      <c r="B1333" s="18">
        <v>45545</v>
      </c>
      <c r="C1333" t="s">
        <v>48</v>
      </c>
      <c r="D1333" t="s">
        <v>176</v>
      </c>
      <c r="E1333">
        <v>331</v>
      </c>
      <c r="F1333">
        <v>56.47</v>
      </c>
      <c r="G1333" s="18">
        <v>45570</v>
      </c>
      <c r="H1333" s="18">
        <v>45569</v>
      </c>
      <c r="I1333">
        <v>331</v>
      </c>
      <c r="J1333">
        <v>18691.57</v>
      </c>
      <c r="K1333">
        <f>IF(tblPO[[#This Row],[Actual_Delivery_Date]]&lt;=tblPO[[#This Row],[Expected_Delivery_Date]],1,0)</f>
        <v>1</v>
      </c>
      <c r="L1333">
        <f>IF(tblPO[[#This Row],[Actual_Delivery_Date]]&gt;tblPO[[#This Row],[Expected_Delivery_Date]],1,0)</f>
        <v>0</v>
      </c>
      <c r="M1333">
        <f>tblPO[[#This Row],[Actual_Delivery_Date]]-tblPO[[#This Row],[PO_Date]]</f>
        <v>24</v>
      </c>
    </row>
    <row r="1334" spans="1:13" x14ac:dyDescent="0.3">
      <c r="A1334" t="s">
        <v>924</v>
      </c>
      <c r="B1334" s="18">
        <v>45553</v>
      </c>
      <c r="C1334" t="s">
        <v>47</v>
      </c>
      <c r="D1334" t="s">
        <v>227</v>
      </c>
      <c r="E1334">
        <v>19</v>
      </c>
      <c r="F1334">
        <v>1034.74</v>
      </c>
      <c r="G1334" s="18">
        <v>45562</v>
      </c>
      <c r="H1334" s="18">
        <v>45560</v>
      </c>
      <c r="I1334">
        <v>19</v>
      </c>
      <c r="J1334">
        <v>19660.060000000001</v>
      </c>
      <c r="K1334">
        <f>IF(tblPO[[#This Row],[Actual_Delivery_Date]]&lt;=tblPO[[#This Row],[Expected_Delivery_Date]],1,0)</f>
        <v>1</v>
      </c>
      <c r="L1334">
        <f>IF(tblPO[[#This Row],[Actual_Delivery_Date]]&gt;tblPO[[#This Row],[Expected_Delivery_Date]],1,0)</f>
        <v>0</v>
      </c>
      <c r="M1334">
        <f>tblPO[[#This Row],[Actual_Delivery_Date]]-tblPO[[#This Row],[PO_Date]]</f>
        <v>7</v>
      </c>
    </row>
    <row r="1335" spans="1:13" x14ac:dyDescent="0.3">
      <c r="A1335" t="s">
        <v>923</v>
      </c>
      <c r="B1335" s="18">
        <v>45554</v>
      </c>
      <c r="C1335" t="s">
        <v>42</v>
      </c>
      <c r="D1335" t="s">
        <v>104</v>
      </c>
      <c r="E1335">
        <v>77</v>
      </c>
      <c r="F1335">
        <v>455.44</v>
      </c>
      <c r="G1335" s="18">
        <v>45569</v>
      </c>
      <c r="H1335" s="18">
        <v>45569</v>
      </c>
      <c r="I1335">
        <v>77</v>
      </c>
      <c r="J1335">
        <v>35068.879999999997</v>
      </c>
      <c r="K1335">
        <f>IF(tblPO[[#This Row],[Actual_Delivery_Date]]&lt;=tblPO[[#This Row],[Expected_Delivery_Date]],1,0)</f>
        <v>1</v>
      </c>
      <c r="L1335">
        <f>IF(tblPO[[#This Row],[Actual_Delivery_Date]]&gt;tblPO[[#This Row],[Expected_Delivery_Date]],1,0)</f>
        <v>0</v>
      </c>
      <c r="M1335">
        <f>tblPO[[#This Row],[Actual_Delivery_Date]]-tblPO[[#This Row],[PO_Date]]</f>
        <v>15</v>
      </c>
    </row>
    <row r="1336" spans="1:13" x14ac:dyDescent="0.3">
      <c r="A1336" t="s">
        <v>922</v>
      </c>
      <c r="B1336" s="18">
        <v>45544</v>
      </c>
      <c r="C1336" t="s">
        <v>40</v>
      </c>
      <c r="D1336" t="s">
        <v>117</v>
      </c>
      <c r="E1336">
        <v>164</v>
      </c>
      <c r="F1336">
        <v>345.5</v>
      </c>
      <c r="G1336" s="18">
        <v>45562</v>
      </c>
      <c r="H1336" s="18">
        <v>45559</v>
      </c>
      <c r="I1336">
        <v>164</v>
      </c>
      <c r="J1336">
        <v>56662</v>
      </c>
      <c r="K1336">
        <f>IF(tblPO[[#This Row],[Actual_Delivery_Date]]&lt;=tblPO[[#This Row],[Expected_Delivery_Date]],1,0)</f>
        <v>1</v>
      </c>
      <c r="L1336">
        <f>IF(tblPO[[#This Row],[Actual_Delivery_Date]]&gt;tblPO[[#This Row],[Expected_Delivery_Date]],1,0)</f>
        <v>0</v>
      </c>
      <c r="M1336">
        <f>tblPO[[#This Row],[Actual_Delivery_Date]]-tblPO[[#This Row],[PO_Date]]</f>
        <v>15</v>
      </c>
    </row>
    <row r="1337" spans="1:13" x14ac:dyDescent="0.3">
      <c r="A1337" t="s">
        <v>921</v>
      </c>
      <c r="B1337" s="18">
        <v>45540</v>
      </c>
      <c r="C1337" t="s">
        <v>67</v>
      </c>
      <c r="D1337" t="s">
        <v>104</v>
      </c>
      <c r="E1337">
        <v>167</v>
      </c>
      <c r="F1337">
        <v>404.33</v>
      </c>
      <c r="G1337" s="18">
        <v>45556</v>
      </c>
      <c r="H1337" s="18">
        <v>45553</v>
      </c>
      <c r="I1337">
        <v>167</v>
      </c>
      <c r="J1337">
        <v>67523.11</v>
      </c>
      <c r="K1337">
        <f>IF(tblPO[[#This Row],[Actual_Delivery_Date]]&lt;=tblPO[[#This Row],[Expected_Delivery_Date]],1,0)</f>
        <v>1</v>
      </c>
      <c r="L1337">
        <f>IF(tblPO[[#This Row],[Actual_Delivery_Date]]&gt;tblPO[[#This Row],[Expected_Delivery_Date]],1,0)</f>
        <v>0</v>
      </c>
      <c r="M1337">
        <f>tblPO[[#This Row],[Actual_Delivery_Date]]-tblPO[[#This Row],[PO_Date]]</f>
        <v>13</v>
      </c>
    </row>
    <row r="1338" spans="1:13" x14ac:dyDescent="0.3">
      <c r="A1338" t="s">
        <v>920</v>
      </c>
      <c r="B1338" s="18">
        <v>45549</v>
      </c>
      <c r="C1338" t="s">
        <v>61</v>
      </c>
      <c r="D1338" t="s">
        <v>249</v>
      </c>
      <c r="E1338">
        <v>500</v>
      </c>
      <c r="F1338">
        <v>61.52</v>
      </c>
      <c r="G1338" s="18">
        <v>45567</v>
      </c>
      <c r="H1338" s="18">
        <v>45564</v>
      </c>
      <c r="I1338">
        <v>500</v>
      </c>
      <c r="J1338">
        <v>30760</v>
      </c>
      <c r="K1338">
        <f>IF(tblPO[[#This Row],[Actual_Delivery_Date]]&lt;=tblPO[[#This Row],[Expected_Delivery_Date]],1,0)</f>
        <v>1</v>
      </c>
      <c r="L1338">
        <f>IF(tblPO[[#This Row],[Actual_Delivery_Date]]&gt;tblPO[[#This Row],[Expected_Delivery_Date]],1,0)</f>
        <v>0</v>
      </c>
      <c r="M1338">
        <f>tblPO[[#This Row],[Actual_Delivery_Date]]-tblPO[[#This Row],[PO_Date]]</f>
        <v>15</v>
      </c>
    </row>
    <row r="1339" spans="1:13" x14ac:dyDescent="0.3">
      <c r="A1339" t="s">
        <v>919</v>
      </c>
      <c r="B1339" s="18">
        <v>45558</v>
      </c>
      <c r="C1339" t="s">
        <v>54</v>
      </c>
      <c r="D1339" t="s">
        <v>197</v>
      </c>
      <c r="E1339">
        <v>108</v>
      </c>
      <c r="F1339">
        <v>216.26</v>
      </c>
      <c r="G1339" s="18">
        <v>45576</v>
      </c>
      <c r="H1339" s="18">
        <v>45575</v>
      </c>
      <c r="I1339">
        <v>108</v>
      </c>
      <c r="J1339">
        <v>23356.080000000002</v>
      </c>
      <c r="K1339">
        <f>IF(tblPO[[#This Row],[Actual_Delivery_Date]]&lt;=tblPO[[#This Row],[Expected_Delivery_Date]],1,0)</f>
        <v>1</v>
      </c>
      <c r="L1339">
        <f>IF(tblPO[[#This Row],[Actual_Delivery_Date]]&gt;tblPO[[#This Row],[Expected_Delivery_Date]],1,0)</f>
        <v>0</v>
      </c>
      <c r="M1339">
        <f>tblPO[[#This Row],[Actual_Delivery_Date]]-tblPO[[#This Row],[PO_Date]]</f>
        <v>17</v>
      </c>
    </row>
    <row r="1340" spans="1:13" x14ac:dyDescent="0.3">
      <c r="A1340" t="s">
        <v>918</v>
      </c>
      <c r="B1340" s="18">
        <v>45541</v>
      </c>
      <c r="C1340" t="s">
        <v>44</v>
      </c>
      <c r="D1340" t="s">
        <v>179</v>
      </c>
      <c r="E1340">
        <v>269</v>
      </c>
      <c r="F1340">
        <v>18.190000000000001</v>
      </c>
      <c r="G1340" s="18">
        <v>45561</v>
      </c>
      <c r="H1340" s="18">
        <v>45561</v>
      </c>
      <c r="I1340">
        <v>269</v>
      </c>
      <c r="J1340">
        <v>4893.1099999999997</v>
      </c>
      <c r="K1340">
        <f>IF(tblPO[[#This Row],[Actual_Delivery_Date]]&lt;=tblPO[[#This Row],[Expected_Delivery_Date]],1,0)</f>
        <v>1</v>
      </c>
      <c r="L1340">
        <f>IF(tblPO[[#This Row],[Actual_Delivery_Date]]&gt;tblPO[[#This Row],[Expected_Delivery_Date]],1,0)</f>
        <v>0</v>
      </c>
      <c r="M1340">
        <f>tblPO[[#This Row],[Actual_Delivery_Date]]-tblPO[[#This Row],[PO_Date]]</f>
        <v>20</v>
      </c>
    </row>
    <row r="1341" spans="1:13" x14ac:dyDescent="0.3">
      <c r="A1341" t="s">
        <v>917</v>
      </c>
      <c r="B1341" s="18">
        <v>45557</v>
      </c>
      <c r="C1341" t="s">
        <v>44</v>
      </c>
      <c r="D1341" t="s">
        <v>195</v>
      </c>
      <c r="E1341">
        <v>74</v>
      </c>
      <c r="F1341">
        <v>541.32000000000005</v>
      </c>
      <c r="G1341" s="18">
        <v>45572</v>
      </c>
      <c r="H1341" s="18">
        <v>45572</v>
      </c>
      <c r="I1341">
        <v>74</v>
      </c>
      <c r="J1341">
        <v>40057.68</v>
      </c>
      <c r="K1341">
        <f>IF(tblPO[[#This Row],[Actual_Delivery_Date]]&lt;=tblPO[[#This Row],[Expected_Delivery_Date]],1,0)</f>
        <v>1</v>
      </c>
      <c r="L1341">
        <f>IF(tblPO[[#This Row],[Actual_Delivery_Date]]&gt;tblPO[[#This Row],[Expected_Delivery_Date]],1,0)</f>
        <v>0</v>
      </c>
      <c r="M1341">
        <f>tblPO[[#This Row],[Actual_Delivery_Date]]-tblPO[[#This Row],[PO_Date]]</f>
        <v>15</v>
      </c>
    </row>
    <row r="1342" spans="1:13" x14ac:dyDescent="0.3">
      <c r="A1342" t="s">
        <v>916</v>
      </c>
      <c r="B1342" s="18">
        <v>45563</v>
      </c>
      <c r="C1342" t="s">
        <v>41</v>
      </c>
      <c r="D1342" t="s">
        <v>205</v>
      </c>
      <c r="E1342">
        <v>103</v>
      </c>
      <c r="F1342">
        <v>398.28</v>
      </c>
      <c r="G1342" s="18">
        <v>45580</v>
      </c>
      <c r="H1342" s="18">
        <v>45579</v>
      </c>
      <c r="I1342">
        <v>103</v>
      </c>
      <c r="J1342">
        <v>41022.839999999997</v>
      </c>
      <c r="K1342">
        <f>IF(tblPO[[#This Row],[Actual_Delivery_Date]]&lt;=tblPO[[#This Row],[Expected_Delivery_Date]],1,0)</f>
        <v>1</v>
      </c>
      <c r="L1342">
        <f>IF(tblPO[[#This Row],[Actual_Delivery_Date]]&gt;tblPO[[#This Row],[Expected_Delivery_Date]],1,0)</f>
        <v>0</v>
      </c>
      <c r="M1342">
        <f>tblPO[[#This Row],[Actual_Delivery_Date]]-tblPO[[#This Row],[PO_Date]]</f>
        <v>16</v>
      </c>
    </row>
    <row r="1343" spans="1:13" x14ac:dyDescent="0.3">
      <c r="A1343" t="s">
        <v>915</v>
      </c>
      <c r="B1343" s="18">
        <v>45548</v>
      </c>
      <c r="C1343" t="s">
        <v>44</v>
      </c>
      <c r="D1343" t="s">
        <v>203</v>
      </c>
      <c r="E1343">
        <v>58</v>
      </c>
      <c r="F1343">
        <v>314.52</v>
      </c>
      <c r="G1343" s="18">
        <v>45571</v>
      </c>
      <c r="H1343" s="18">
        <v>45568</v>
      </c>
      <c r="I1343">
        <v>58</v>
      </c>
      <c r="J1343">
        <v>18242.16</v>
      </c>
      <c r="K1343">
        <f>IF(tblPO[[#This Row],[Actual_Delivery_Date]]&lt;=tblPO[[#This Row],[Expected_Delivery_Date]],1,0)</f>
        <v>1</v>
      </c>
      <c r="L1343">
        <f>IF(tblPO[[#This Row],[Actual_Delivery_Date]]&gt;tblPO[[#This Row],[Expected_Delivery_Date]],1,0)</f>
        <v>0</v>
      </c>
      <c r="M1343">
        <f>tblPO[[#This Row],[Actual_Delivery_Date]]-tblPO[[#This Row],[PO_Date]]</f>
        <v>20</v>
      </c>
    </row>
    <row r="1344" spans="1:13" x14ac:dyDescent="0.3">
      <c r="A1344" t="s">
        <v>914</v>
      </c>
      <c r="B1344" s="18">
        <v>45554</v>
      </c>
      <c r="C1344" t="s">
        <v>40</v>
      </c>
      <c r="D1344" t="s">
        <v>132</v>
      </c>
      <c r="E1344">
        <v>2</v>
      </c>
      <c r="F1344">
        <v>2946.12</v>
      </c>
      <c r="G1344" s="18">
        <v>45566</v>
      </c>
      <c r="H1344" s="18">
        <v>45565</v>
      </c>
      <c r="I1344">
        <v>2</v>
      </c>
      <c r="J1344">
        <v>5892.24</v>
      </c>
      <c r="K1344">
        <f>IF(tblPO[[#This Row],[Actual_Delivery_Date]]&lt;=tblPO[[#This Row],[Expected_Delivery_Date]],1,0)</f>
        <v>1</v>
      </c>
      <c r="L1344">
        <f>IF(tblPO[[#This Row],[Actual_Delivery_Date]]&gt;tblPO[[#This Row],[Expected_Delivery_Date]],1,0)</f>
        <v>0</v>
      </c>
      <c r="M1344">
        <f>tblPO[[#This Row],[Actual_Delivery_Date]]-tblPO[[#This Row],[PO_Date]]</f>
        <v>11</v>
      </c>
    </row>
    <row r="1345" spans="1:13" x14ac:dyDescent="0.3">
      <c r="A1345" t="s">
        <v>913</v>
      </c>
      <c r="B1345" s="18">
        <v>45544</v>
      </c>
      <c r="C1345" t="s">
        <v>66</v>
      </c>
      <c r="D1345" t="s">
        <v>219</v>
      </c>
      <c r="E1345">
        <v>671</v>
      </c>
      <c r="F1345">
        <v>83.47</v>
      </c>
      <c r="G1345" s="18">
        <v>45548</v>
      </c>
      <c r="H1345" s="18">
        <v>45548</v>
      </c>
      <c r="I1345">
        <v>671</v>
      </c>
      <c r="J1345">
        <v>56008.37</v>
      </c>
      <c r="K1345">
        <f>IF(tblPO[[#This Row],[Actual_Delivery_Date]]&lt;=tblPO[[#This Row],[Expected_Delivery_Date]],1,0)</f>
        <v>1</v>
      </c>
      <c r="L1345">
        <f>IF(tblPO[[#This Row],[Actual_Delivery_Date]]&gt;tblPO[[#This Row],[Expected_Delivery_Date]],1,0)</f>
        <v>0</v>
      </c>
      <c r="M1345">
        <f>tblPO[[#This Row],[Actual_Delivery_Date]]-tblPO[[#This Row],[PO_Date]]</f>
        <v>4</v>
      </c>
    </row>
    <row r="1346" spans="1:13" x14ac:dyDescent="0.3">
      <c r="A1346" t="s">
        <v>912</v>
      </c>
      <c r="B1346" s="18">
        <v>45556</v>
      </c>
      <c r="C1346" t="s">
        <v>50</v>
      </c>
      <c r="D1346" t="s">
        <v>119</v>
      </c>
      <c r="E1346">
        <v>10</v>
      </c>
      <c r="F1346">
        <v>8811.68</v>
      </c>
      <c r="G1346" s="18">
        <v>45560</v>
      </c>
      <c r="H1346" s="18">
        <v>45579</v>
      </c>
      <c r="I1346">
        <v>9</v>
      </c>
      <c r="J1346">
        <v>88116.800000000003</v>
      </c>
      <c r="K1346">
        <f>IF(tblPO[[#This Row],[Actual_Delivery_Date]]&lt;=tblPO[[#This Row],[Expected_Delivery_Date]],1,0)</f>
        <v>0</v>
      </c>
      <c r="L1346">
        <f>IF(tblPO[[#This Row],[Actual_Delivery_Date]]&gt;tblPO[[#This Row],[Expected_Delivery_Date]],1,0)</f>
        <v>1</v>
      </c>
      <c r="M1346">
        <f>tblPO[[#This Row],[Actual_Delivery_Date]]-tblPO[[#This Row],[PO_Date]]</f>
        <v>23</v>
      </c>
    </row>
    <row r="1347" spans="1:13" x14ac:dyDescent="0.3">
      <c r="A1347" t="s">
        <v>911</v>
      </c>
      <c r="B1347" s="18">
        <v>45550</v>
      </c>
      <c r="C1347" t="s">
        <v>42</v>
      </c>
      <c r="D1347" t="s">
        <v>96</v>
      </c>
      <c r="E1347">
        <v>171</v>
      </c>
      <c r="F1347">
        <v>824.54</v>
      </c>
      <c r="G1347" s="18">
        <v>45577</v>
      </c>
      <c r="H1347" s="18">
        <v>45574</v>
      </c>
      <c r="I1347">
        <v>151</v>
      </c>
      <c r="J1347">
        <v>140996.34</v>
      </c>
      <c r="K1347">
        <f>IF(tblPO[[#This Row],[Actual_Delivery_Date]]&lt;=tblPO[[#This Row],[Expected_Delivery_Date]],1,0)</f>
        <v>1</v>
      </c>
      <c r="L1347">
        <f>IF(tblPO[[#This Row],[Actual_Delivery_Date]]&gt;tblPO[[#This Row],[Expected_Delivery_Date]],1,0)</f>
        <v>0</v>
      </c>
      <c r="M1347">
        <f>tblPO[[#This Row],[Actual_Delivery_Date]]-tblPO[[#This Row],[PO_Date]]</f>
        <v>24</v>
      </c>
    </row>
    <row r="1348" spans="1:13" x14ac:dyDescent="0.3">
      <c r="A1348" t="s">
        <v>910</v>
      </c>
      <c r="B1348" s="18">
        <v>45559</v>
      </c>
      <c r="C1348" t="s">
        <v>43</v>
      </c>
      <c r="D1348" t="s">
        <v>146</v>
      </c>
      <c r="E1348">
        <v>24</v>
      </c>
      <c r="F1348">
        <v>2563</v>
      </c>
      <c r="G1348" s="18">
        <v>45567</v>
      </c>
      <c r="H1348" s="18">
        <v>45565</v>
      </c>
      <c r="I1348">
        <v>24</v>
      </c>
      <c r="J1348">
        <v>61512</v>
      </c>
      <c r="K1348">
        <f>IF(tblPO[[#This Row],[Actual_Delivery_Date]]&lt;=tblPO[[#This Row],[Expected_Delivery_Date]],1,0)</f>
        <v>1</v>
      </c>
      <c r="L1348">
        <f>IF(tblPO[[#This Row],[Actual_Delivery_Date]]&gt;tblPO[[#This Row],[Expected_Delivery_Date]],1,0)</f>
        <v>0</v>
      </c>
      <c r="M1348">
        <f>tblPO[[#This Row],[Actual_Delivery_Date]]-tblPO[[#This Row],[PO_Date]]</f>
        <v>6</v>
      </c>
    </row>
    <row r="1349" spans="1:13" x14ac:dyDescent="0.3">
      <c r="A1349" t="s">
        <v>909</v>
      </c>
      <c r="B1349" s="18">
        <v>45550</v>
      </c>
      <c r="C1349" t="s">
        <v>39</v>
      </c>
      <c r="D1349" t="s">
        <v>149</v>
      </c>
      <c r="E1349">
        <v>107</v>
      </c>
      <c r="F1349">
        <v>87.31</v>
      </c>
      <c r="G1349" s="18">
        <v>45563</v>
      </c>
      <c r="H1349" s="18">
        <v>45562</v>
      </c>
      <c r="I1349">
        <v>107</v>
      </c>
      <c r="J1349">
        <v>9342.17</v>
      </c>
      <c r="K1349">
        <f>IF(tblPO[[#This Row],[Actual_Delivery_Date]]&lt;=tblPO[[#This Row],[Expected_Delivery_Date]],1,0)</f>
        <v>1</v>
      </c>
      <c r="L1349">
        <f>IF(tblPO[[#This Row],[Actual_Delivery_Date]]&gt;tblPO[[#This Row],[Expected_Delivery_Date]],1,0)</f>
        <v>0</v>
      </c>
      <c r="M1349">
        <f>tblPO[[#This Row],[Actual_Delivery_Date]]-tblPO[[#This Row],[PO_Date]]</f>
        <v>12</v>
      </c>
    </row>
    <row r="1350" spans="1:13" x14ac:dyDescent="0.3">
      <c r="A1350" t="s">
        <v>908</v>
      </c>
      <c r="B1350" s="18">
        <v>45536</v>
      </c>
      <c r="C1350" t="s">
        <v>60</v>
      </c>
      <c r="D1350" t="s">
        <v>136</v>
      </c>
      <c r="E1350">
        <v>198</v>
      </c>
      <c r="F1350">
        <v>473.81</v>
      </c>
      <c r="G1350" s="18">
        <v>45549</v>
      </c>
      <c r="H1350" s="18">
        <v>45568</v>
      </c>
      <c r="I1350">
        <v>198</v>
      </c>
      <c r="J1350">
        <v>93814.38</v>
      </c>
      <c r="K1350">
        <f>IF(tblPO[[#This Row],[Actual_Delivery_Date]]&lt;=tblPO[[#This Row],[Expected_Delivery_Date]],1,0)</f>
        <v>0</v>
      </c>
      <c r="L1350">
        <f>IF(tblPO[[#This Row],[Actual_Delivery_Date]]&gt;tblPO[[#This Row],[Expected_Delivery_Date]],1,0)</f>
        <v>1</v>
      </c>
      <c r="M1350">
        <f>tblPO[[#This Row],[Actual_Delivery_Date]]-tblPO[[#This Row],[PO_Date]]</f>
        <v>32</v>
      </c>
    </row>
    <row r="1351" spans="1:13" x14ac:dyDescent="0.3">
      <c r="A1351" t="s">
        <v>907</v>
      </c>
      <c r="B1351" s="18">
        <v>45559</v>
      </c>
      <c r="C1351" t="s">
        <v>58</v>
      </c>
      <c r="D1351" t="s">
        <v>146</v>
      </c>
      <c r="E1351">
        <v>20</v>
      </c>
      <c r="F1351">
        <v>3416.26</v>
      </c>
      <c r="G1351" s="18">
        <v>45582</v>
      </c>
      <c r="H1351" s="18">
        <v>45582</v>
      </c>
      <c r="I1351">
        <v>20</v>
      </c>
      <c r="J1351">
        <v>68325.2</v>
      </c>
      <c r="K1351">
        <f>IF(tblPO[[#This Row],[Actual_Delivery_Date]]&lt;=tblPO[[#This Row],[Expected_Delivery_Date]],1,0)</f>
        <v>1</v>
      </c>
      <c r="L1351">
        <f>IF(tblPO[[#This Row],[Actual_Delivery_Date]]&gt;tblPO[[#This Row],[Expected_Delivery_Date]],1,0)</f>
        <v>0</v>
      </c>
      <c r="M1351">
        <f>tblPO[[#This Row],[Actual_Delivery_Date]]-tblPO[[#This Row],[PO_Date]]</f>
        <v>23</v>
      </c>
    </row>
    <row r="1352" spans="1:13" x14ac:dyDescent="0.3">
      <c r="A1352" t="s">
        <v>906</v>
      </c>
      <c r="B1352" s="18">
        <v>45542</v>
      </c>
      <c r="C1352" t="s">
        <v>59</v>
      </c>
      <c r="D1352" t="s">
        <v>90</v>
      </c>
      <c r="E1352">
        <v>2</v>
      </c>
      <c r="F1352">
        <v>21285</v>
      </c>
      <c r="G1352" s="18">
        <v>45549</v>
      </c>
      <c r="H1352" s="18">
        <v>45550</v>
      </c>
      <c r="I1352">
        <v>2</v>
      </c>
      <c r="J1352">
        <v>42570</v>
      </c>
      <c r="K1352">
        <f>IF(tblPO[[#This Row],[Actual_Delivery_Date]]&lt;=tblPO[[#This Row],[Expected_Delivery_Date]],1,0)</f>
        <v>0</v>
      </c>
      <c r="L1352">
        <f>IF(tblPO[[#This Row],[Actual_Delivery_Date]]&gt;tblPO[[#This Row],[Expected_Delivery_Date]],1,0)</f>
        <v>1</v>
      </c>
      <c r="M1352">
        <f>tblPO[[#This Row],[Actual_Delivery_Date]]-tblPO[[#This Row],[PO_Date]]</f>
        <v>8</v>
      </c>
    </row>
    <row r="1353" spans="1:13" x14ac:dyDescent="0.3">
      <c r="A1353" t="s">
        <v>905</v>
      </c>
      <c r="B1353" s="18">
        <v>45558</v>
      </c>
      <c r="C1353" t="s">
        <v>48</v>
      </c>
      <c r="D1353" t="s">
        <v>176</v>
      </c>
      <c r="E1353">
        <v>253</v>
      </c>
      <c r="F1353">
        <v>53.62</v>
      </c>
      <c r="G1353" s="18">
        <v>45586</v>
      </c>
      <c r="H1353" s="18">
        <v>45583</v>
      </c>
      <c r="I1353">
        <v>253</v>
      </c>
      <c r="J1353">
        <v>13565.86</v>
      </c>
      <c r="K1353">
        <f>IF(tblPO[[#This Row],[Actual_Delivery_Date]]&lt;=tblPO[[#This Row],[Expected_Delivery_Date]],1,0)</f>
        <v>1</v>
      </c>
      <c r="L1353">
        <f>IF(tblPO[[#This Row],[Actual_Delivery_Date]]&gt;tblPO[[#This Row],[Expected_Delivery_Date]],1,0)</f>
        <v>0</v>
      </c>
      <c r="M1353">
        <f>tblPO[[#This Row],[Actual_Delivery_Date]]-tblPO[[#This Row],[PO_Date]]</f>
        <v>25</v>
      </c>
    </row>
    <row r="1354" spans="1:13" x14ac:dyDescent="0.3">
      <c r="A1354" t="s">
        <v>904</v>
      </c>
      <c r="B1354" s="18">
        <v>45550</v>
      </c>
      <c r="C1354" t="s">
        <v>51</v>
      </c>
      <c r="D1354" t="s">
        <v>160</v>
      </c>
      <c r="E1354">
        <v>399</v>
      </c>
      <c r="F1354">
        <v>79.790000000000006</v>
      </c>
      <c r="G1354" s="18">
        <v>45555</v>
      </c>
      <c r="H1354" s="18">
        <v>45555</v>
      </c>
      <c r="I1354">
        <v>399</v>
      </c>
      <c r="J1354">
        <v>31836.21</v>
      </c>
      <c r="K1354">
        <f>IF(tblPO[[#This Row],[Actual_Delivery_Date]]&lt;=tblPO[[#This Row],[Expected_Delivery_Date]],1,0)</f>
        <v>1</v>
      </c>
      <c r="L1354">
        <f>IF(tblPO[[#This Row],[Actual_Delivery_Date]]&gt;tblPO[[#This Row],[Expected_Delivery_Date]],1,0)</f>
        <v>0</v>
      </c>
      <c r="M1354">
        <f>tblPO[[#This Row],[Actual_Delivery_Date]]-tblPO[[#This Row],[PO_Date]]</f>
        <v>5</v>
      </c>
    </row>
    <row r="1355" spans="1:13" x14ac:dyDescent="0.3">
      <c r="A1355" t="s">
        <v>903</v>
      </c>
      <c r="B1355" s="18">
        <v>45541</v>
      </c>
      <c r="C1355" t="s">
        <v>38</v>
      </c>
      <c r="D1355" t="s">
        <v>247</v>
      </c>
      <c r="E1355">
        <v>32</v>
      </c>
      <c r="F1355">
        <v>604.25</v>
      </c>
      <c r="G1355" s="18">
        <v>45554</v>
      </c>
      <c r="H1355" s="18">
        <v>45551</v>
      </c>
      <c r="I1355">
        <v>32</v>
      </c>
      <c r="J1355">
        <v>19336</v>
      </c>
      <c r="K1355">
        <f>IF(tblPO[[#This Row],[Actual_Delivery_Date]]&lt;=tblPO[[#This Row],[Expected_Delivery_Date]],1,0)</f>
        <v>1</v>
      </c>
      <c r="L1355">
        <f>IF(tblPO[[#This Row],[Actual_Delivery_Date]]&gt;tblPO[[#This Row],[Expected_Delivery_Date]],1,0)</f>
        <v>0</v>
      </c>
      <c r="M1355">
        <f>tblPO[[#This Row],[Actual_Delivery_Date]]-tblPO[[#This Row],[PO_Date]]</f>
        <v>10</v>
      </c>
    </row>
    <row r="1356" spans="1:13" x14ac:dyDescent="0.3">
      <c r="A1356" t="s">
        <v>902</v>
      </c>
      <c r="B1356" s="18">
        <v>45547</v>
      </c>
      <c r="C1356" t="s">
        <v>41</v>
      </c>
      <c r="D1356" t="s">
        <v>183</v>
      </c>
      <c r="E1356">
        <v>703</v>
      </c>
      <c r="F1356">
        <v>10.61</v>
      </c>
      <c r="G1356" s="18">
        <v>45564</v>
      </c>
      <c r="H1356" s="18">
        <v>45562</v>
      </c>
      <c r="I1356">
        <v>703</v>
      </c>
      <c r="J1356">
        <v>7458.83</v>
      </c>
      <c r="K1356">
        <f>IF(tblPO[[#This Row],[Actual_Delivery_Date]]&lt;=tblPO[[#This Row],[Expected_Delivery_Date]],1,0)</f>
        <v>1</v>
      </c>
      <c r="L1356">
        <f>IF(tblPO[[#This Row],[Actual_Delivery_Date]]&gt;tblPO[[#This Row],[Expected_Delivery_Date]],1,0)</f>
        <v>0</v>
      </c>
      <c r="M1356">
        <f>tblPO[[#This Row],[Actual_Delivery_Date]]-tblPO[[#This Row],[PO_Date]]</f>
        <v>15</v>
      </c>
    </row>
    <row r="1357" spans="1:13" x14ac:dyDescent="0.3">
      <c r="A1357" t="s">
        <v>901</v>
      </c>
      <c r="B1357" s="18">
        <v>45559</v>
      </c>
      <c r="C1357" t="s">
        <v>40</v>
      </c>
      <c r="D1357" t="s">
        <v>121</v>
      </c>
      <c r="E1357">
        <v>58</v>
      </c>
      <c r="F1357">
        <v>722.13</v>
      </c>
      <c r="G1357" s="18">
        <v>45566</v>
      </c>
      <c r="H1357" s="18">
        <v>45566</v>
      </c>
      <c r="I1357">
        <v>58</v>
      </c>
      <c r="J1357">
        <v>41883.54</v>
      </c>
      <c r="K1357">
        <f>IF(tblPO[[#This Row],[Actual_Delivery_Date]]&lt;=tblPO[[#This Row],[Expected_Delivery_Date]],1,0)</f>
        <v>1</v>
      </c>
      <c r="L1357">
        <f>IF(tblPO[[#This Row],[Actual_Delivery_Date]]&gt;tblPO[[#This Row],[Expected_Delivery_Date]],1,0)</f>
        <v>0</v>
      </c>
      <c r="M1357">
        <f>tblPO[[#This Row],[Actual_Delivery_Date]]-tblPO[[#This Row],[PO_Date]]</f>
        <v>7</v>
      </c>
    </row>
    <row r="1358" spans="1:13" x14ac:dyDescent="0.3">
      <c r="A1358" t="s">
        <v>900</v>
      </c>
      <c r="B1358" s="18">
        <v>45546</v>
      </c>
      <c r="C1358" t="s">
        <v>58</v>
      </c>
      <c r="D1358" t="s">
        <v>172</v>
      </c>
      <c r="E1358">
        <v>628</v>
      </c>
      <c r="F1358">
        <v>37.72</v>
      </c>
      <c r="G1358" s="18">
        <v>45571</v>
      </c>
      <c r="H1358" s="18">
        <v>45569</v>
      </c>
      <c r="I1358">
        <v>628</v>
      </c>
      <c r="J1358">
        <v>23688.16</v>
      </c>
      <c r="K1358">
        <f>IF(tblPO[[#This Row],[Actual_Delivery_Date]]&lt;=tblPO[[#This Row],[Expected_Delivery_Date]],1,0)</f>
        <v>1</v>
      </c>
      <c r="L1358">
        <f>IF(tblPO[[#This Row],[Actual_Delivery_Date]]&gt;tblPO[[#This Row],[Expected_Delivery_Date]],1,0)</f>
        <v>0</v>
      </c>
      <c r="M1358">
        <f>tblPO[[#This Row],[Actual_Delivery_Date]]-tblPO[[#This Row],[PO_Date]]</f>
        <v>23</v>
      </c>
    </row>
    <row r="1359" spans="1:13" x14ac:dyDescent="0.3">
      <c r="A1359" t="s">
        <v>899</v>
      </c>
      <c r="B1359" s="18">
        <v>45544</v>
      </c>
      <c r="C1359" t="s">
        <v>44</v>
      </c>
      <c r="D1359" t="s">
        <v>203</v>
      </c>
      <c r="E1359">
        <v>85</v>
      </c>
      <c r="F1359">
        <v>303.55</v>
      </c>
      <c r="G1359" s="18">
        <v>45570</v>
      </c>
      <c r="H1359" s="18">
        <v>45570</v>
      </c>
      <c r="I1359">
        <v>85</v>
      </c>
      <c r="J1359">
        <v>25801.75</v>
      </c>
      <c r="K1359">
        <f>IF(tblPO[[#This Row],[Actual_Delivery_Date]]&lt;=tblPO[[#This Row],[Expected_Delivery_Date]],1,0)</f>
        <v>1</v>
      </c>
      <c r="L1359">
        <f>IF(tblPO[[#This Row],[Actual_Delivery_Date]]&gt;tblPO[[#This Row],[Expected_Delivery_Date]],1,0)</f>
        <v>0</v>
      </c>
      <c r="M1359">
        <f>tblPO[[#This Row],[Actual_Delivery_Date]]-tblPO[[#This Row],[PO_Date]]</f>
        <v>26</v>
      </c>
    </row>
    <row r="1360" spans="1:13" x14ac:dyDescent="0.3">
      <c r="A1360" t="s">
        <v>898</v>
      </c>
      <c r="B1360" s="18">
        <v>45552</v>
      </c>
      <c r="C1360" t="s">
        <v>47</v>
      </c>
      <c r="D1360" t="s">
        <v>229</v>
      </c>
      <c r="E1360">
        <v>22</v>
      </c>
      <c r="F1360">
        <v>1422.59</v>
      </c>
      <c r="G1360" s="18">
        <v>45569</v>
      </c>
      <c r="H1360" s="18">
        <v>45571</v>
      </c>
      <c r="I1360">
        <v>21</v>
      </c>
      <c r="J1360">
        <v>31296.98</v>
      </c>
      <c r="K1360">
        <f>IF(tblPO[[#This Row],[Actual_Delivery_Date]]&lt;=tblPO[[#This Row],[Expected_Delivery_Date]],1,0)</f>
        <v>0</v>
      </c>
      <c r="L1360">
        <f>IF(tblPO[[#This Row],[Actual_Delivery_Date]]&gt;tblPO[[#This Row],[Expected_Delivery_Date]],1,0)</f>
        <v>1</v>
      </c>
      <c r="M1360">
        <f>tblPO[[#This Row],[Actual_Delivery_Date]]-tblPO[[#This Row],[PO_Date]]</f>
        <v>19</v>
      </c>
    </row>
    <row r="1361" spans="1:13" x14ac:dyDescent="0.3">
      <c r="A1361" t="s">
        <v>897</v>
      </c>
      <c r="B1361" s="18">
        <v>45542</v>
      </c>
      <c r="C1361" t="s">
        <v>42</v>
      </c>
      <c r="D1361" t="s">
        <v>98</v>
      </c>
      <c r="E1361">
        <v>20</v>
      </c>
      <c r="F1361">
        <v>9728.4500000000007</v>
      </c>
      <c r="G1361" s="18">
        <v>45567</v>
      </c>
      <c r="H1361" s="18">
        <v>45566</v>
      </c>
      <c r="I1361">
        <v>20</v>
      </c>
      <c r="J1361">
        <v>194569</v>
      </c>
      <c r="K1361">
        <f>IF(tblPO[[#This Row],[Actual_Delivery_Date]]&lt;=tblPO[[#This Row],[Expected_Delivery_Date]],1,0)</f>
        <v>1</v>
      </c>
      <c r="L1361">
        <f>IF(tblPO[[#This Row],[Actual_Delivery_Date]]&gt;tblPO[[#This Row],[Expected_Delivery_Date]],1,0)</f>
        <v>0</v>
      </c>
      <c r="M1361">
        <f>tblPO[[#This Row],[Actual_Delivery_Date]]-tblPO[[#This Row],[PO_Date]]</f>
        <v>24</v>
      </c>
    </row>
    <row r="1362" spans="1:13" x14ac:dyDescent="0.3">
      <c r="A1362" t="s">
        <v>896</v>
      </c>
      <c r="B1362" s="18">
        <v>45562</v>
      </c>
      <c r="C1362" t="s">
        <v>51</v>
      </c>
      <c r="D1362" t="s">
        <v>154</v>
      </c>
      <c r="E1362">
        <v>614</v>
      </c>
      <c r="F1362">
        <v>59.97</v>
      </c>
      <c r="G1362" s="18">
        <v>45573</v>
      </c>
      <c r="H1362" s="18">
        <v>45571</v>
      </c>
      <c r="I1362">
        <v>614</v>
      </c>
      <c r="J1362">
        <v>36821.58</v>
      </c>
      <c r="K1362">
        <f>IF(tblPO[[#This Row],[Actual_Delivery_Date]]&lt;=tblPO[[#This Row],[Expected_Delivery_Date]],1,0)</f>
        <v>1</v>
      </c>
      <c r="L1362">
        <f>IF(tblPO[[#This Row],[Actual_Delivery_Date]]&gt;tblPO[[#This Row],[Expected_Delivery_Date]],1,0)</f>
        <v>0</v>
      </c>
      <c r="M1362">
        <f>tblPO[[#This Row],[Actual_Delivery_Date]]-tblPO[[#This Row],[PO_Date]]</f>
        <v>9</v>
      </c>
    </row>
    <row r="1363" spans="1:13" x14ac:dyDescent="0.3">
      <c r="A1363" t="s">
        <v>895</v>
      </c>
      <c r="B1363" s="18">
        <v>45552</v>
      </c>
      <c r="C1363" t="s">
        <v>44</v>
      </c>
      <c r="D1363" t="s">
        <v>195</v>
      </c>
      <c r="E1363">
        <v>39</v>
      </c>
      <c r="F1363">
        <v>522.79999999999995</v>
      </c>
      <c r="G1363" s="18">
        <v>45569</v>
      </c>
      <c r="H1363" s="18">
        <v>45569</v>
      </c>
      <c r="I1363">
        <v>39</v>
      </c>
      <c r="J1363">
        <v>20389.2</v>
      </c>
      <c r="K1363">
        <f>IF(tblPO[[#This Row],[Actual_Delivery_Date]]&lt;=tblPO[[#This Row],[Expected_Delivery_Date]],1,0)</f>
        <v>1</v>
      </c>
      <c r="L1363">
        <f>IF(tblPO[[#This Row],[Actual_Delivery_Date]]&gt;tblPO[[#This Row],[Expected_Delivery_Date]],1,0)</f>
        <v>0</v>
      </c>
      <c r="M1363">
        <f>tblPO[[#This Row],[Actual_Delivery_Date]]-tblPO[[#This Row],[PO_Date]]</f>
        <v>17</v>
      </c>
    </row>
    <row r="1364" spans="1:13" x14ac:dyDescent="0.3">
      <c r="A1364" t="s">
        <v>894</v>
      </c>
      <c r="B1364" s="18">
        <v>45554</v>
      </c>
      <c r="C1364" t="s">
        <v>56</v>
      </c>
      <c r="D1364" t="s">
        <v>132</v>
      </c>
      <c r="E1364">
        <v>23</v>
      </c>
      <c r="F1364">
        <v>2532.86</v>
      </c>
      <c r="G1364" s="18">
        <v>45558</v>
      </c>
      <c r="H1364" s="18">
        <v>45555</v>
      </c>
      <c r="I1364">
        <v>23</v>
      </c>
      <c r="J1364">
        <v>58255.78</v>
      </c>
      <c r="K1364">
        <f>IF(tblPO[[#This Row],[Actual_Delivery_Date]]&lt;=tblPO[[#This Row],[Expected_Delivery_Date]],1,0)</f>
        <v>1</v>
      </c>
      <c r="L1364">
        <f>IF(tblPO[[#This Row],[Actual_Delivery_Date]]&gt;tblPO[[#This Row],[Expected_Delivery_Date]],1,0)</f>
        <v>0</v>
      </c>
      <c r="M1364">
        <f>tblPO[[#This Row],[Actual_Delivery_Date]]-tblPO[[#This Row],[PO_Date]]</f>
        <v>1</v>
      </c>
    </row>
    <row r="1365" spans="1:13" x14ac:dyDescent="0.3">
      <c r="A1365" t="s">
        <v>893</v>
      </c>
      <c r="B1365" s="18">
        <v>45549</v>
      </c>
      <c r="C1365" t="s">
        <v>44</v>
      </c>
      <c r="D1365" t="s">
        <v>181</v>
      </c>
      <c r="E1365">
        <v>425</v>
      </c>
      <c r="F1365">
        <v>3.81</v>
      </c>
      <c r="G1365" s="18">
        <v>45576</v>
      </c>
      <c r="H1365" s="18">
        <v>45573</v>
      </c>
      <c r="I1365">
        <v>425</v>
      </c>
      <c r="J1365">
        <v>1619.25</v>
      </c>
      <c r="K1365">
        <f>IF(tblPO[[#This Row],[Actual_Delivery_Date]]&lt;=tblPO[[#This Row],[Expected_Delivery_Date]],1,0)</f>
        <v>1</v>
      </c>
      <c r="L1365">
        <f>IF(tblPO[[#This Row],[Actual_Delivery_Date]]&gt;tblPO[[#This Row],[Expected_Delivery_Date]],1,0)</f>
        <v>0</v>
      </c>
      <c r="M1365">
        <f>tblPO[[#This Row],[Actual_Delivery_Date]]-tblPO[[#This Row],[PO_Date]]</f>
        <v>24</v>
      </c>
    </row>
    <row r="1366" spans="1:13" x14ac:dyDescent="0.3">
      <c r="A1366" t="s">
        <v>892</v>
      </c>
      <c r="B1366" s="18">
        <v>45553</v>
      </c>
      <c r="C1366" t="s">
        <v>41</v>
      </c>
      <c r="D1366" t="s">
        <v>199</v>
      </c>
      <c r="E1366">
        <v>129</v>
      </c>
      <c r="F1366">
        <v>289.83999999999997</v>
      </c>
      <c r="G1366" s="18">
        <v>45561</v>
      </c>
      <c r="H1366" s="18">
        <v>45561</v>
      </c>
      <c r="I1366">
        <v>129</v>
      </c>
      <c r="J1366">
        <v>37389.360000000001</v>
      </c>
      <c r="K1366">
        <f>IF(tblPO[[#This Row],[Actual_Delivery_Date]]&lt;=tblPO[[#This Row],[Expected_Delivery_Date]],1,0)</f>
        <v>1</v>
      </c>
      <c r="L1366">
        <f>IF(tblPO[[#This Row],[Actual_Delivery_Date]]&gt;tblPO[[#This Row],[Expected_Delivery_Date]],1,0)</f>
        <v>0</v>
      </c>
      <c r="M1366">
        <f>tblPO[[#This Row],[Actual_Delivery_Date]]-tblPO[[#This Row],[PO_Date]]</f>
        <v>8</v>
      </c>
    </row>
    <row r="1367" spans="1:13" x14ac:dyDescent="0.3">
      <c r="A1367" t="s">
        <v>891</v>
      </c>
      <c r="B1367" s="18">
        <v>45549</v>
      </c>
      <c r="C1367" t="s">
        <v>38</v>
      </c>
      <c r="D1367" t="s">
        <v>223</v>
      </c>
      <c r="E1367">
        <v>187</v>
      </c>
      <c r="F1367">
        <v>166.24</v>
      </c>
      <c r="G1367" s="18">
        <v>45564</v>
      </c>
      <c r="H1367" s="18">
        <v>45562</v>
      </c>
      <c r="I1367">
        <v>187</v>
      </c>
      <c r="J1367">
        <v>31086.880000000001</v>
      </c>
      <c r="K1367">
        <f>IF(tblPO[[#This Row],[Actual_Delivery_Date]]&lt;=tblPO[[#This Row],[Expected_Delivery_Date]],1,0)</f>
        <v>1</v>
      </c>
      <c r="L1367">
        <f>IF(tblPO[[#This Row],[Actual_Delivery_Date]]&gt;tblPO[[#This Row],[Expected_Delivery_Date]],1,0)</f>
        <v>0</v>
      </c>
      <c r="M1367">
        <f>tblPO[[#This Row],[Actual_Delivery_Date]]-tblPO[[#This Row],[PO_Date]]</f>
        <v>13</v>
      </c>
    </row>
    <row r="1368" spans="1:13" x14ac:dyDescent="0.3">
      <c r="A1368" t="s">
        <v>890</v>
      </c>
      <c r="B1368" s="18">
        <v>45557</v>
      </c>
      <c r="C1368" t="s">
        <v>45</v>
      </c>
      <c r="D1368" t="s">
        <v>229</v>
      </c>
      <c r="E1368">
        <v>17</v>
      </c>
      <c r="F1368">
        <v>1723.81</v>
      </c>
      <c r="G1368" s="18">
        <v>45572</v>
      </c>
      <c r="H1368" s="18">
        <v>45570</v>
      </c>
      <c r="I1368">
        <v>17</v>
      </c>
      <c r="J1368">
        <v>29304.77</v>
      </c>
      <c r="K1368">
        <f>IF(tblPO[[#This Row],[Actual_Delivery_Date]]&lt;=tblPO[[#This Row],[Expected_Delivery_Date]],1,0)</f>
        <v>1</v>
      </c>
      <c r="L1368">
        <f>IF(tblPO[[#This Row],[Actual_Delivery_Date]]&gt;tblPO[[#This Row],[Expected_Delivery_Date]],1,0)</f>
        <v>0</v>
      </c>
      <c r="M1368">
        <f>tblPO[[#This Row],[Actual_Delivery_Date]]-tblPO[[#This Row],[PO_Date]]</f>
        <v>13</v>
      </c>
    </row>
    <row r="1369" spans="1:13" x14ac:dyDescent="0.3">
      <c r="A1369" t="s">
        <v>889</v>
      </c>
      <c r="B1369" s="18">
        <v>45549</v>
      </c>
      <c r="C1369" t="s">
        <v>40</v>
      </c>
      <c r="D1369" t="s">
        <v>113</v>
      </c>
      <c r="E1369">
        <v>37</v>
      </c>
      <c r="F1369">
        <v>521.21</v>
      </c>
      <c r="G1369" s="18">
        <v>45565</v>
      </c>
      <c r="H1369" s="18">
        <v>45565</v>
      </c>
      <c r="I1369">
        <v>37</v>
      </c>
      <c r="J1369">
        <v>19284.77</v>
      </c>
      <c r="K1369">
        <f>IF(tblPO[[#This Row],[Actual_Delivery_Date]]&lt;=tblPO[[#This Row],[Expected_Delivery_Date]],1,0)</f>
        <v>1</v>
      </c>
      <c r="L1369">
        <f>IF(tblPO[[#This Row],[Actual_Delivery_Date]]&gt;tblPO[[#This Row],[Expected_Delivery_Date]],1,0)</f>
        <v>0</v>
      </c>
      <c r="M1369">
        <f>tblPO[[#This Row],[Actual_Delivery_Date]]-tblPO[[#This Row],[PO_Date]]</f>
        <v>16</v>
      </c>
    </row>
    <row r="1370" spans="1:13" x14ac:dyDescent="0.3">
      <c r="A1370" t="s">
        <v>888</v>
      </c>
      <c r="B1370" s="18">
        <v>45564</v>
      </c>
      <c r="C1370" t="s">
        <v>49</v>
      </c>
      <c r="D1370" t="s">
        <v>205</v>
      </c>
      <c r="E1370">
        <v>86</v>
      </c>
      <c r="F1370">
        <v>396.39</v>
      </c>
      <c r="G1370" s="18">
        <v>45573</v>
      </c>
      <c r="H1370" s="18">
        <v>45588</v>
      </c>
      <c r="I1370">
        <v>86</v>
      </c>
      <c r="J1370">
        <v>34089.54</v>
      </c>
      <c r="K1370">
        <f>IF(tblPO[[#This Row],[Actual_Delivery_Date]]&lt;=tblPO[[#This Row],[Expected_Delivery_Date]],1,0)</f>
        <v>0</v>
      </c>
      <c r="L1370">
        <f>IF(tblPO[[#This Row],[Actual_Delivery_Date]]&gt;tblPO[[#This Row],[Expected_Delivery_Date]],1,0)</f>
        <v>1</v>
      </c>
      <c r="M1370">
        <f>tblPO[[#This Row],[Actual_Delivery_Date]]-tblPO[[#This Row],[PO_Date]]</f>
        <v>24</v>
      </c>
    </row>
    <row r="1371" spans="1:13" x14ac:dyDescent="0.3">
      <c r="A1371" t="s">
        <v>887</v>
      </c>
      <c r="B1371" s="18">
        <v>45538</v>
      </c>
      <c r="C1371" t="s">
        <v>38</v>
      </c>
      <c r="D1371" t="s">
        <v>243</v>
      </c>
      <c r="E1371">
        <v>23</v>
      </c>
      <c r="F1371">
        <v>182.35</v>
      </c>
      <c r="G1371" s="18">
        <v>45550</v>
      </c>
      <c r="H1371" s="18">
        <v>45548</v>
      </c>
      <c r="I1371">
        <v>23</v>
      </c>
      <c r="J1371">
        <v>4194.05</v>
      </c>
      <c r="K1371">
        <f>IF(tblPO[[#This Row],[Actual_Delivery_Date]]&lt;=tblPO[[#This Row],[Expected_Delivery_Date]],1,0)</f>
        <v>1</v>
      </c>
      <c r="L1371">
        <f>IF(tblPO[[#This Row],[Actual_Delivery_Date]]&gt;tblPO[[#This Row],[Expected_Delivery_Date]],1,0)</f>
        <v>0</v>
      </c>
      <c r="M1371">
        <f>tblPO[[#This Row],[Actual_Delivery_Date]]-tblPO[[#This Row],[PO_Date]]</f>
        <v>10</v>
      </c>
    </row>
    <row r="1372" spans="1:13" x14ac:dyDescent="0.3">
      <c r="A1372" t="s">
        <v>886</v>
      </c>
      <c r="B1372" s="18">
        <v>45536</v>
      </c>
      <c r="C1372" t="s">
        <v>44</v>
      </c>
      <c r="D1372" t="s">
        <v>195</v>
      </c>
      <c r="E1372">
        <v>127</v>
      </c>
      <c r="F1372">
        <v>528.57000000000005</v>
      </c>
      <c r="G1372" s="18">
        <v>45552</v>
      </c>
      <c r="H1372" s="18">
        <v>45550</v>
      </c>
      <c r="I1372">
        <v>127</v>
      </c>
      <c r="J1372">
        <v>67128.39</v>
      </c>
      <c r="K1372">
        <f>IF(tblPO[[#This Row],[Actual_Delivery_Date]]&lt;=tblPO[[#This Row],[Expected_Delivery_Date]],1,0)</f>
        <v>1</v>
      </c>
      <c r="L1372">
        <f>IF(tblPO[[#This Row],[Actual_Delivery_Date]]&gt;tblPO[[#This Row],[Expected_Delivery_Date]],1,0)</f>
        <v>0</v>
      </c>
      <c r="M1372">
        <f>tblPO[[#This Row],[Actual_Delivery_Date]]-tblPO[[#This Row],[PO_Date]]</f>
        <v>14</v>
      </c>
    </row>
    <row r="1373" spans="1:13" x14ac:dyDescent="0.3">
      <c r="A1373" t="s">
        <v>885</v>
      </c>
      <c r="B1373" s="18">
        <v>45549</v>
      </c>
      <c r="C1373" t="s">
        <v>40</v>
      </c>
      <c r="D1373" t="s">
        <v>140</v>
      </c>
      <c r="E1373">
        <v>62</v>
      </c>
      <c r="F1373">
        <v>429.87</v>
      </c>
      <c r="G1373" s="18">
        <v>45554</v>
      </c>
      <c r="H1373" s="18">
        <v>45552</v>
      </c>
      <c r="I1373">
        <v>62</v>
      </c>
      <c r="J1373">
        <v>26651.94</v>
      </c>
      <c r="K1373">
        <f>IF(tblPO[[#This Row],[Actual_Delivery_Date]]&lt;=tblPO[[#This Row],[Expected_Delivery_Date]],1,0)</f>
        <v>1</v>
      </c>
      <c r="L1373">
        <f>IF(tblPO[[#This Row],[Actual_Delivery_Date]]&gt;tblPO[[#This Row],[Expected_Delivery_Date]],1,0)</f>
        <v>0</v>
      </c>
      <c r="M1373">
        <f>tblPO[[#This Row],[Actual_Delivery_Date]]-tblPO[[#This Row],[PO_Date]]</f>
        <v>3</v>
      </c>
    </row>
    <row r="1374" spans="1:13" x14ac:dyDescent="0.3">
      <c r="A1374" t="s">
        <v>884</v>
      </c>
      <c r="B1374" s="18">
        <v>45551</v>
      </c>
      <c r="C1374" t="s">
        <v>60</v>
      </c>
      <c r="D1374" t="s">
        <v>115</v>
      </c>
      <c r="E1374">
        <v>2</v>
      </c>
      <c r="F1374">
        <v>2354.8000000000002</v>
      </c>
      <c r="G1374" s="18">
        <v>45559</v>
      </c>
      <c r="H1374" s="18">
        <v>45559</v>
      </c>
      <c r="I1374">
        <v>2</v>
      </c>
      <c r="J1374">
        <v>4709.6000000000004</v>
      </c>
      <c r="K1374">
        <f>IF(tblPO[[#This Row],[Actual_Delivery_Date]]&lt;=tblPO[[#This Row],[Expected_Delivery_Date]],1,0)</f>
        <v>1</v>
      </c>
      <c r="L1374">
        <f>IF(tblPO[[#This Row],[Actual_Delivery_Date]]&gt;tblPO[[#This Row],[Expected_Delivery_Date]],1,0)</f>
        <v>0</v>
      </c>
      <c r="M1374">
        <f>tblPO[[#This Row],[Actual_Delivery_Date]]-tblPO[[#This Row],[PO_Date]]</f>
        <v>8</v>
      </c>
    </row>
    <row r="1375" spans="1:13" x14ac:dyDescent="0.3">
      <c r="A1375" t="s">
        <v>883</v>
      </c>
      <c r="B1375" s="18">
        <v>45557</v>
      </c>
      <c r="C1375" t="s">
        <v>46</v>
      </c>
      <c r="D1375" t="s">
        <v>98</v>
      </c>
      <c r="E1375">
        <v>17</v>
      </c>
      <c r="F1375">
        <v>10413</v>
      </c>
      <c r="G1375" s="18">
        <v>45581</v>
      </c>
      <c r="H1375" s="18">
        <v>45579</v>
      </c>
      <c r="I1375">
        <v>17</v>
      </c>
      <c r="J1375">
        <v>177021</v>
      </c>
      <c r="K1375">
        <f>IF(tblPO[[#This Row],[Actual_Delivery_Date]]&lt;=tblPO[[#This Row],[Expected_Delivery_Date]],1,0)</f>
        <v>1</v>
      </c>
      <c r="L1375">
        <f>IF(tblPO[[#This Row],[Actual_Delivery_Date]]&gt;tblPO[[#This Row],[Expected_Delivery_Date]],1,0)</f>
        <v>0</v>
      </c>
      <c r="M1375">
        <f>tblPO[[#This Row],[Actual_Delivery_Date]]-tblPO[[#This Row],[PO_Date]]</f>
        <v>22</v>
      </c>
    </row>
    <row r="1376" spans="1:13" x14ac:dyDescent="0.3">
      <c r="A1376" t="s">
        <v>882</v>
      </c>
      <c r="B1376" s="18">
        <v>45560</v>
      </c>
      <c r="C1376" t="s">
        <v>55</v>
      </c>
      <c r="D1376" t="s">
        <v>245</v>
      </c>
      <c r="E1376">
        <v>12</v>
      </c>
      <c r="F1376">
        <v>4661.6899999999996</v>
      </c>
      <c r="G1376" s="18">
        <v>45576</v>
      </c>
      <c r="H1376" s="18">
        <v>45575</v>
      </c>
      <c r="I1376">
        <v>12</v>
      </c>
      <c r="J1376">
        <v>55940.28</v>
      </c>
      <c r="K1376">
        <f>IF(tblPO[[#This Row],[Actual_Delivery_Date]]&lt;=tblPO[[#This Row],[Expected_Delivery_Date]],1,0)</f>
        <v>1</v>
      </c>
      <c r="L1376">
        <f>IF(tblPO[[#This Row],[Actual_Delivery_Date]]&gt;tblPO[[#This Row],[Expected_Delivery_Date]],1,0)</f>
        <v>0</v>
      </c>
      <c r="M1376">
        <f>tblPO[[#This Row],[Actual_Delivery_Date]]-tblPO[[#This Row],[PO_Date]]</f>
        <v>15</v>
      </c>
    </row>
    <row r="1377" spans="1:13" x14ac:dyDescent="0.3">
      <c r="A1377" t="s">
        <v>881</v>
      </c>
      <c r="B1377" s="18">
        <v>45555</v>
      </c>
      <c r="C1377" t="s">
        <v>39</v>
      </c>
      <c r="D1377" t="s">
        <v>149</v>
      </c>
      <c r="E1377">
        <v>484</v>
      </c>
      <c r="F1377">
        <v>86.15</v>
      </c>
      <c r="G1377" s="18">
        <v>45579</v>
      </c>
      <c r="H1377" s="18">
        <v>45578</v>
      </c>
      <c r="I1377">
        <v>484</v>
      </c>
      <c r="J1377">
        <v>41696.6</v>
      </c>
      <c r="K1377">
        <f>IF(tblPO[[#This Row],[Actual_Delivery_Date]]&lt;=tblPO[[#This Row],[Expected_Delivery_Date]],1,0)</f>
        <v>1</v>
      </c>
      <c r="L1377">
        <f>IF(tblPO[[#This Row],[Actual_Delivery_Date]]&gt;tblPO[[#This Row],[Expected_Delivery_Date]],1,0)</f>
        <v>0</v>
      </c>
      <c r="M1377">
        <f>tblPO[[#This Row],[Actual_Delivery_Date]]-tblPO[[#This Row],[PO_Date]]</f>
        <v>23</v>
      </c>
    </row>
    <row r="1378" spans="1:13" x14ac:dyDescent="0.3">
      <c r="A1378" t="s">
        <v>880</v>
      </c>
      <c r="B1378" s="18">
        <v>45543</v>
      </c>
      <c r="C1378" t="s">
        <v>68</v>
      </c>
      <c r="D1378" t="s">
        <v>154</v>
      </c>
      <c r="E1378">
        <v>77</v>
      </c>
      <c r="F1378">
        <v>55.04</v>
      </c>
      <c r="G1378" s="18">
        <v>45551</v>
      </c>
      <c r="H1378" s="18">
        <v>45554</v>
      </c>
      <c r="I1378">
        <v>77</v>
      </c>
      <c r="J1378">
        <v>4238.08</v>
      </c>
      <c r="K1378">
        <f>IF(tblPO[[#This Row],[Actual_Delivery_Date]]&lt;=tblPO[[#This Row],[Expected_Delivery_Date]],1,0)</f>
        <v>0</v>
      </c>
      <c r="L1378">
        <f>IF(tblPO[[#This Row],[Actual_Delivery_Date]]&gt;tblPO[[#This Row],[Expected_Delivery_Date]],1,0)</f>
        <v>1</v>
      </c>
      <c r="M1378">
        <f>tblPO[[#This Row],[Actual_Delivery_Date]]-tblPO[[#This Row],[PO_Date]]</f>
        <v>11</v>
      </c>
    </row>
    <row r="1379" spans="1:13" x14ac:dyDescent="0.3">
      <c r="A1379" t="s">
        <v>879</v>
      </c>
      <c r="B1379" s="18">
        <v>45555</v>
      </c>
      <c r="C1379" t="s">
        <v>49</v>
      </c>
      <c r="D1379" t="s">
        <v>193</v>
      </c>
      <c r="E1379">
        <v>675</v>
      </c>
      <c r="F1379">
        <v>31.6</v>
      </c>
      <c r="G1379" s="18">
        <v>45570</v>
      </c>
      <c r="H1379" s="18">
        <v>45572</v>
      </c>
      <c r="I1379">
        <v>675</v>
      </c>
      <c r="J1379">
        <v>21330</v>
      </c>
      <c r="K1379">
        <f>IF(tblPO[[#This Row],[Actual_Delivery_Date]]&lt;=tblPO[[#This Row],[Expected_Delivery_Date]],1,0)</f>
        <v>0</v>
      </c>
      <c r="L1379">
        <f>IF(tblPO[[#This Row],[Actual_Delivery_Date]]&gt;tblPO[[#This Row],[Expected_Delivery_Date]],1,0)</f>
        <v>1</v>
      </c>
      <c r="M1379">
        <f>tblPO[[#This Row],[Actual_Delivery_Date]]-tblPO[[#This Row],[PO_Date]]</f>
        <v>17</v>
      </c>
    </row>
    <row r="1380" spans="1:13" x14ac:dyDescent="0.3">
      <c r="A1380" t="s">
        <v>878</v>
      </c>
      <c r="B1380" s="18">
        <v>45549</v>
      </c>
      <c r="C1380" t="s">
        <v>39</v>
      </c>
      <c r="D1380" t="s">
        <v>170</v>
      </c>
      <c r="E1380">
        <v>359</v>
      </c>
      <c r="F1380">
        <v>88.68</v>
      </c>
      <c r="G1380" s="18">
        <v>45563</v>
      </c>
      <c r="H1380" s="18">
        <v>45561</v>
      </c>
      <c r="I1380">
        <v>359</v>
      </c>
      <c r="J1380">
        <v>31836.12</v>
      </c>
      <c r="K1380">
        <f>IF(tblPO[[#This Row],[Actual_Delivery_Date]]&lt;=tblPO[[#This Row],[Expected_Delivery_Date]],1,0)</f>
        <v>1</v>
      </c>
      <c r="L1380">
        <f>IF(tblPO[[#This Row],[Actual_Delivery_Date]]&gt;tblPO[[#This Row],[Expected_Delivery_Date]],1,0)</f>
        <v>0</v>
      </c>
      <c r="M1380">
        <f>tblPO[[#This Row],[Actual_Delivery_Date]]-tblPO[[#This Row],[PO_Date]]</f>
        <v>12</v>
      </c>
    </row>
    <row r="1381" spans="1:13" x14ac:dyDescent="0.3">
      <c r="A1381" t="s">
        <v>877</v>
      </c>
      <c r="B1381" s="18">
        <v>45562</v>
      </c>
      <c r="C1381" t="s">
        <v>47</v>
      </c>
      <c r="D1381" t="s">
        <v>233</v>
      </c>
      <c r="E1381">
        <v>182</v>
      </c>
      <c r="F1381">
        <v>165.46</v>
      </c>
      <c r="G1381" s="18">
        <v>45580</v>
      </c>
      <c r="H1381" s="18">
        <v>45580</v>
      </c>
      <c r="I1381">
        <v>182</v>
      </c>
      <c r="J1381">
        <v>30113.72</v>
      </c>
      <c r="K1381">
        <f>IF(tblPO[[#This Row],[Actual_Delivery_Date]]&lt;=tblPO[[#This Row],[Expected_Delivery_Date]],1,0)</f>
        <v>1</v>
      </c>
      <c r="L1381">
        <f>IF(tblPO[[#This Row],[Actual_Delivery_Date]]&gt;tblPO[[#This Row],[Expected_Delivery_Date]],1,0)</f>
        <v>0</v>
      </c>
      <c r="M1381">
        <f>tblPO[[#This Row],[Actual_Delivery_Date]]-tblPO[[#This Row],[PO_Date]]</f>
        <v>18</v>
      </c>
    </row>
    <row r="1382" spans="1:13" x14ac:dyDescent="0.3">
      <c r="A1382" t="s">
        <v>876</v>
      </c>
      <c r="B1382" s="18">
        <v>45550</v>
      </c>
      <c r="C1382" t="s">
        <v>66</v>
      </c>
      <c r="D1382" t="s">
        <v>227</v>
      </c>
      <c r="E1382">
        <v>5</v>
      </c>
      <c r="F1382">
        <v>1078</v>
      </c>
      <c r="G1382" s="18">
        <v>45555</v>
      </c>
      <c r="H1382" s="18">
        <v>45552</v>
      </c>
      <c r="I1382">
        <v>5</v>
      </c>
      <c r="J1382">
        <v>5390</v>
      </c>
      <c r="K1382">
        <f>IF(tblPO[[#This Row],[Actual_Delivery_Date]]&lt;=tblPO[[#This Row],[Expected_Delivery_Date]],1,0)</f>
        <v>1</v>
      </c>
      <c r="L1382">
        <f>IF(tblPO[[#This Row],[Actual_Delivery_Date]]&gt;tblPO[[#This Row],[Expected_Delivery_Date]],1,0)</f>
        <v>0</v>
      </c>
      <c r="M1382">
        <f>tblPO[[#This Row],[Actual_Delivery_Date]]-tblPO[[#This Row],[PO_Date]]</f>
        <v>2</v>
      </c>
    </row>
    <row r="1383" spans="1:13" x14ac:dyDescent="0.3">
      <c r="A1383" t="s">
        <v>875</v>
      </c>
      <c r="B1383" s="18">
        <v>45541</v>
      </c>
      <c r="C1383" t="s">
        <v>38</v>
      </c>
      <c r="D1383" t="s">
        <v>227</v>
      </c>
      <c r="E1383">
        <v>2</v>
      </c>
      <c r="F1383">
        <v>1280.3599999999999</v>
      </c>
      <c r="G1383" s="18">
        <v>45554</v>
      </c>
      <c r="H1383" s="18">
        <v>45554</v>
      </c>
      <c r="I1383">
        <v>2</v>
      </c>
      <c r="J1383">
        <v>2560.7199999999998</v>
      </c>
      <c r="K1383">
        <f>IF(tblPO[[#This Row],[Actual_Delivery_Date]]&lt;=tblPO[[#This Row],[Expected_Delivery_Date]],1,0)</f>
        <v>1</v>
      </c>
      <c r="L1383">
        <f>IF(tblPO[[#This Row],[Actual_Delivery_Date]]&gt;tblPO[[#This Row],[Expected_Delivery_Date]],1,0)</f>
        <v>0</v>
      </c>
      <c r="M1383">
        <f>tblPO[[#This Row],[Actual_Delivery_Date]]-tblPO[[#This Row],[PO_Date]]</f>
        <v>13</v>
      </c>
    </row>
    <row r="1384" spans="1:13" x14ac:dyDescent="0.3">
      <c r="A1384" t="s">
        <v>874</v>
      </c>
      <c r="B1384" s="18">
        <v>45548</v>
      </c>
      <c r="C1384" t="s">
        <v>43</v>
      </c>
      <c r="D1384" t="s">
        <v>176</v>
      </c>
      <c r="E1384">
        <v>736</v>
      </c>
      <c r="F1384">
        <v>37.76</v>
      </c>
      <c r="G1384" s="18">
        <v>45564</v>
      </c>
      <c r="H1384" s="18">
        <v>45563</v>
      </c>
      <c r="I1384">
        <v>736</v>
      </c>
      <c r="J1384">
        <v>27791.360000000001</v>
      </c>
      <c r="K1384">
        <f>IF(tblPO[[#This Row],[Actual_Delivery_Date]]&lt;=tblPO[[#This Row],[Expected_Delivery_Date]],1,0)</f>
        <v>1</v>
      </c>
      <c r="L1384">
        <f>IF(tblPO[[#This Row],[Actual_Delivery_Date]]&gt;tblPO[[#This Row],[Expected_Delivery_Date]],1,0)</f>
        <v>0</v>
      </c>
      <c r="M1384">
        <f>tblPO[[#This Row],[Actual_Delivery_Date]]-tblPO[[#This Row],[PO_Date]]</f>
        <v>15</v>
      </c>
    </row>
    <row r="1385" spans="1:13" x14ac:dyDescent="0.3">
      <c r="A1385" t="s">
        <v>873</v>
      </c>
      <c r="B1385" s="18">
        <v>45552</v>
      </c>
      <c r="C1385" t="s">
        <v>55</v>
      </c>
      <c r="D1385" t="s">
        <v>245</v>
      </c>
      <c r="E1385">
        <v>16</v>
      </c>
      <c r="F1385">
        <v>4743</v>
      </c>
      <c r="G1385" s="18">
        <v>45575</v>
      </c>
      <c r="H1385" s="18">
        <v>45574</v>
      </c>
      <c r="I1385">
        <v>16</v>
      </c>
      <c r="J1385">
        <v>75888</v>
      </c>
      <c r="K1385">
        <f>IF(tblPO[[#This Row],[Actual_Delivery_Date]]&lt;=tblPO[[#This Row],[Expected_Delivery_Date]],1,0)</f>
        <v>1</v>
      </c>
      <c r="L1385">
        <f>IF(tblPO[[#This Row],[Actual_Delivery_Date]]&gt;tblPO[[#This Row],[Expected_Delivery_Date]],1,0)</f>
        <v>0</v>
      </c>
      <c r="M1385">
        <f>tblPO[[#This Row],[Actual_Delivery_Date]]-tblPO[[#This Row],[PO_Date]]</f>
        <v>22</v>
      </c>
    </row>
    <row r="1386" spans="1:13" x14ac:dyDescent="0.3">
      <c r="A1386" t="s">
        <v>872</v>
      </c>
      <c r="B1386" s="18">
        <v>45549</v>
      </c>
      <c r="C1386" t="s">
        <v>42</v>
      </c>
      <c r="D1386" t="s">
        <v>100</v>
      </c>
      <c r="E1386">
        <v>3</v>
      </c>
      <c r="F1386">
        <v>53194.46</v>
      </c>
      <c r="G1386" s="18">
        <v>45578</v>
      </c>
      <c r="H1386" s="18">
        <v>45575</v>
      </c>
      <c r="I1386">
        <v>3</v>
      </c>
      <c r="J1386">
        <v>159583.38</v>
      </c>
      <c r="K1386">
        <f>IF(tblPO[[#This Row],[Actual_Delivery_Date]]&lt;=tblPO[[#This Row],[Expected_Delivery_Date]],1,0)</f>
        <v>1</v>
      </c>
      <c r="L1386">
        <f>IF(tblPO[[#This Row],[Actual_Delivery_Date]]&gt;tblPO[[#This Row],[Expected_Delivery_Date]],1,0)</f>
        <v>0</v>
      </c>
      <c r="M1386">
        <f>tblPO[[#This Row],[Actual_Delivery_Date]]-tblPO[[#This Row],[PO_Date]]</f>
        <v>26</v>
      </c>
    </row>
    <row r="1387" spans="1:13" x14ac:dyDescent="0.3">
      <c r="A1387" t="s">
        <v>871</v>
      </c>
      <c r="B1387" s="18">
        <v>45554</v>
      </c>
      <c r="C1387" t="s">
        <v>43</v>
      </c>
      <c r="D1387" t="s">
        <v>166</v>
      </c>
      <c r="E1387">
        <v>774</v>
      </c>
      <c r="F1387">
        <v>76.45</v>
      </c>
      <c r="G1387" s="18">
        <v>45565</v>
      </c>
      <c r="H1387" s="18">
        <v>45565</v>
      </c>
      <c r="I1387">
        <v>774</v>
      </c>
      <c r="J1387">
        <v>59172.3</v>
      </c>
      <c r="K1387">
        <f>IF(tblPO[[#This Row],[Actual_Delivery_Date]]&lt;=tblPO[[#This Row],[Expected_Delivery_Date]],1,0)</f>
        <v>1</v>
      </c>
      <c r="L1387">
        <f>IF(tblPO[[#This Row],[Actual_Delivery_Date]]&gt;tblPO[[#This Row],[Expected_Delivery_Date]],1,0)</f>
        <v>0</v>
      </c>
      <c r="M1387">
        <f>tblPO[[#This Row],[Actual_Delivery_Date]]-tblPO[[#This Row],[PO_Date]]</f>
        <v>11</v>
      </c>
    </row>
    <row r="1388" spans="1:13" x14ac:dyDescent="0.3">
      <c r="A1388" t="s">
        <v>870</v>
      </c>
      <c r="B1388" s="18">
        <v>45563</v>
      </c>
      <c r="C1388" t="s">
        <v>54</v>
      </c>
      <c r="D1388" t="s">
        <v>195</v>
      </c>
      <c r="E1388">
        <v>41</v>
      </c>
      <c r="F1388">
        <v>498.15</v>
      </c>
      <c r="G1388" s="18">
        <v>45581</v>
      </c>
      <c r="H1388" s="18">
        <v>45578</v>
      </c>
      <c r="I1388">
        <v>41</v>
      </c>
      <c r="J1388">
        <v>20424.150000000001</v>
      </c>
      <c r="K1388">
        <f>IF(tblPO[[#This Row],[Actual_Delivery_Date]]&lt;=tblPO[[#This Row],[Expected_Delivery_Date]],1,0)</f>
        <v>1</v>
      </c>
      <c r="L1388">
        <f>IF(tblPO[[#This Row],[Actual_Delivery_Date]]&gt;tblPO[[#This Row],[Expected_Delivery_Date]],1,0)</f>
        <v>0</v>
      </c>
      <c r="M1388">
        <f>tblPO[[#This Row],[Actual_Delivery_Date]]-tblPO[[#This Row],[PO_Date]]</f>
        <v>15</v>
      </c>
    </row>
    <row r="1389" spans="1:13" x14ac:dyDescent="0.3">
      <c r="A1389" t="s">
        <v>869</v>
      </c>
      <c r="B1389" s="18">
        <v>45557</v>
      </c>
      <c r="C1389" t="s">
        <v>38</v>
      </c>
      <c r="D1389" t="s">
        <v>229</v>
      </c>
      <c r="E1389">
        <v>12</v>
      </c>
      <c r="F1389">
        <v>1764.34</v>
      </c>
      <c r="G1389" s="18">
        <v>45569</v>
      </c>
      <c r="H1389" s="18">
        <v>45566</v>
      </c>
      <c r="I1389">
        <v>12</v>
      </c>
      <c r="J1389">
        <v>21172.080000000002</v>
      </c>
      <c r="K1389">
        <f>IF(tblPO[[#This Row],[Actual_Delivery_Date]]&lt;=tblPO[[#This Row],[Expected_Delivery_Date]],1,0)</f>
        <v>1</v>
      </c>
      <c r="L1389">
        <f>IF(tblPO[[#This Row],[Actual_Delivery_Date]]&gt;tblPO[[#This Row],[Expected_Delivery_Date]],1,0)</f>
        <v>0</v>
      </c>
      <c r="M1389">
        <f>tblPO[[#This Row],[Actual_Delivery_Date]]-tblPO[[#This Row],[PO_Date]]</f>
        <v>9</v>
      </c>
    </row>
    <row r="1390" spans="1:13" x14ac:dyDescent="0.3">
      <c r="A1390" t="s">
        <v>868</v>
      </c>
      <c r="B1390" s="18">
        <v>45536</v>
      </c>
      <c r="C1390" t="s">
        <v>38</v>
      </c>
      <c r="D1390" t="s">
        <v>241</v>
      </c>
      <c r="E1390">
        <v>15</v>
      </c>
      <c r="F1390">
        <v>3147.07</v>
      </c>
      <c r="G1390" s="18">
        <v>45553</v>
      </c>
      <c r="H1390" s="18">
        <v>45550</v>
      </c>
      <c r="I1390">
        <v>15</v>
      </c>
      <c r="J1390">
        <v>47206.05</v>
      </c>
      <c r="K1390">
        <f>IF(tblPO[[#This Row],[Actual_Delivery_Date]]&lt;=tblPO[[#This Row],[Expected_Delivery_Date]],1,0)</f>
        <v>1</v>
      </c>
      <c r="L1390">
        <f>IF(tblPO[[#This Row],[Actual_Delivery_Date]]&gt;tblPO[[#This Row],[Expected_Delivery_Date]],1,0)</f>
        <v>0</v>
      </c>
      <c r="M1390">
        <f>tblPO[[#This Row],[Actual_Delivery_Date]]-tblPO[[#This Row],[PO_Date]]</f>
        <v>14</v>
      </c>
    </row>
    <row r="1391" spans="1:13" x14ac:dyDescent="0.3">
      <c r="A1391" t="s">
        <v>867</v>
      </c>
      <c r="B1391" s="18">
        <v>45559</v>
      </c>
      <c r="C1391" t="s">
        <v>40</v>
      </c>
      <c r="D1391" t="s">
        <v>132</v>
      </c>
      <c r="E1391">
        <v>19</v>
      </c>
      <c r="F1391">
        <v>2994.54</v>
      </c>
      <c r="G1391" s="18">
        <v>45574</v>
      </c>
      <c r="H1391" s="18">
        <v>45571</v>
      </c>
      <c r="I1391">
        <v>19</v>
      </c>
      <c r="J1391">
        <v>56896.26</v>
      </c>
      <c r="K1391">
        <f>IF(tblPO[[#This Row],[Actual_Delivery_Date]]&lt;=tblPO[[#This Row],[Expected_Delivery_Date]],1,0)</f>
        <v>1</v>
      </c>
      <c r="L1391">
        <f>IF(tblPO[[#This Row],[Actual_Delivery_Date]]&gt;tblPO[[#This Row],[Expected_Delivery_Date]],1,0)</f>
        <v>0</v>
      </c>
      <c r="M1391">
        <f>tblPO[[#This Row],[Actual_Delivery_Date]]-tblPO[[#This Row],[PO_Date]]</f>
        <v>12</v>
      </c>
    </row>
    <row r="1392" spans="1:13" x14ac:dyDescent="0.3">
      <c r="A1392" t="s">
        <v>866</v>
      </c>
      <c r="B1392" s="18">
        <v>45549</v>
      </c>
      <c r="C1392" t="s">
        <v>46</v>
      </c>
      <c r="D1392" t="s">
        <v>106</v>
      </c>
      <c r="E1392">
        <v>8</v>
      </c>
      <c r="F1392">
        <v>23544.560000000001</v>
      </c>
      <c r="G1392" s="18">
        <v>45569</v>
      </c>
      <c r="H1392" s="18">
        <v>45569</v>
      </c>
      <c r="I1392">
        <v>8</v>
      </c>
      <c r="J1392">
        <v>188356.48000000001</v>
      </c>
      <c r="K1392">
        <f>IF(tblPO[[#This Row],[Actual_Delivery_Date]]&lt;=tblPO[[#This Row],[Expected_Delivery_Date]],1,0)</f>
        <v>1</v>
      </c>
      <c r="L1392">
        <f>IF(tblPO[[#This Row],[Actual_Delivery_Date]]&gt;tblPO[[#This Row],[Expected_Delivery_Date]],1,0)</f>
        <v>0</v>
      </c>
      <c r="M1392">
        <f>tblPO[[#This Row],[Actual_Delivery_Date]]-tblPO[[#This Row],[PO_Date]]</f>
        <v>20</v>
      </c>
    </row>
    <row r="1393" spans="1:13" x14ac:dyDescent="0.3">
      <c r="A1393" t="s">
        <v>865</v>
      </c>
      <c r="B1393" s="18">
        <v>45562</v>
      </c>
      <c r="C1393" t="s">
        <v>70</v>
      </c>
      <c r="D1393" t="s">
        <v>203</v>
      </c>
      <c r="E1393">
        <v>197</v>
      </c>
      <c r="F1393">
        <v>349.53</v>
      </c>
      <c r="G1393" s="18">
        <v>45579</v>
      </c>
      <c r="H1393" s="18">
        <v>45578</v>
      </c>
      <c r="I1393">
        <v>197</v>
      </c>
      <c r="J1393">
        <v>68857.41</v>
      </c>
      <c r="K1393">
        <f>IF(tblPO[[#This Row],[Actual_Delivery_Date]]&lt;=tblPO[[#This Row],[Expected_Delivery_Date]],1,0)</f>
        <v>1</v>
      </c>
      <c r="L1393">
        <f>IF(tblPO[[#This Row],[Actual_Delivery_Date]]&gt;tblPO[[#This Row],[Expected_Delivery_Date]],1,0)</f>
        <v>0</v>
      </c>
      <c r="M1393">
        <f>tblPO[[#This Row],[Actual_Delivery_Date]]-tblPO[[#This Row],[PO_Date]]</f>
        <v>16</v>
      </c>
    </row>
    <row r="1394" spans="1:13" x14ac:dyDescent="0.3">
      <c r="A1394" t="s">
        <v>864</v>
      </c>
      <c r="B1394" s="18">
        <v>45556</v>
      </c>
      <c r="C1394" t="s">
        <v>58</v>
      </c>
      <c r="D1394" t="s">
        <v>172</v>
      </c>
      <c r="E1394">
        <v>791</v>
      </c>
      <c r="F1394">
        <v>38.74</v>
      </c>
      <c r="G1394" s="18">
        <v>45571</v>
      </c>
      <c r="H1394" s="18">
        <v>45568</v>
      </c>
      <c r="I1394">
        <v>791</v>
      </c>
      <c r="J1394">
        <v>30643.34</v>
      </c>
      <c r="K1394">
        <f>IF(tblPO[[#This Row],[Actual_Delivery_Date]]&lt;=tblPO[[#This Row],[Expected_Delivery_Date]],1,0)</f>
        <v>1</v>
      </c>
      <c r="L1394">
        <f>IF(tblPO[[#This Row],[Actual_Delivery_Date]]&gt;tblPO[[#This Row],[Expected_Delivery_Date]],1,0)</f>
        <v>0</v>
      </c>
      <c r="M1394">
        <f>tblPO[[#This Row],[Actual_Delivery_Date]]-tblPO[[#This Row],[PO_Date]]</f>
        <v>12</v>
      </c>
    </row>
    <row r="1395" spans="1:13" x14ac:dyDescent="0.3">
      <c r="A1395" t="s">
        <v>863</v>
      </c>
      <c r="B1395" s="18">
        <v>45548</v>
      </c>
      <c r="C1395" t="s">
        <v>43</v>
      </c>
      <c r="D1395" t="s">
        <v>156</v>
      </c>
      <c r="E1395">
        <v>482</v>
      </c>
      <c r="F1395">
        <v>50.49</v>
      </c>
      <c r="G1395" s="18">
        <v>45551</v>
      </c>
      <c r="H1395" s="18">
        <v>45550</v>
      </c>
      <c r="I1395">
        <v>482</v>
      </c>
      <c r="J1395">
        <v>24336.18</v>
      </c>
      <c r="K1395">
        <f>IF(tblPO[[#This Row],[Actual_Delivery_Date]]&lt;=tblPO[[#This Row],[Expected_Delivery_Date]],1,0)</f>
        <v>1</v>
      </c>
      <c r="L1395">
        <f>IF(tblPO[[#This Row],[Actual_Delivery_Date]]&gt;tblPO[[#This Row],[Expected_Delivery_Date]],1,0)</f>
        <v>0</v>
      </c>
      <c r="M1395">
        <f>tblPO[[#This Row],[Actual_Delivery_Date]]-tblPO[[#This Row],[PO_Date]]</f>
        <v>2</v>
      </c>
    </row>
    <row r="1396" spans="1:13" x14ac:dyDescent="0.3">
      <c r="A1396" t="s">
        <v>862</v>
      </c>
      <c r="B1396" s="18">
        <v>45539</v>
      </c>
      <c r="C1396" t="s">
        <v>52</v>
      </c>
      <c r="D1396" t="s">
        <v>247</v>
      </c>
      <c r="E1396">
        <v>120</v>
      </c>
      <c r="F1396">
        <v>617.61</v>
      </c>
      <c r="G1396" s="18">
        <v>45548</v>
      </c>
      <c r="H1396" s="18">
        <v>45547</v>
      </c>
      <c r="I1396">
        <v>120</v>
      </c>
      <c r="J1396">
        <v>74113.2</v>
      </c>
      <c r="K1396">
        <f>IF(tblPO[[#This Row],[Actual_Delivery_Date]]&lt;=tblPO[[#This Row],[Expected_Delivery_Date]],1,0)</f>
        <v>1</v>
      </c>
      <c r="L1396">
        <f>IF(tblPO[[#This Row],[Actual_Delivery_Date]]&gt;tblPO[[#This Row],[Expected_Delivery_Date]],1,0)</f>
        <v>0</v>
      </c>
      <c r="M1396">
        <f>tblPO[[#This Row],[Actual_Delivery_Date]]-tblPO[[#This Row],[PO_Date]]</f>
        <v>8</v>
      </c>
    </row>
    <row r="1397" spans="1:13" x14ac:dyDescent="0.3">
      <c r="A1397" t="s">
        <v>861</v>
      </c>
      <c r="B1397" s="18">
        <v>45558</v>
      </c>
      <c r="C1397" t="s">
        <v>41</v>
      </c>
      <c r="D1397" t="s">
        <v>193</v>
      </c>
      <c r="E1397">
        <v>299</v>
      </c>
      <c r="F1397">
        <v>33.11</v>
      </c>
      <c r="G1397" s="18">
        <v>45562</v>
      </c>
      <c r="H1397" s="18">
        <v>45562</v>
      </c>
      <c r="I1397">
        <v>299</v>
      </c>
      <c r="J1397">
        <v>9899.89</v>
      </c>
      <c r="K1397">
        <f>IF(tblPO[[#This Row],[Actual_Delivery_Date]]&lt;=tblPO[[#This Row],[Expected_Delivery_Date]],1,0)</f>
        <v>1</v>
      </c>
      <c r="L1397">
        <f>IF(tblPO[[#This Row],[Actual_Delivery_Date]]&gt;tblPO[[#This Row],[Expected_Delivery_Date]],1,0)</f>
        <v>0</v>
      </c>
      <c r="M1397">
        <f>tblPO[[#This Row],[Actual_Delivery_Date]]-tblPO[[#This Row],[PO_Date]]</f>
        <v>4</v>
      </c>
    </row>
    <row r="1398" spans="1:13" x14ac:dyDescent="0.3">
      <c r="A1398" t="s">
        <v>860</v>
      </c>
      <c r="B1398" s="18">
        <v>45558</v>
      </c>
      <c r="C1398" t="s">
        <v>39</v>
      </c>
      <c r="D1398" t="s">
        <v>146</v>
      </c>
      <c r="E1398">
        <v>25</v>
      </c>
      <c r="F1398">
        <v>3287.33</v>
      </c>
      <c r="G1398" s="18">
        <v>45575</v>
      </c>
      <c r="H1398" s="18">
        <v>45572</v>
      </c>
      <c r="I1398">
        <v>25</v>
      </c>
      <c r="J1398">
        <v>82183.25</v>
      </c>
      <c r="K1398">
        <f>IF(tblPO[[#This Row],[Actual_Delivery_Date]]&lt;=tblPO[[#This Row],[Expected_Delivery_Date]],1,0)</f>
        <v>1</v>
      </c>
      <c r="L1398">
        <f>IF(tblPO[[#This Row],[Actual_Delivery_Date]]&gt;tblPO[[#This Row],[Expected_Delivery_Date]],1,0)</f>
        <v>0</v>
      </c>
      <c r="M1398">
        <f>tblPO[[#This Row],[Actual_Delivery_Date]]-tblPO[[#This Row],[PO_Date]]</f>
        <v>14</v>
      </c>
    </row>
    <row r="1399" spans="1:13" x14ac:dyDescent="0.3">
      <c r="A1399" t="s">
        <v>859</v>
      </c>
      <c r="B1399" s="18">
        <v>45544</v>
      </c>
      <c r="C1399" t="s">
        <v>43</v>
      </c>
      <c r="D1399" t="s">
        <v>146</v>
      </c>
      <c r="E1399">
        <v>11</v>
      </c>
      <c r="F1399">
        <v>2455.7399999999998</v>
      </c>
      <c r="G1399" s="18">
        <v>45547</v>
      </c>
      <c r="H1399" s="18">
        <v>45544</v>
      </c>
      <c r="I1399">
        <v>11</v>
      </c>
      <c r="J1399">
        <v>27013.14</v>
      </c>
      <c r="K1399">
        <f>IF(tblPO[[#This Row],[Actual_Delivery_Date]]&lt;=tblPO[[#This Row],[Expected_Delivery_Date]],1,0)</f>
        <v>1</v>
      </c>
      <c r="L1399">
        <f>IF(tblPO[[#This Row],[Actual_Delivery_Date]]&gt;tblPO[[#This Row],[Expected_Delivery_Date]],1,0)</f>
        <v>0</v>
      </c>
      <c r="M1399">
        <f>tblPO[[#This Row],[Actual_Delivery_Date]]-tblPO[[#This Row],[PO_Date]]</f>
        <v>0</v>
      </c>
    </row>
    <row r="1400" spans="1:13" x14ac:dyDescent="0.3">
      <c r="A1400" t="s">
        <v>858</v>
      </c>
      <c r="B1400" s="18">
        <v>45550</v>
      </c>
      <c r="C1400" t="s">
        <v>44</v>
      </c>
      <c r="D1400" t="s">
        <v>188</v>
      </c>
      <c r="E1400">
        <v>323</v>
      </c>
      <c r="F1400">
        <v>30.24</v>
      </c>
      <c r="G1400" s="18">
        <v>45572</v>
      </c>
      <c r="H1400" s="18">
        <v>45570</v>
      </c>
      <c r="I1400">
        <v>295</v>
      </c>
      <c r="J1400">
        <v>9767.52</v>
      </c>
      <c r="K1400">
        <f>IF(tblPO[[#This Row],[Actual_Delivery_Date]]&lt;=tblPO[[#This Row],[Expected_Delivery_Date]],1,0)</f>
        <v>1</v>
      </c>
      <c r="L1400">
        <f>IF(tblPO[[#This Row],[Actual_Delivery_Date]]&gt;tblPO[[#This Row],[Expected_Delivery_Date]],1,0)</f>
        <v>0</v>
      </c>
      <c r="M1400">
        <f>tblPO[[#This Row],[Actual_Delivery_Date]]-tblPO[[#This Row],[PO_Date]]</f>
        <v>20</v>
      </c>
    </row>
    <row r="1401" spans="1:13" x14ac:dyDescent="0.3">
      <c r="A1401" t="s">
        <v>857</v>
      </c>
      <c r="B1401" s="18">
        <v>45558</v>
      </c>
      <c r="C1401" t="s">
        <v>47</v>
      </c>
      <c r="D1401" t="s">
        <v>247</v>
      </c>
      <c r="E1401">
        <v>196</v>
      </c>
      <c r="F1401">
        <v>500.42</v>
      </c>
      <c r="G1401" s="18">
        <v>45575</v>
      </c>
      <c r="H1401" s="18">
        <v>45574</v>
      </c>
      <c r="I1401">
        <v>196</v>
      </c>
      <c r="J1401">
        <v>98082.32</v>
      </c>
      <c r="K1401">
        <f>IF(tblPO[[#This Row],[Actual_Delivery_Date]]&lt;=tblPO[[#This Row],[Expected_Delivery_Date]],1,0)</f>
        <v>1</v>
      </c>
      <c r="L1401">
        <f>IF(tblPO[[#This Row],[Actual_Delivery_Date]]&gt;tblPO[[#This Row],[Expected_Delivery_Date]],1,0)</f>
        <v>0</v>
      </c>
      <c r="M1401">
        <f>tblPO[[#This Row],[Actual_Delivery_Date]]-tblPO[[#This Row],[PO_Date]]</f>
        <v>16</v>
      </c>
    </row>
    <row r="1402" spans="1:13" x14ac:dyDescent="0.3">
      <c r="A1402" t="s">
        <v>856</v>
      </c>
      <c r="B1402" s="18">
        <v>45546</v>
      </c>
      <c r="C1402" t="s">
        <v>41</v>
      </c>
      <c r="D1402" t="s">
        <v>195</v>
      </c>
      <c r="E1402">
        <v>13</v>
      </c>
      <c r="F1402">
        <v>618.57000000000005</v>
      </c>
      <c r="G1402" s="18">
        <v>45559</v>
      </c>
      <c r="H1402" s="18">
        <v>45559</v>
      </c>
      <c r="I1402">
        <v>13</v>
      </c>
      <c r="J1402">
        <v>8041.41</v>
      </c>
      <c r="K1402">
        <f>IF(tblPO[[#This Row],[Actual_Delivery_Date]]&lt;=tblPO[[#This Row],[Expected_Delivery_Date]],1,0)</f>
        <v>1</v>
      </c>
      <c r="L1402">
        <f>IF(tblPO[[#This Row],[Actual_Delivery_Date]]&gt;tblPO[[#This Row],[Expected_Delivery_Date]],1,0)</f>
        <v>0</v>
      </c>
      <c r="M1402">
        <f>tblPO[[#This Row],[Actual_Delivery_Date]]-tblPO[[#This Row],[PO_Date]]</f>
        <v>13</v>
      </c>
    </row>
    <row r="1403" spans="1:13" x14ac:dyDescent="0.3">
      <c r="A1403" t="s">
        <v>855</v>
      </c>
      <c r="B1403" s="18">
        <v>45541</v>
      </c>
      <c r="C1403" t="s">
        <v>38</v>
      </c>
      <c r="D1403" t="s">
        <v>221</v>
      </c>
      <c r="E1403">
        <v>24</v>
      </c>
      <c r="F1403">
        <v>1904.86</v>
      </c>
      <c r="G1403" s="18">
        <v>45556</v>
      </c>
      <c r="H1403" s="18">
        <v>45553</v>
      </c>
      <c r="I1403">
        <v>24</v>
      </c>
      <c r="J1403">
        <v>45716.639999999999</v>
      </c>
      <c r="K1403">
        <f>IF(tblPO[[#This Row],[Actual_Delivery_Date]]&lt;=tblPO[[#This Row],[Expected_Delivery_Date]],1,0)</f>
        <v>1</v>
      </c>
      <c r="L1403">
        <f>IF(tblPO[[#This Row],[Actual_Delivery_Date]]&gt;tblPO[[#This Row],[Expected_Delivery_Date]],1,0)</f>
        <v>0</v>
      </c>
      <c r="M1403">
        <f>tblPO[[#This Row],[Actual_Delivery_Date]]-tblPO[[#This Row],[PO_Date]]</f>
        <v>12</v>
      </c>
    </row>
    <row r="1404" spans="1:13" x14ac:dyDescent="0.3">
      <c r="A1404" t="s">
        <v>854</v>
      </c>
      <c r="B1404" s="18">
        <v>45551</v>
      </c>
      <c r="C1404" t="s">
        <v>58</v>
      </c>
      <c r="D1404" t="s">
        <v>158</v>
      </c>
      <c r="E1404">
        <v>171</v>
      </c>
      <c r="F1404">
        <v>136.94</v>
      </c>
      <c r="G1404" s="18">
        <v>45580</v>
      </c>
      <c r="H1404" s="18">
        <v>45587</v>
      </c>
      <c r="I1404">
        <v>171</v>
      </c>
      <c r="J1404">
        <v>23416.74</v>
      </c>
      <c r="K1404">
        <f>IF(tblPO[[#This Row],[Actual_Delivery_Date]]&lt;=tblPO[[#This Row],[Expected_Delivery_Date]],1,0)</f>
        <v>0</v>
      </c>
      <c r="L1404">
        <f>IF(tblPO[[#This Row],[Actual_Delivery_Date]]&gt;tblPO[[#This Row],[Expected_Delivery_Date]],1,0)</f>
        <v>1</v>
      </c>
      <c r="M1404">
        <f>tblPO[[#This Row],[Actual_Delivery_Date]]-tblPO[[#This Row],[PO_Date]]</f>
        <v>36</v>
      </c>
    </row>
    <row r="1405" spans="1:13" x14ac:dyDescent="0.3">
      <c r="A1405" t="s">
        <v>853</v>
      </c>
      <c r="B1405" s="18">
        <v>45560</v>
      </c>
      <c r="C1405" t="s">
        <v>54</v>
      </c>
      <c r="D1405" t="s">
        <v>193</v>
      </c>
      <c r="E1405">
        <v>348</v>
      </c>
      <c r="F1405">
        <v>27.01</v>
      </c>
      <c r="G1405" s="18">
        <v>45573</v>
      </c>
      <c r="H1405" s="18">
        <v>45573</v>
      </c>
      <c r="I1405">
        <v>330</v>
      </c>
      <c r="J1405">
        <v>9399.48</v>
      </c>
      <c r="K1405">
        <f>IF(tblPO[[#This Row],[Actual_Delivery_Date]]&lt;=tblPO[[#This Row],[Expected_Delivery_Date]],1,0)</f>
        <v>1</v>
      </c>
      <c r="L1405">
        <f>IF(tblPO[[#This Row],[Actual_Delivery_Date]]&gt;tblPO[[#This Row],[Expected_Delivery_Date]],1,0)</f>
        <v>0</v>
      </c>
      <c r="M1405">
        <f>tblPO[[#This Row],[Actual_Delivery_Date]]-tblPO[[#This Row],[PO_Date]]</f>
        <v>13</v>
      </c>
    </row>
    <row r="1406" spans="1:13" x14ac:dyDescent="0.3">
      <c r="A1406" t="s">
        <v>852</v>
      </c>
      <c r="B1406" s="18">
        <v>45549</v>
      </c>
      <c r="C1406" t="s">
        <v>46</v>
      </c>
      <c r="D1406" t="s">
        <v>106</v>
      </c>
      <c r="E1406">
        <v>7</v>
      </c>
      <c r="F1406">
        <v>23354.89</v>
      </c>
      <c r="G1406" s="18">
        <v>45561</v>
      </c>
      <c r="H1406" s="18">
        <v>45560</v>
      </c>
      <c r="I1406">
        <v>7</v>
      </c>
      <c r="J1406">
        <v>163484.23000000001</v>
      </c>
      <c r="K1406">
        <f>IF(tblPO[[#This Row],[Actual_Delivery_Date]]&lt;=tblPO[[#This Row],[Expected_Delivery_Date]],1,0)</f>
        <v>1</v>
      </c>
      <c r="L1406">
        <f>IF(tblPO[[#This Row],[Actual_Delivery_Date]]&gt;tblPO[[#This Row],[Expected_Delivery_Date]],1,0)</f>
        <v>0</v>
      </c>
      <c r="M1406">
        <f>tblPO[[#This Row],[Actual_Delivery_Date]]-tblPO[[#This Row],[PO_Date]]</f>
        <v>11</v>
      </c>
    </row>
    <row r="1407" spans="1:13" x14ac:dyDescent="0.3">
      <c r="A1407" t="s">
        <v>851</v>
      </c>
      <c r="B1407" s="18">
        <v>45565</v>
      </c>
      <c r="C1407" t="s">
        <v>46</v>
      </c>
      <c r="D1407" t="s">
        <v>96</v>
      </c>
      <c r="E1407">
        <v>106</v>
      </c>
      <c r="F1407">
        <v>844.33</v>
      </c>
      <c r="G1407" s="18">
        <v>45594</v>
      </c>
      <c r="H1407" s="18">
        <v>45591</v>
      </c>
      <c r="I1407">
        <v>106</v>
      </c>
      <c r="J1407">
        <v>89498.98</v>
      </c>
      <c r="K1407">
        <f>IF(tblPO[[#This Row],[Actual_Delivery_Date]]&lt;=tblPO[[#This Row],[Expected_Delivery_Date]],1,0)</f>
        <v>1</v>
      </c>
      <c r="L1407">
        <f>IF(tblPO[[#This Row],[Actual_Delivery_Date]]&gt;tblPO[[#This Row],[Expected_Delivery_Date]],1,0)</f>
        <v>0</v>
      </c>
      <c r="M1407">
        <f>tblPO[[#This Row],[Actual_Delivery_Date]]-tblPO[[#This Row],[PO_Date]]</f>
        <v>26</v>
      </c>
    </row>
    <row r="1408" spans="1:13" x14ac:dyDescent="0.3">
      <c r="A1408" t="s">
        <v>850</v>
      </c>
      <c r="B1408" s="18">
        <v>45554</v>
      </c>
      <c r="C1408" t="s">
        <v>55</v>
      </c>
      <c r="D1408" t="s">
        <v>239</v>
      </c>
      <c r="E1408">
        <v>163</v>
      </c>
      <c r="F1408">
        <v>103.94</v>
      </c>
      <c r="G1408" s="18">
        <v>45575</v>
      </c>
      <c r="H1408" s="18">
        <v>45573</v>
      </c>
      <c r="I1408">
        <v>163</v>
      </c>
      <c r="J1408">
        <v>16942.22</v>
      </c>
      <c r="K1408">
        <f>IF(tblPO[[#This Row],[Actual_Delivery_Date]]&lt;=tblPO[[#This Row],[Expected_Delivery_Date]],1,0)</f>
        <v>1</v>
      </c>
      <c r="L1408">
        <f>IF(tblPO[[#This Row],[Actual_Delivery_Date]]&gt;tblPO[[#This Row],[Expected_Delivery_Date]],1,0)</f>
        <v>0</v>
      </c>
      <c r="M1408">
        <f>tblPO[[#This Row],[Actual_Delivery_Date]]-tblPO[[#This Row],[PO_Date]]</f>
        <v>19</v>
      </c>
    </row>
    <row r="1409" spans="1:13" x14ac:dyDescent="0.3">
      <c r="A1409" t="s">
        <v>849</v>
      </c>
      <c r="B1409" s="18">
        <v>45560</v>
      </c>
      <c r="C1409" t="s">
        <v>38</v>
      </c>
      <c r="D1409" t="s">
        <v>227</v>
      </c>
      <c r="E1409">
        <v>13</v>
      </c>
      <c r="F1409">
        <v>1255.01</v>
      </c>
      <c r="G1409" s="18">
        <v>45569</v>
      </c>
      <c r="H1409" s="18">
        <v>45568</v>
      </c>
      <c r="I1409">
        <v>13</v>
      </c>
      <c r="J1409">
        <v>16315.13</v>
      </c>
      <c r="K1409">
        <f>IF(tblPO[[#This Row],[Actual_Delivery_Date]]&lt;=tblPO[[#This Row],[Expected_Delivery_Date]],1,0)</f>
        <v>1</v>
      </c>
      <c r="L1409">
        <f>IF(tblPO[[#This Row],[Actual_Delivery_Date]]&gt;tblPO[[#This Row],[Expected_Delivery_Date]],1,0)</f>
        <v>0</v>
      </c>
      <c r="M1409">
        <f>tblPO[[#This Row],[Actual_Delivery_Date]]-tblPO[[#This Row],[PO_Date]]</f>
        <v>8</v>
      </c>
    </row>
    <row r="1410" spans="1:13" x14ac:dyDescent="0.3">
      <c r="A1410" t="s">
        <v>848</v>
      </c>
      <c r="B1410" s="18">
        <v>45564</v>
      </c>
      <c r="C1410" t="s">
        <v>41</v>
      </c>
      <c r="D1410" t="s">
        <v>199</v>
      </c>
      <c r="E1410">
        <v>180</v>
      </c>
      <c r="F1410">
        <v>297.47000000000003</v>
      </c>
      <c r="G1410" s="18">
        <v>45577</v>
      </c>
      <c r="H1410" s="18">
        <v>45577</v>
      </c>
      <c r="I1410">
        <v>180</v>
      </c>
      <c r="J1410">
        <v>53544.6</v>
      </c>
      <c r="K1410">
        <f>IF(tblPO[[#This Row],[Actual_Delivery_Date]]&lt;=tblPO[[#This Row],[Expected_Delivery_Date]],1,0)</f>
        <v>1</v>
      </c>
      <c r="L1410">
        <f>IF(tblPO[[#This Row],[Actual_Delivery_Date]]&gt;tblPO[[#This Row],[Expected_Delivery_Date]],1,0)</f>
        <v>0</v>
      </c>
      <c r="M1410">
        <f>tblPO[[#This Row],[Actual_Delivery_Date]]-tblPO[[#This Row],[PO_Date]]</f>
        <v>13</v>
      </c>
    </row>
    <row r="1411" spans="1:13" x14ac:dyDescent="0.3">
      <c r="A1411" t="s">
        <v>847</v>
      </c>
      <c r="B1411" s="18">
        <v>45545</v>
      </c>
      <c r="C1411" t="s">
        <v>38</v>
      </c>
      <c r="D1411" t="s">
        <v>227</v>
      </c>
      <c r="E1411">
        <v>16</v>
      </c>
      <c r="F1411">
        <v>1249.48</v>
      </c>
      <c r="G1411" s="18">
        <v>45562</v>
      </c>
      <c r="H1411" s="18">
        <v>45560</v>
      </c>
      <c r="I1411">
        <v>16</v>
      </c>
      <c r="J1411">
        <v>19991.68</v>
      </c>
      <c r="K1411">
        <f>IF(tblPO[[#This Row],[Actual_Delivery_Date]]&lt;=tblPO[[#This Row],[Expected_Delivery_Date]],1,0)</f>
        <v>1</v>
      </c>
      <c r="L1411">
        <f>IF(tblPO[[#This Row],[Actual_Delivery_Date]]&gt;tblPO[[#This Row],[Expected_Delivery_Date]],1,0)</f>
        <v>0</v>
      </c>
      <c r="M1411">
        <f>tblPO[[#This Row],[Actual_Delivery_Date]]-tblPO[[#This Row],[PO_Date]]</f>
        <v>15</v>
      </c>
    </row>
    <row r="1412" spans="1:13" x14ac:dyDescent="0.3">
      <c r="A1412" t="s">
        <v>846</v>
      </c>
      <c r="B1412" s="18">
        <v>45560</v>
      </c>
      <c r="C1412" t="s">
        <v>49</v>
      </c>
      <c r="D1412" t="s">
        <v>209</v>
      </c>
      <c r="E1412">
        <v>392</v>
      </c>
      <c r="F1412">
        <v>16.32</v>
      </c>
      <c r="G1412" s="18">
        <v>45577</v>
      </c>
      <c r="H1412" s="18">
        <v>45574</v>
      </c>
      <c r="I1412">
        <v>392</v>
      </c>
      <c r="J1412">
        <v>6397.44</v>
      </c>
      <c r="K1412">
        <f>IF(tblPO[[#This Row],[Actual_Delivery_Date]]&lt;=tblPO[[#This Row],[Expected_Delivery_Date]],1,0)</f>
        <v>1</v>
      </c>
      <c r="L1412">
        <f>IF(tblPO[[#This Row],[Actual_Delivery_Date]]&gt;tblPO[[#This Row],[Expected_Delivery_Date]],1,0)</f>
        <v>0</v>
      </c>
      <c r="M1412">
        <f>tblPO[[#This Row],[Actual_Delivery_Date]]-tblPO[[#This Row],[PO_Date]]</f>
        <v>14</v>
      </c>
    </row>
    <row r="1413" spans="1:13" x14ac:dyDescent="0.3">
      <c r="A1413" t="s">
        <v>845</v>
      </c>
      <c r="B1413" s="18">
        <v>45549</v>
      </c>
      <c r="C1413" t="s">
        <v>51</v>
      </c>
      <c r="D1413" t="s">
        <v>156</v>
      </c>
      <c r="E1413">
        <v>478</v>
      </c>
      <c r="F1413">
        <v>46.44</v>
      </c>
      <c r="G1413" s="18">
        <v>45558</v>
      </c>
      <c r="H1413" s="18">
        <v>45556</v>
      </c>
      <c r="I1413">
        <v>478</v>
      </c>
      <c r="J1413">
        <v>22198.32</v>
      </c>
      <c r="K1413">
        <f>IF(tblPO[[#This Row],[Actual_Delivery_Date]]&lt;=tblPO[[#This Row],[Expected_Delivery_Date]],1,0)</f>
        <v>1</v>
      </c>
      <c r="L1413">
        <f>IF(tblPO[[#This Row],[Actual_Delivery_Date]]&gt;tblPO[[#This Row],[Expected_Delivery_Date]],1,0)</f>
        <v>0</v>
      </c>
      <c r="M1413">
        <f>tblPO[[#This Row],[Actual_Delivery_Date]]-tblPO[[#This Row],[PO_Date]]</f>
        <v>7</v>
      </c>
    </row>
    <row r="1414" spans="1:13" x14ac:dyDescent="0.3">
      <c r="A1414" t="s">
        <v>844</v>
      </c>
      <c r="B1414" s="18">
        <v>45555</v>
      </c>
      <c r="C1414" t="s">
        <v>38</v>
      </c>
      <c r="D1414" t="s">
        <v>212</v>
      </c>
      <c r="E1414">
        <v>30</v>
      </c>
      <c r="F1414">
        <v>320.08999999999997</v>
      </c>
      <c r="G1414" s="18">
        <v>45571</v>
      </c>
      <c r="H1414" s="18">
        <v>45570</v>
      </c>
      <c r="I1414">
        <v>30</v>
      </c>
      <c r="J1414">
        <v>9602.7000000000007</v>
      </c>
      <c r="K1414">
        <f>IF(tblPO[[#This Row],[Actual_Delivery_Date]]&lt;=tblPO[[#This Row],[Expected_Delivery_Date]],1,0)</f>
        <v>1</v>
      </c>
      <c r="L1414">
        <f>IF(tblPO[[#This Row],[Actual_Delivery_Date]]&gt;tblPO[[#This Row],[Expected_Delivery_Date]],1,0)</f>
        <v>0</v>
      </c>
      <c r="M1414">
        <f>tblPO[[#This Row],[Actual_Delivery_Date]]-tblPO[[#This Row],[PO_Date]]</f>
        <v>15</v>
      </c>
    </row>
    <row r="1415" spans="1:13" x14ac:dyDescent="0.3">
      <c r="A1415" t="s">
        <v>843</v>
      </c>
      <c r="B1415" s="18">
        <v>45557</v>
      </c>
      <c r="C1415" t="s">
        <v>53</v>
      </c>
      <c r="D1415" t="s">
        <v>106</v>
      </c>
      <c r="E1415">
        <v>8</v>
      </c>
      <c r="F1415">
        <v>21392.959999999999</v>
      </c>
      <c r="G1415" s="18">
        <v>45571</v>
      </c>
      <c r="H1415" s="18">
        <v>45577</v>
      </c>
      <c r="I1415">
        <v>8</v>
      </c>
      <c r="J1415">
        <v>171143.67999999999</v>
      </c>
      <c r="K1415">
        <f>IF(tblPO[[#This Row],[Actual_Delivery_Date]]&lt;=tblPO[[#This Row],[Expected_Delivery_Date]],1,0)</f>
        <v>0</v>
      </c>
      <c r="L1415">
        <f>IF(tblPO[[#This Row],[Actual_Delivery_Date]]&gt;tblPO[[#This Row],[Expected_Delivery_Date]],1,0)</f>
        <v>1</v>
      </c>
      <c r="M1415">
        <f>tblPO[[#This Row],[Actual_Delivery_Date]]-tblPO[[#This Row],[PO_Date]]</f>
        <v>20</v>
      </c>
    </row>
    <row r="1416" spans="1:13" x14ac:dyDescent="0.3">
      <c r="A1416" t="s">
        <v>842</v>
      </c>
      <c r="B1416" s="18">
        <v>45553</v>
      </c>
      <c r="C1416" t="s">
        <v>56</v>
      </c>
      <c r="D1416" t="s">
        <v>113</v>
      </c>
      <c r="E1416">
        <v>109</v>
      </c>
      <c r="F1416">
        <v>442.02</v>
      </c>
      <c r="G1416" s="18">
        <v>45562</v>
      </c>
      <c r="H1416" s="18">
        <v>45564</v>
      </c>
      <c r="I1416">
        <v>109</v>
      </c>
      <c r="J1416">
        <v>48180.18</v>
      </c>
      <c r="K1416">
        <f>IF(tblPO[[#This Row],[Actual_Delivery_Date]]&lt;=tblPO[[#This Row],[Expected_Delivery_Date]],1,0)</f>
        <v>0</v>
      </c>
      <c r="L1416">
        <f>IF(tblPO[[#This Row],[Actual_Delivery_Date]]&gt;tblPO[[#This Row],[Expected_Delivery_Date]],1,0)</f>
        <v>1</v>
      </c>
      <c r="M1416">
        <f>tblPO[[#This Row],[Actual_Delivery_Date]]-tblPO[[#This Row],[PO_Date]]</f>
        <v>11</v>
      </c>
    </row>
    <row r="1417" spans="1:13" x14ac:dyDescent="0.3">
      <c r="A1417" t="s">
        <v>841</v>
      </c>
      <c r="B1417" s="18">
        <v>45551</v>
      </c>
      <c r="C1417" t="s">
        <v>43</v>
      </c>
      <c r="D1417" t="s">
        <v>154</v>
      </c>
      <c r="E1417">
        <v>229</v>
      </c>
      <c r="F1417">
        <v>63.03</v>
      </c>
      <c r="G1417" s="18">
        <v>45560</v>
      </c>
      <c r="H1417" s="18">
        <v>45559</v>
      </c>
      <c r="I1417">
        <v>202</v>
      </c>
      <c r="J1417">
        <v>14433.87</v>
      </c>
      <c r="K1417">
        <f>IF(tblPO[[#This Row],[Actual_Delivery_Date]]&lt;=tblPO[[#This Row],[Expected_Delivery_Date]],1,0)</f>
        <v>1</v>
      </c>
      <c r="L1417">
        <f>IF(tblPO[[#This Row],[Actual_Delivery_Date]]&gt;tblPO[[#This Row],[Expected_Delivery_Date]],1,0)</f>
        <v>0</v>
      </c>
      <c r="M1417">
        <f>tblPO[[#This Row],[Actual_Delivery_Date]]-tblPO[[#This Row],[PO_Date]]</f>
        <v>8</v>
      </c>
    </row>
    <row r="1418" spans="1:13" x14ac:dyDescent="0.3">
      <c r="A1418" t="s">
        <v>840</v>
      </c>
      <c r="B1418" s="18">
        <v>45557</v>
      </c>
      <c r="C1418" t="s">
        <v>43</v>
      </c>
      <c r="D1418" t="s">
        <v>158</v>
      </c>
      <c r="E1418">
        <v>72</v>
      </c>
      <c r="F1418">
        <v>98.69</v>
      </c>
      <c r="G1418" s="18">
        <v>45574</v>
      </c>
      <c r="H1418" s="18">
        <v>45592</v>
      </c>
      <c r="I1418">
        <v>72</v>
      </c>
      <c r="J1418">
        <v>7105.68</v>
      </c>
      <c r="K1418">
        <f>IF(tblPO[[#This Row],[Actual_Delivery_Date]]&lt;=tblPO[[#This Row],[Expected_Delivery_Date]],1,0)</f>
        <v>0</v>
      </c>
      <c r="L1418">
        <f>IF(tblPO[[#This Row],[Actual_Delivery_Date]]&gt;tblPO[[#This Row],[Expected_Delivery_Date]],1,0)</f>
        <v>1</v>
      </c>
      <c r="M1418">
        <f>tblPO[[#This Row],[Actual_Delivery_Date]]-tblPO[[#This Row],[PO_Date]]</f>
        <v>35</v>
      </c>
    </row>
    <row r="1419" spans="1:13" x14ac:dyDescent="0.3">
      <c r="A1419" t="s">
        <v>839</v>
      </c>
      <c r="B1419" s="18">
        <v>45561</v>
      </c>
      <c r="C1419" t="s">
        <v>57</v>
      </c>
      <c r="D1419" t="s">
        <v>195</v>
      </c>
      <c r="E1419">
        <v>38</v>
      </c>
      <c r="F1419">
        <v>624.01</v>
      </c>
      <c r="G1419" s="18">
        <v>45583</v>
      </c>
      <c r="H1419" s="18">
        <v>45585</v>
      </c>
      <c r="I1419">
        <v>38</v>
      </c>
      <c r="J1419">
        <v>23712.38</v>
      </c>
      <c r="K1419">
        <f>IF(tblPO[[#This Row],[Actual_Delivery_Date]]&lt;=tblPO[[#This Row],[Expected_Delivery_Date]],1,0)</f>
        <v>0</v>
      </c>
      <c r="L1419">
        <f>IF(tblPO[[#This Row],[Actual_Delivery_Date]]&gt;tblPO[[#This Row],[Expected_Delivery_Date]],1,0)</f>
        <v>1</v>
      </c>
      <c r="M1419">
        <f>tblPO[[#This Row],[Actual_Delivery_Date]]-tblPO[[#This Row],[PO_Date]]</f>
        <v>24</v>
      </c>
    </row>
    <row r="1420" spans="1:13" x14ac:dyDescent="0.3">
      <c r="A1420" t="s">
        <v>838</v>
      </c>
      <c r="B1420" s="18">
        <v>45559</v>
      </c>
      <c r="C1420" t="s">
        <v>60</v>
      </c>
      <c r="D1420" t="s">
        <v>119</v>
      </c>
      <c r="E1420">
        <v>2</v>
      </c>
      <c r="F1420">
        <v>6346.43</v>
      </c>
      <c r="G1420" s="18">
        <v>45563</v>
      </c>
      <c r="H1420" s="18">
        <v>45567</v>
      </c>
      <c r="I1420">
        <v>2</v>
      </c>
      <c r="J1420">
        <v>12692.86</v>
      </c>
      <c r="K1420">
        <f>IF(tblPO[[#This Row],[Actual_Delivery_Date]]&lt;=tblPO[[#This Row],[Expected_Delivery_Date]],1,0)</f>
        <v>0</v>
      </c>
      <c r="L1420">
        <f>IF(tblPO[[#This Row],[Actual_Delivery_Date]]&gt;tblPO[[#This Row],[Expected_Delivery_Date]],1,0)</f>
        <v>1</v>
      </c>
      <c r="M1420">
        <f>tblPO[[#This Row],[Actual_Delivery_Date]]-tblPO[[#This Row],[PO_Date]]</f>
        <v>8</v>
      </c>
    </row>
    <row r="1421" spans="1:13" x14ac:dyDescent="0.3">
      <c r="A1421" t="s">
        <v>837</v>
      </c>
      <c r="B1421" s="18">
        <v>45561</v>
      </c>
      <c r="C1421" t="s">
        <v>59</v>
      </c>
      <c r="D1421" t="s">
        <v>96</v>
      </c>
      <c r="E1421">
        <v>28</v>
      </c>
      <c r="F1421">
        <v>501.62</v>
      </c>
      <c r="G1421" s="18">
        <v>45577</v>
      </c>
      <c r="H1421" s="18">
        <v>45597</v>
      </c>
      <c r="I1421">
        <v>28</v>
      </c>
      <c r="J1421">
        <v>14045.36</v>
      </c>
      <c r="K1421">
        <f>IF(tblPO[[#This Row],[Actual_Delivery_Date]]&lt;=tblPO[[#This Row],[Expected_Delivery_Date]],1,0)</f>
        <v>0</v>
      </c>
      <c r="L1421">
        <f>IF(tblPO[[#This Row],[Actual_Delivery_Date]]&gt;tblPO[[#This Row],[Expected_Delivery_Date]],1,0)</f>
        <v>1</v>
      </c>
      <c r="M1421">
        <f>tblPO[[#This Row],[Actual_Delivery_Date]]-tblPO[[#This Row],[PO_Date]]</f>
        <v>36</v>
      </c>
    </row>
    <row r="1422" spans="1:13" x14ac:dyDescent="0.3">
      <c r="A1422" t="s">
        <v>836</v>
      </c>
      <c r="B1422" s="18">
        <v>45556</v>
      </c>
      <c r="C1422" t="s">
        <v>38</v>
      </c>
      <c r="D1422" t="s">
        <v>245</v>
      </c>
      <c r="E1422">
        <v>21</v>
      </c>
      <c r="F1422">
        <v>4272.51</v>
      </c>
      <c r="G1422" s="18">
        <v>45559</v>
      </c>
      <c r="H1422" s="18">
        <v>45556</v>
      </c>
      <c r="I1422">
        <v>21</v>
      </c>
      <c r="J1422">
        <v>89722.71</v>
      </c>
      <c r="K1422">
        <f>IF(tblPO[[#This Row],[Actual_Delivery_Date]]&lt;=tblPO[[#This Row],[Expected_Delivery_Date]],1,0)</f>
        <v>1</v>
      </c>
      <c r="L1422">
        <f>IF(tblPO[[#This Row],[Actual_Delivery_Date]]&gt;tblPO[[#This Row],[Expected_Delivery_Date]],1,0)</f>
        <v>0</v>
      </c>
      <c r="M1422">
        <f>tblPO[[#This Row],[Actual_Delivery_Date]]-tblPO[[#This Row],[PO_Date]]</f>
        <v>0</v>
      </c>
    </row>
    <row r="1423" spans="1:13" x14ac:dyDescent="0.3">
      <c r="A1423" t="s">
        <v>835</v>
      </c>
      <c r="B1423" s="18">
        <v>45560</v>
      </c>
      <c r="C1423" t="s">
        <v>46</v>
      </c>
      <c r="D1423" t="s">
        <v>98</v>
      </c>
      <c r="E1423">
        <v>25</v>
      </c>
      <c r="F1423">
        <v>10519.21</v>
      </c>
      <c r="G1423" s="18">
        <v>45573</v>
      </c>
      <c r="H1423" s="18">
        <v>45573</v>
      </c>
      <c r="I1423">
        <v>25</v>
      </c>
      <c r="J1423">
        <v>262980.25</v>
      </c>
      <c r="K1423">
        <f>IF(tblPO[[#This Row],[Actual_Delivery_Date]]&lt;=tblPO[[#This Row],[Expected_Delivery_Date]],1,0)</f>
        <v>1</v>
      </c>
      <c r="L1423">
        <f>IF(tblPO[[#This Row],[Actual_Delivery_Date]]&gt;tblPO[[#This Row],[Expected_Delivery_Date]],1,0)</f>
        <v>0</v>
      </c>
      <c r="M1423">
        <f>tblPO[[#This Row],[Actual_Delivery_Date]]-tblPO[[#This Row],[PO_Date]]</f>
        <v>13</v>
      </c>
    </row>
    <row r="1424" spans="1:13" x14ac:dyDescent="0.3">
      <c r="A1424" t="s">
        <v>834</v>
      </c>
      <c r="B1424" s="18">
        <v>45560</v>
      </c>
      <c r="C1424" t="s">
        <v>52</v>
      </c>
      <c r="D1424" t="s">
        <v>245</v>
      </c>
      <c r="E1424">
        <v>10</v>
      </c>
      <c r="F1424">
        <v>3944.81</v>
      </c>
      <c r="G1424" s="18">
        <v>45566</v>
      </c>
      <c r="H1424" s="18">
        <v>45565</v>
      </c>
      <c r="I1424">
        <v>10</v>
      </c>
      <c r="J1424">
        <v>39448.1</v>
      </c>
      <c r="K1424">
        <f>IF(tblPO[[#This Row],[Actual_Delivery_Date]]&lt;=tblPO[[#This Row],[Expected_Delivery_Date]],1,0)</f>
        <v>1</v>
      </c>
      <c r="L1424">
        <f>IF(tblPO[[#This Row],[Actual_Delivery_Date]]&gt;tblPO[[#This Row],[Expected_Delivery_Date]],1,0)</f>
        <v>0</v>
      </c>
      <c r="M1424">
        <f>tblPO[[#This Row],[Actual_Delivery_Date]]-tblPO[[#This Row],[PO_Date]]</f>
        <v>5</v>
      </c>
    </row>
    <row r="1425" spans="1:13" x14ac:dyDescent="0.3">
      <c r="A1425" t="s">
        <v>833</v>
      </c>
      <c r="B1425" s="18">
        <v>45561</v>
      </c>
      <c r="C1425" t="s">
        <v>53</v>
      </c>
      <c r="D1425" t="s">
        <v>100</v>
      </c>
      <c r="E1425">
        <v>4</v>
      </c>
      <c r="F1425">
        <v>50267.67</v>
      </c>
      <c r="G1425" s="18">
        <v>45588</v>
      </c>
      <c r="H1425" s="18">
        <v>45585</v>
      </c>
      <c r="I1425">
        <v>4</v>
      </c>
      <c r="J1425">
        <v>201070.68</v>
      </c>
      <c r="K1425">
        <f>IF(tblPO[[#This Row],[Actual_Delivery_Date]]&lt;=tblPO[[#This Row],[Expected_Delivery_Date]],1,0)</f>
        <v>1</v>
      </c>
      <c r="L1425">
        <f>IF(tblPO[[#This Row],[Actual_Delivery_Date]]&gt;tblPO[[#This Row],[Expected_Delivery_Date]],1,0)</f>
        <v>0</v>
      </c>
      <c r="M1425">
        <f>tblPO[[#This Row],[Actual_Delivery_Date]]-tblPO[[#This Row],[PO_Date]]</f>
        <v>24</v>
      </c>
    </row>
    <row r="1426" spans="1:13" x14ac:dyDescent="0.3">
      <c r="A1426" t="s">
        <v>832</v>
      </c>
      <c r="B1426" s="18">
        <v>45551</v>
      </c>
      <c r="C1426" t="s">
        <v>38</v>
      </c>
      <c r="D1426" t="s">
        <v>247</v>
      </c>
      <c r="E1426">
        <v>191</v>
      </c>
      <c r="F1426">
        <v>617.92999999999995</v>
      </c>
      <c r="G1426" s="18">
        <v>45561</v>
      </c>
      <c r="H1426" s="18">
        <v>45560</v>
      </c>
      <c r="I1426">
        <v>191</v>
      </c>
      <c r="J1426">
        <v>118024.63</v>
      </c>
      <c r="K1426">
        <f>IF(tblPO[[#This Row],[Actual_Delivery_Date]]&lt;=tblPO[[#This Row],[Expected_Delivery_Date]],1,0)</f>
        <v>1</v>
      </c>
      <c r="L1426">
        <f>IF(tblPO[[#This Row],[Actual_Delivery_Date]]&gt;tblPO[[#This Row],[Expected_Delivery_Date]],1,0)</f>
        <v>0</v>
      </c>
      <c r="M1426">
        <f>tblPO[[#This Row],[Actual_Delivery_Date]]-tblPO[[#This Row],[PO_Date]]</f>
        <v>9</v>
      </c>
    </row>
    <row r="1427" spans="1:13" x14ac:dyDescent="0.3">
      <c r="A1427" t="s">
        <v>831</v>
      </c>
      <c r="B1427" s="18">
        <v>45558</v>
      </c>
      <c r="C1427" t="s">
        <v>53</v>
      </c>
      <c r="D1427" t="s">
        <v>96</v>
      </c>
      <c r="E1427">
        <v>125</v>
      </c>
      <c r="F1427">
        <v>737.37</v>
      </c>
      <c r="G1427" s="18">
        <v>45578</v>
      </c>
      <c r="H1427" s="18">
        <v>45575</v>
      </c>
      <c r="I1427">
        <v>125</v>
      </c>
      <c r="J1427">
        <v>92171.25</v>
      </c>
      <c r="K1427">
        <f>IF(tblPO[[#This Row],[Actual_Delivery_Date]]&lt;=tblPO[[#This Row],[Expected_Delivery_Date]],1,0)</f>
        <v>1</v>
      </c>
      <c r="L1427">
        <f>IF(tblPO[[#This Row],[Actual_Delivery_Date]]&gt;tblPO[[#This Row],[Expected_Delivery_Date]],1,0)</f>
        <v>0</v>
      </c>
      <c r="M1427">
        <f>tblPO[[#This Row],[Actual_Delivery_Date]]-tblPO[[#This Row],[PO_Date]]</f>
        <v>17</v>
      </c>
    </row>
    <row r="1428" spans="1:13" x14ac:dyDescent="0.3">
      <c r="A1428" t="s">
        <v>830</v>
      </c>
      <c r="B1428" s="18">
        <v>45543</v>
      </c>
      <c r="C1428" t="s">
        <v>47</v>
      </c>
      <c r="D1428" t="s">
        <v>243</v>
      </c>
      <c r="E1428">
        <v>16</v>
      </c>
      <c r="F1428">
        <v>144.25</v>
      </c>
      <c r="G1428" s="18">
        <v>45557</v>
      </c>
      <c r="H1428" s="18">
        <v>45556</v>
      </c>
      <c r="I1428">
        <v>16</v>
      </c>
      <c r="J1428">
        <v>2308</v>
      </c>
      <c r="K1428">
        <f>IF(tblPO[[#This Row],[Actual_Delivery_Date]]&lt;=tblPO[[#This Row],[Expected_Delivery_Date]],1,0)</f>
        <v>1</v>
      </c>
      <c r="L1428">
        <f>IF(tblPO[[#This Row],[Actual_Delivery_Date]]&gt;tblPO[[#This Row],[Expected_Delivery_Date]],1,0)</f>
        <v>0</v>
      </c>
      <c r="M1428">
        <f>tblPO[[#This Row],[Actual_Delivery_Date]]-tblPO[[#This Row],[PO_Date]]</f>
        <v>13</v>
      </c>
    </row>
    <row r="1429" spans="1:13" x14ac:dyDescent="0.3">
      <c r="A1429" t="s">
        <v>829</v>
      </c>
      <c r="B1429" s="18">
        <v>45545</v>
      </c>
      <c r="C1429" t="s">
        <v>63</v>
      </c>
      <c r="D1429" t="s">
        <v>154</v>
      </c>
      <c r="E1429">
        <v>699</v>
      </c>
      <c r="F1429">
        <v>84.66</v>
      </c>
      <c r="G1429" s="18">
        <v>45572</v>
      </c>
      <c r="H1429" s="18">
        <v>45571</v>
      </c>
      <c r="I1429">
        <v>699</v>
      </c>
      <c r="J1429">
        <v>59177.34</v>
      </c>
      <c r="K1429">
        <f>IF(tblPO[[#This Row],[Actual_Delivery_Date]]&lt;=tblPO[[#This Row],[Expected_Delivery_Date]],1,0)</f>
        <v>1</v>
      </c>
      <c r="L1429">
        <f>IF(tblPO[[#This Row],[Actual_Delivery_Date]]&gt;tblPO[[#This Row],[Expected_Delivery_Date]],1,0)</f>
        <v>0</v>
      </c>
      <c r="M1429">
        <f>tblPO[[#This Row],[Actual_Delivery_Date]]-tblPO[[#This Row],[PO_Date]]</f>
        <v>26</v>
      </c>
    </row>
    <row r="1430" spans="1:13" x14ac:dyDescent="0.3">
      <c r="A1430" t="s">
        <v>828</v>
      </c>
      <c r="B1430" s="18">
        <v>45555</v>
      </c>
      <c r="C1430" t="s">
        <v>39</v>
      </c>
      <c r="D1430" t="s">
        <v>152</v>
      </c>
      <c r="E1430">
        <v>200</v>
      </c>
      <c r="F1430">
        <v>105.46</v>
      </c>
      <c r="G1430" s="18">
        <v>45576</v>
      </c>
      <c r="H1430" s="18">
        <v>45575</v>
      </c>
      <c r="I1430">
        <v>200</v>
      </c>
      <c r="J1430">
        <v>21092</v>
      </c>
      <c r="K1430">
        <f>IF(tblPO[[#This Row],[Actual_Delivery_Date]]&lt;=tblPO[[#This Row],[Expected_Delivery_Date]],1,0)</f>
        <v>1</v>
      </c>
      <c r="L1430">
        <f>IF(tblPO[[#This Row],[Actual_Delivery_Date]]&gt;tblPO[[#This Row],[Expected_Delivery_Date]],1,0)</f>
        <v>0</v>
      </c>
      <c r="M1430">
        <f>tblPO[[#This Row],[Actual_Delivery_Date]]-tblPO[[#This Row],[PO_Date]]</f>
        <v>20</v>
      </c>
    </row>
    <row r="1431" spans="1:13" x14ac:dyDescent="0.3">
      <c r="A1431" t="s">
        <v>827</v>
      </c>
      <c r="B1431" s="18">
        <v>45545</v>
      </c>
      <c r="C1431" t="s">
        <v>48</v>
      </c>
      <c r="D1431" t="s">
        <v>176</v>
      </c>
      <c r="E1431">
        <v>647</v>
      </c>
      <c r="F1431">
        <v>56.13</v>
      </c>
      <c r="G1431" s="18">
        <v>45561</v>
      </c>
      <c r="H1431" s="18">
        <v>45560</v>
      </c>
      <c r="I1431">
        <v>647</v>
      </c>
      <c r="J1431">
        <v>36316.11</v>
      </c>
      <c r="K1431">
        <f>IF(tblPO[[#This Row],[Actual_Delivery_Date]]&lt;=tblPO[[#This Row],[Expected_Delivery_Date]],1,0)</f>
        <v>1</v>
      </c>
      <c r="L1431">
        <f>IF(tblPO[[#This Row],[Actual_Delivery_Date]]&gt;tblPO[[#This Row],[Expected_Delivery_Date]],1,0)</f>
        <v>0</v>
      </c>
      <c r="M1431">
        <f>tblPO[[#This Row],[Actual_Delivery_Date]]-tblPO[[#This Row],[PO_Date]]</f>
        <v>15</v>
      </c>
    </row>
    <row r="1432" spans="1:13" x14ac:dyDescent="0.3">
      <c r="A1432" t="s">
        <v>826</v>
      </c>
      <c r="B1432" s="18">
        <v>45548</v>
      </c>
      <c r="C1432" t="s">
        <v>43</v>
      </c>
      <c r="D1432" t="s">
        <v>160</v>
      </c>
      <c r="E1432">
        <v>579</v>
      </c>
      <c r="F1432">
        <v>87.18</v>
      </c>
      <c r="G1432" s="18">
        <v>45566</v>
      </c>
      <c r="H1432" s="18">
        <v>45564</v>
      </c>
      <c r="I1432">
        <v>579</v>
      </c>
      <c r="J1432">
        <v>50477.22</v>
      </c>
      <c r="K1432">
        <f>IF(tblPO[[#This Row],[Actual_Delivery_Date]]&lt;=tblPO[[#This Row],[Expected_Delivery_Date]],1,0)</f>
        <v>1</v>
      </c>
      <c r="L1432">
        <f>IF(tblPO[[#This Row],[Actual_Delivery_Date]]&gt;tblPO[[#This Row],[Expected_Delivery_Date]],1,0)</f>
        <v>0</v>
      </c>
      <c r="M1432">
        <f>tblPO[[#This Row],[Actual_Delivery_Date]]-tblPO[[#This Row],[PO_Date]]</f>
        <v>16</v>
      </c>
    </row>
    <row r="1433" spans="1:13" x14ac:dyDescent="0.3">
      <c r="A1433" t="s">
        <v>825</v>
      </c>
      <c r="B1433" s="18">
        <v>45546</v>
      </c>
      <c r="C1433" t="s">
        <v>57</v>
      </c>
      <c r="D1433" t="s">
        <v>188</v>
      </c>
      <c r="E1433">
        <v>563</v>
      </c>
      <c r="F1433">
        <v>35.479999999999997</v>
      </c>
      <c r="G1433" s="18">
        <v>45574</v>
      </c>
      <c r="H1433" s="18">
        <v>45574</v>
      </c>
      <c r="I1433">
        <v>563</v>
      </c>
      <c r="J1433">
        <v>19975.240000000002</v>
      </c>
      <c r="K1433">
        <f>IF(tblPO[[#This Row],[Actual_Delivery_Date]]&lt;=tblPO[[#This Row],[Expected_Delivery_Date]],1,0)</f>
        <v>1</v>
      </c>
      <c r="L1433">
        <f>IF(tblPO[[#This Row],[Actual_Delivery_Date]]&gt;tblPO[[#This Row],[Expected_Delivery_Date]],1,0)</f>
        <v>0</v>
      </c>
      <c r="M1433">
        <f>tblPO[[#This Row],[Actual_Delivery_Date]]-tblPO[[#This Row],[PO_Date]]</f>
        <v>28</v>
      </c>
    </row>
    <row r="1434" spans="1:13" x14ac:dyDescent="0.3">
      <c r="A1434" t="s">
        <v>824</v>
      </c>
      <c r="B1434" s="18">
        <v>45551</v>
      </c>
      <c r="C1434" t="s">
        <v>59</v>
      </c>
      <c r="D1434" t="s">
        <v>84</v>
      </c>
      <c r="E1434">
        <v>54</v>
      </c>
      <c r="F1434">
        <v>139.03</v>
      </c>
      <c r="G1434" s="18">
        <v>45566</v>
      </c>
      <c r="H1434" s="18">
        <v>45563</v>
      </c>
      <c r="I1434">
        <v>54</v>
      </c>
      <c r="J1434">
        <v>7507.62</v>
      </c>
      <c r="K1434">
        <f>IF(tblPO[[#This Row],[Actual_Delivery_Date]]&lt;=tblPO[[#This Row],[Expected_Delivery_Date]],1,0)</f>
        <v>1</v>
      </c>
      <c r="L1434">
        <f>IF(tblPO[[#This Row],[Actual_Delivery_Date]]&gt;tblPO[[#This Row],[Expected_Delivery_Date]],1,0)</f>
        <v>0</v>
      </c>
      <c r="M1434">
        <f>tblPO[[#This Row],[Actual_Delivery_Date]]-tblPO[[#This Row],[PO_Date]]</f>
        <v>12</v>
      </c>
    </row>
    <row r="1435" spans="1:13" x14ac:dyDescent="0.3">
      <c r="A1435" t="s">
        <v>823</v>
      </c>
      <c r="B1435" s="18">
        <v>45544</v>
      </c>
      <c r="C1435" t="s">
        <v>55</v>
      </c>
      <c r="D1435" t="s">
        <v>233</v>
      </c>
      <c r="E1435">
        <v>48</v>
      </c>
      <c r="F1435">
        <v>229.68</v>
      </c>
      <c r="G1435" s="18">
        <v>45559</v>
      </c>
      <c r="H1435" s="18">
        <v>45558</v>
      </c>
      <c r="I1435">
        <v>48</v>
      </c>
      <c r="J1435">
        <v>11024.64</v>
      </c>
      <c r="K1435">
        <f>IF(tblPO[[#This Row],[Actual_Delivery_Date]]&lt;=tblPO[[#This Row],[Expected_Delivery_Date]],1,0)</f>
        <v>1</v>
      </c>
      <c r="L1435">
        <f>IF(tblPO[[#This Row],[Actual_Delivery_Date]]&gt;tblPO[[#This Row],[Expected_Delivery_Date]],1,0)</f>
        <v>0</v>
      </c>
      <c r="M1435">
        <f>tblPO[[#This Row],[Actual_Delivery_Date]]-tblPO[[#This Row],[PO_Date]]</f>
        <v>14</v>
      </c>
    </row>
    <row r="1436" spans="1:13" x14ac:dyDescent="0.3">
      <c r="A1436" t="s">
        <v>822</v>
      </c>
      <c r="B1436" s="18">
        <v>45562</v>
      </c>
      <c r="C1436" t="s">
        <v>44</v>
      </c>
      <c r="D1436" t="s">
        <v>190</v>
      </c>
      <c r="E1436">
        <v>13</v>
      </c>
      <c r="F1436">
        <v>101.65</v>
      </c>
      <c r="G1436" s="18">
        <v>45590</v>
      </c>
      <c r="H1436" s="18">
        <v>45607</v>
      </c>
      <c r="I1436">
        <v>13</v>
      </c>
      <c r="J1436">
        <v>1321.45</v>
      </c>
      <c r="K1436">
        <f>IF(tblPO[[#This Row],[Actual_Delivery_Date]]&lt;=tblPO[[#This Row],[Expected_Delivery_Date]],1,0)</f>
        <v>0</v>
      </c>
      <c r="L1436">
        <f>IF(tblPO[[#This Row],[Actual_Delivery_Date]]&gt;tblPO[[#This Row],[Expected_Delivery_Date]],1,0)</f>
        <v>1</v>
      </c>
      <c r="M1436">
        <f>tblPO[[#This Row],[Actual_Delivery_Date]]-tblPO[[#This Row],[PO_Date]]</f>
        <v>45</v>
      </c>
    </row>
    <row r="1437" spans="1:13" x14ac:dyDescent="0.3">
      <c r="A1437" t="s">
        <v>821</v>
      </c>
      <c r="B1437" s="18">
        <v>45546</v>
      </c>
      <c r="C1437" t="s">
        <v>53</v>
      </c>
      <c r="D1437" t="s">
        <v>90</v>
      </c>
      <c r="E1437">
        <v>2</v>
      </c>
      <c r="F1437">
        <v>30996.6</v>
      </c>
      <c r="G1437" s="18">
        <v>45574</v>
      </c>
      <c r="H1437" s="18">
        <v>45571</v>
      </c>
      <c r="I1437">
        <v>2</v>
      </c>
      <c r="J1437">
        <v>61993.2</v>
      </c>
      <c r="K1437">
        <f>IF(tblPO[[#This Row],[Actual_Delivery_Date]]&lt;=tblPO[[#This Row],[Expected_Delivery_Date]],1,0)</f>
        <v>1</v>
      </c>
      <c r="L1437">
        <f>IF(tblPO[[#This Row],[Actual_Delivery_Date]]&gt;tblPO[[#This Row],[Expected_Delivery_Date]],1,0)</f>
        <v>0</v>
      </c>
      <c r="M1437">
        <f>tblPO[[#This Row],[Actual_Delivery_Date]]-tblPO[[#This Row],[PO_Date]]</f>
        <v>25</v>
      </c>
    </row>
    <row r="1438" spans="1:13" x14ac:dyDescent="0.3">
      <c r="A1438" t="s">
        <v>820</v>
      </c>
      <c r="B1438" s="18">
        <v>45543</v>
      </c>
      <c r="C1438" t="s">
        <v>42</v>
      </c>
      <c r="D1438" t="s">
        <v>110</v>
      </c>
      <c r="E1438">
        <v>18</v>
      </c>
      <c r="F1438">
        <v>5466.56</v>
      </c>
      <c r="G1438" s="18">
        <v>45562</v>
      </c>
      <c r="H1438" s="18">
        <v>45560</v>
      </c>
      <c r="I1438">
        <v>18</v>
      </c>
      <c r="J1438">
        <v>98398.080000000002</v>
      </c>
      <c r="K1438">
        <f>IF(tblPO[[#This Row],[Actual_Delivery_Date]]&lt;=tblPO[[#This Row],[Expected_Delivery_Date]],1,0)</f>
        <v>1</v>
      </c>
      <c r="L1438">
        <f>IF(tblPO[[#This Row],[Actual_Delivery_Date]]&gt;tblPO[[#This Row],[Expected_Delivery_Date]],1,0)</f>
        <v>0</v>
      </c>
      <c r="M1438">
        <f>tblPO[[#This Row],[Actual_Delivery_Date]]-tblPO[[#This Row],[PO_Date]]</f>
        <v>17</v>
      </c>
    </row>
    <row r="1439" spans="1:13" x14ac:dyDescent="0.3">
      <c r="A1439" t="s">
        <v>819</v>
      </c>
      <c r="B1439" s="18">
        <v>45550</v>
      </c>
      <c r="C1439" t="s">
        <v>45</v>
      </c>
      <c r="D1439" t="s">
        <v>237</v>
      </c>
      <c r="E1439">
        <v>784</v>
      </c>
      <c r="F1439">
        <v>81.78</v>
      </c>
      <c r="G1439" s="18">
        <v>45558</v>
      </c>
      <c r="H1439" s="18">
        <v>45557</v>
      </c>
      <c r="I1439">
        <v>784</v>
      </c>
      <c r="J1439">
        <v>64115.519999999997</v>
      </c>
      <c r="K1439">
        <f>IF(tblPO[[#This Row],[Actual_Delivery_Date]]&lt;=tblPO[[#This Row],[Expected_Delivery_Date]],1,0)</f>
        <v>1</v>
      </c>
      <c r="L1439">
        <f>IF(tblPO[[#This Row],[Actual_Delivery_Date]]&gt;tblPO[[#This Row],[Expected_Delivery_Date]],1,0)</f>
        <v>0</v>
      </c>
      <c r="M1439">
        <f>tblPO[[#This Row],[Actual_Delivery_Date]]-tblPO[[#This Row],[PO_Date]]</f>
        <v>7</v>
      </c>
    </row>
    <row r="1440" spans="1:13" x14ac:dyDescent="0.3">
      <c r="A1440" t="s">
        <v>818</v>
      </c>
      <c r="B1440" s="18">
        <v>45562</v>
      </c>
      <c r="C1440" t="s">
        <v>39</v>
      </c>
      <c r="D1440" t="s">
        <v>174</v>
      </c>
      <c r="E1440">
        <v>800</v>
      </c>
      <c r="F1440">
        <v>45.71</v>
      </c>
      <c r="G1440" s="18">
        <v>45576</v>
      </c>
      <c r="H1440" s="18">
        <v>45574</v>
      </c>
      <c r="I1440">
        <v>800</v>
      </c>
      <c r="J1440">
        <v>36568</v>
      </c>
      <c r="K1440">
        <f>IF(tblPO[[#This Row],[Actual_Delivery_Date]]&lt;=tblPO[[#This Row],[Expected_Delivery_Date]],1,0)</f>
        <v>1</v>
      </c>
      <c r="L1440">
        <f>IF(tblPO[[#This Row],[Actual_Delivery_Date]]&gt;tblPO[[#This Row],[Expected_Delivery_Date]],1,0)</f>
        <v>0</v>
      </c>
      <c r="M1440">
        <f>tblPO[[#This Row],[Actual_Delivery_Date]]-tblPO[[#This Row],[PO_Date]]</f>
        <v>12</v>
      </c>
    </row>
    <row r="1441" spans="1:13" x14ac:dyDescent="0.3">
      <c r="A1441" t="s">
        <v>817</v>
      </c>
      <c r="B1441" s="18">
        <v>45554</v>
      </c>
      <c r="C1441" t="s">
        <v>68</v>
      </c>
      <c r="D1441" t="s">
        <v>176</v>
      </c>
      <c r="E1441">
        <v>299</v>
      </c>
      <c r="F1441">
        <v>31.99</v>
      </c>
      <c r="G1441" s="18">
        <v>45572</v>
      </c>
      <c r="H1441" s="18">
        <v>45569</v>
      </c>
      <c r="I1441">
        <v>299</v>
      </c>
      <c r="J1441">
        <v>9565.01</v>
      </c>
      <c r="K1441">
        <f>IF(tblPO[[#This Row],[Actual_Delivery_Date]]&lt;=tblPO[[#This Row],[Expected_Delivery_Date]],1,0)</f>
        <v>1</v>
      </c>
      <c r="L1441">
        <f>IF(tblPO[[#This Row],[Actual_Delivery_Date]]&gt;tblPO[[#This Row],[Expected_Delivery_Date]],1,0)</f>
        <v>0</v>
      </c>
      <c r="M1441">
        <f>tblPO[[#This Row],[Actual_Delivery_Date]]-tblPO[[#This Row],[PO_Date]]</f>
        <v>15</v>
      </c>
    </row>
    <row r="1442" spans="1:13" x14ac:dyDescent="0.3">
      <c r="A1442" t="s">
        <v>816</v>
      </c>
      <c r="B1442" s="18">
        <v>45539</v>
      </c>
      <c r="C1442" t="s">
        <v>48</v>
      </c>
      <c r="D1442" t="s">
        <v>156</v>
      </c>
      <c r="E1442">
        <v>539</v>
      </c>
      <c r="F1442">
        <v>69.06</v>
      </c>
      <c r="G1442" s="18">
        <v>45565</v>
      </c>
      <c r="H1442" s="18">
        <v>45563</v>
      </c>
      <c r="I1442">
        <v>539</v>
      </c>
      <c r="J1442">
        <v>37223.339999999997</v>
      </c>
      <c r="K1442">
        <f>IF(tblPO[[#This Row],[Actual_Delivery_Date]]&lt;=tblPO[[#This Row],[Expected_Delivery_Date]],1,0)</f>
        <v>1</v>
      </c>
      <c r="L1442">
        <f>IF(tblPO[[#This Row],[Actual_Delivery_Date]]&gt;tblPO[[#This Row],[Expected_Delivery_Date]],1,0)</f>
        <v>0</v>
      </c>
      <c r="M1442">
        <f>tblPO[[#This Row],[Actual_Delivery_Date]]-tblPO[[#This Row],[PO_Date]]</f>
        <v>24</v>
      </c>
    </row>
    <row r="1443" spans="1:13" x14ac:dyDescent="0.3">
      <c r="A1443" t="s">
        <v>815</v>
      </c>
      <c r="B1443" s="18">
        <v>45545</v>
      </c>
      <c r="C1443" t="s">
        <v>43</v>
      </c>
      <c r="D1443" t="s">
        <v>158</v>
      </c>
      <c r="E1443">
        <v>134</v>
      </c>
      <c r="F1443">
        <v>96.74</v>
      </c>
      <c r="G1443" s="18">
        <v>45548</v>
      </c>
      <c r="H1443" s="18">
        <v>45545</v>
      </c>
      <c r="I1443">
        <v>134</v>
      </c>
      <c r="J1443">
        <v>12963.16</v>
      </c>
      <c r="K1443">
        <f>IF(tblPO[[#This Row],[Actual_Delivery_Date]]&lt;=tblPO[[#This Row],[Expected_Delivery_Date]],1,0)</f>
        <v>1</v>
      </c>
      <c r="L1443">
        <f>IF(tblPO[[#This Row],[Actual_Delivery_Date]]&gt;tblPO[[#This Row],[Expected_Delivery_Date]],1,0)</f>
        <v>0</v>
      </c>
      <c r="M1443">
        <f>tblPO[[#This Row],[Actual_Delivery_Date]]-tblPO[[#This Row],[PO_Date]]</f>
        <v>0</v>
      </c>
    </row>
    <row r="1444" spans="1:13" x14ac:dyDescent="0.3">
      <c r="A1444" t="s">
        <v>814</v>
      </c>
      <c r="B1444" s="18">
        <v>45554</v>
      </c>
      <c r="C1444" t="s">
        <v>44</v>
      </c>
      <c r="D1444" t="s">
        <v>195</v>
      </c>
      <c r="E1444">
        <v>59</v>
      </c>
      <c r="F1444">
        <v>544.83000000000004</v>
      </c>
      <c r="G1444" s="18">
        <v>45580</v>
      </c>
      <c r="H1444" s="18">
        <v>45590</v>
      </c>
      <c r="I1444">
        <v>59</v>
      </c>
      <c r="J1444">
        <v>32144.97</v>
      </c>
      <c r="K1444">
        <f>IF(tblPO[[#This Row],[Actual_Delivery_Date]]&lt;=tblPO[[#This Row],[Expected_Delivery_Date]],1,0)</f>
        <v>0</v>
      </c>
      <c r="L1444">
        <f>IF(tblPO[[#This Row],[Actual_Delivery_Date]]&gt;tblPO[[#This Row],[Expected_Delivery_Date]],1,0)</f>
        <v>1</v>
      </c>
      <c r="M1444">
        <f>tblPO[[#This Row],[Actual_Delivery_Date]]-tblPO[[#This Row],[PO_Date]]</f>
        <v>36</v>
      </c>
    </row>
    <row r="1445" spans="1:13" x14ac:dyDescent="0.3">
      <c r="A1445" t="s">
        <v>813</v>
      </c>
      <c r="B1445" s="18">
        <v>45541</v>
      </c>
      <c r="C1445" t="s">
        <v>40</v>
      </c>
      <c r="D1445" t="s">
        <v>123</v>
      </c>
      <c r="E1445">
        <v>22</v>
      </c>
      <c r="F1445">
        <v>1236.8900000000001</v>
      </c>
      <c r="G1445" s="18">
        <v>45554</v>
      </c>
      <c r="H1445" s="18">
        <v>45553</v>
      </c>
      <c r="I1445">
        <v>22</v>
      </c>
      <c r="J1445">
        <v>27211.58</v>
      </c>
      <c r="K1445">
        <f>IF(tblPO[[#This Row],[Actual_Delivery_Date]]&lt;=tblPO[[#This Row],[Expected_Delivery_Date]],1,0)</f>
        <v>1</v>
      </c>
      <c r="L1445">
        <f>IF(tblPO[[#This Row],[Actual_Delivery_Date]]&gt;tblPO[[#This Row],[Expected_Delivery_Date]],1,0)</f>
        <v>0</v>
      </c>
      <c r="M1445">
        <f>tblPO[[#This Row],[Actual_Delivery_Date]]-tblPO[[#This Row],[PO_Date]]</f>
        <v>12</v>
      </c>
    </row>
    <row r="1446" spans="1:13" x14ac:dyDescent="0.3">
      <c r="A1446" t="s">
        <v>812</v>
      </c>
      <c r="B1446" s="18">
        <v>45543</v>
      </c>
      <c r="C1446" t="s">
        <v>44</v>
      </c>
      <c r="D1446" t="s">
        <v>201</v>
      </c>
      <c r="E1446">
        <v>594</v>
      </c>
      <c r="F1446">
        <v>36.200000000000003</v>
      </c>
      <c r="G1446" s="18">
        <v>45565</v>
      </c>
      <c r="H1446" s="18">
        <v>45564</v>
      </c>
      <c r="I1446">
        <v>594</v>
      </c>
      <c r="J1446">
        <v>21502.799999999999</v>
      </c>
      <c r="K1446">
        <f>IF(tblPO[[#This Row],[Actual_Delivery_Date]]&lt;=tblPO[[#This Row],[Expected_Delivery_Date]],1,0)</f>
        <v>1</v>
      </c>
      <c r="L1446">
        <f>IF(tblPO[[#This Row],[Actual_Delivery_Date]]&gt;tblPO[[#This Row],[Expected_Delivery_Date]],1,0)</f>
        <v>0</v>
      </c>
      <c r="M1446">
        <f>tblPO[[#This Row],[Actual_Delivery_Date]]-tblPO[[#This Row],[PO_Date]]</f>
        <v>21</v>
      </c>
    </row>
    <row r="1447" spans="1:13" x14ac:dyDescent="0.3">
      <c r="A1447" t="s">
        <v>811</v>
      </c>
      <c r="B1447" s="18">
        <v>45551</v>
      </c>
      <c r="C1447" t="s">
        <v>41</v>
      </c>
      <c r="D1447" t="s">
        <v>207</v>
      </c>
      <c r="E1447">
        <v>236</v>
      </c>
      <c r="F1447">
        <v>11.46</v>
      </c>
      <c r="G1447" s="18">
        <v>45554</v>
      </c>
      <c r="H1447" s="18">
        <v>45554</v>
      </c>
      <c r="I1447">
        <v>236</v>
      </c>
      <c r="J1447">
        <v>2704.56</v>
      </c>
      <c r="K1447">
        <f>IF(tblPO[[#This Row],[Actual_Delivery_Date]]&lt;=tblPO[[#This Row],[Expected_Delivery_Date]],1,0)</f>
        <v>1</v>
      </c>
      <c r="L1447">
        <f>IF(tblPO[[#This Row],[Actual_Delivery_Date]]&gt;tblPO[[#This Row],[Expected_Delivery_Date]],1,0)</f>
        <v>0</v>
      </c>
      <c r="M1447">
        <f>tblPO[[#This Row],[Actual_Delivery_Date]]-tblPO[[#This Row],[PO_Date]]</f>
        <v>3</v>
      </c>
    </row>
    <row r="1448" spans="1:13" x14ac:dyDescent="0.3">
      <c r="A1448" t="s">
        <v>810</v>
      </c>
      <c r="B1448" s="18">
        <v>45557</v>
      </c>
      <c r="C1448" t="s">
        <v>41</v>
      </c>
      <c r="D1448" t="s">
        <v>205</v>
      </c>
      <c r="E1448">
        <v>120</v>
      </c>
      <c r="F1448">
        <v>399.61</v>
      </c>
      <c r="G1448" s="18">
        <v>45569</v>
      </c>
      <c r="H1448" s="18">
        <v>45569</v>
      </c>
      <c r="I1448">
        <v>120</v>
      </c>
      <c r="J1448">
        <v>47953.2</v>
      </c>
      <c r="K1448">
        <f>IF(tblPO[[#This Row],[Actual_Delivery_Date]]&lt;=tblPO[[#This Row],[Expected_Delivery_Date]],1,0)</f>
        <v>1</v>
      </c>
      <c r="L1448">
        <f>IF(tblPO[[#This Row],[Actual_Delivery_Date]]&gt;tblPO[[#This Row],[Expected_Delivery_Date]],1,0)</f>
        <v>0</v>
      </c>
      <c r="M1448">
        <f>tblPO[[#This Row],[Actual_Delivery_Date]]-tblPO[[#This Row],[PO_Date]]</f>
        <v>12</v>
      </c>
    </row>
    <row r="1449" spans="1:13" x14ac:dyDescent="0.3">
      <c r="A1449" t="s">
        <v>809</v>
      </c>
      <c r="B1449" s="18">
        <v>45560</v>
      </c>
      <c r="C1449" t="s">
        <v>52</v>
      </c>
      <c r="D1449" t="s">
        <v>217</v>
      </c>
      <c r="E1449">
        <v>248</v>
      </c>
      <c r="F1449">
        <v>27.86</v>
      </c>
      <c r="G1449" s="18">
        <v>45566</v>
      </c>
      <c r="H1449" s="18">
        <v>45564</v>
      </c>
      <c r="I1449">
        <v>248</v>
      </c>
      <c r="J1449">
        <v>6909.28</v>
      </c>
      <c r="K1449">
        <f>IF(tblPO[[#This Row],[Actual_Delivery_Date]]&lt;=tblPO[[#This Row],[Expected_Delivery_Date]],1,0)</f>
        <v>1</v>
      </c>
      <c r="L1449">
        <f>IF(tblPO[[#This Row],[Actual_Delivery_Date]]&gt;tblPO[[#This Row],[Expected_Delivery_Date]],1,0)</f>
        <v>0</v>
      </c>
      <c r="M1449">
        <f>tblPO[[#This Row],[Actual_Delivery_Date]]-tblPO[[#This Row],[PO_Date]]</f>
        <v>4</v>
      </c>
    </row>
    <row r="1450" spans="1:13" x14ac:dyDescent="0.3">
      <c r="A1450" t="s">
        <v>808</v>
      </c>
      <c r="B1450" s="18">
        <v>45551</v>
      </c>
      <c r="C1450" t="s">
        <v>46</v>
      </c>
      <c r="D1450" t="s">
        <v>102</v>
      </c>
      <c r="E1450">
        <v>145</v>
      </c>
      <c r="F1450">
        <v>640.64</v>
      </c>
      <c r="G1450" s="18">
        <v>45566</v>
      </c>
      <c r="H1450" s="18">
        <v>45564</v>
      </c>
      <c r="I1450">
        <v>145</v>
      </c>
      <c r="J1450">
        <v>92892.800000000003</v>
      </c>
      <c r="K1450">
        <f>IF(tblPO[[#This Row],[Actual_Delivery_Date]]&lt;=tblPO[[#This Row],[Expected_Delivery_Date]],1,0)</f>
        <v>1</v>
      </c>
      <c r="L1450">
        <f>IF(tblPO[[#This Row],[Actual_Delivery_Date]]&gt;tblPO[[#This Row],[Expected_Delivery_Date]],1,0)</f>
        <v>0</v>
      </c>
      <c r="M1450">
        <f>tblPO[[#This Row],[Actual_Delivery_Date]]-tblPO[[#This Row],[PO_Date]]</f>
        <v>13</v>
      </c>
    </row>
    <row r="1451" spans="1:13" x14ac:dyDescent="0.3">
      <c r="A1451" t="s">
        <v>807</v>
      </c>
      <c r="B1451" s="18">
        <v>45560</v>
      </c>
      <c r="C1451" t="s">
        <v>43</v>
      </c>
      <c r="D1451" t="s">
        <v>172</v>
      </c>
      <c r="E1451">
        <v>246</v>
      </c>
      <c r="F1451">
        <v>28.39</v>
      </c>
      <c r="G1451" s="18">
        <v>45575</v>
      </c>
      <c r="H1451" s="18">
        <v>45573</v>
      </c>
      <c r="I1451">
        <v>246</v>
      </c>
      <c r="J1451">
        <v>6983.94</v>
      </c>
      <c r="K1451">
        <f>IF(tblPO[[#This Row],[Actual_Delivery_Date]]&lt;=tblPO[[#This Row],[Expected_Delivery_Date]],1,0)</f>
        <v>1</v>
      </c>
      <c r="L1451">
        <f>IF(tblPO[[#This Row],[Actual_Delivery_Date]]&gt;tblPO[[#This Row],[Expected_Delivery_Date]],1,0)</f>
        <v>0</v>
      </c>
      <c r="M1451">
        <f>tblPO[[#This Row],[Actual_Delivery_Date]]-tblPO[[#This Row],[PO_Date]]</f>
        <v>13</v>
      </c>
    </row>
    <row r="1452" spans="1:13" x14ac:dyDescent="0.3">
      <c r="A1452" t="s">
        <v>806</v>
      </c>
      <c r="B1452" s="18">
        <v>45551</v>
      </c>
      <c r="C1452" t="s">
        <v>71</v>
      </c>
      <c r="D1452" t="s">
        <v>172</v>
      </c>
      <c r="E1452">
        <v>578</v>
      </c>
      <c r="F1452">
        <v>29.03</v>
      </c>
      <c r="G1452" s="18">
        <v>45567</v>
      </c>
      <c r="H1452" s="18">
        <v>45566</v>
      </c>
      <c r="I1452">
        <v>578</v>
      </c>
      <c r="J1452">
        <v>16779.34</v>
      </c>
      <c r="K1452">
        <f>IF(tblPO[[#This Row],[Actual_Delivery_Date]]&lt;=tblPO[[#This Row],[Expected_Delivery_Date]],1,0)</f>
        <v>1</v>
      </c>
      <c r="L1452">
        <f>IF(tblPO[[#This Row],[Actual_Delivery_Date]]&gt;tblPO[[#This Row],[Expected_Delivery_Date]],1,0)</f>
        <v>0</v>
      </c>
      <c r="M1452">
        <f>tblPO[[#This Row],[Actual_Delivery_Date]]-tblPO[[#This Row],[PO_Date]]</f>
        <v>15</v>
      </c>
    </row>
    <row r="1453" spans="1:13" x14ac:dyDescent="0.3">
      <c r="A1453" t="s">
        <v>805</v>
      </c>
      <c r="B1453" s="18">
        <v>45547</v>
      </c>
      <c r="C1453" t="s">
        <v>53</v>
      </c>
      <c r="D1453" t="s">
        <v>102</v>
      </c>
      <c r="E1453">
        <v>87</v>
      </c>
      <c r="F1453">
        <v>596.66</v>
      </c>
      <c r="G1453" s="18">
        <v>45563</v>
      </c>
      <c r="H1453" s="18">
        <v>45562</v>
      </c>
      <c r="I1453">
        <v>87</v>
      </c>
      <c r="J1453">
        <v>51909.42</v>
      </c>
      <c r="K1453">
        <f>IF(tblPO[[#This Row],[Actual_Delivery_Date]]&lt;=tblPO[[#This Row],[Expected_Delivery_Date]],1,0)</f>
        <v>1</v>
      </c>
      <c r="L1453">
        <f>IF(tblPO[[#This Row],[Actual_Delivery_Date]]&gt;tblPO[[#This Row],[Expected_Delivery_Date]],1,0)</f>
        <v>0</v>
      </c>
      <c r="M1453">
        <f>tblPO[[#This Row],[Actual_Delivery_Date]]-tblPO[[#This Row],[PO_Date]]</f>
        <v>15</v>
      </c>
    </row>
    <row r="1454" spans="1:13" x14ac:dyDescent="0.3">
      <c r="A1454" t="s">
        <v>804</v>
      </c>
      <c r="B1454" s="18">
        <v>45554</v>
      </c>
      <c r="C1454" t="s">
        <v>66</v>
      </c>
      <c r="D1454" t="s">
        <v>231</v>
      </c>
      <c r="E1454">
        <v>118</v>
      </c>
      <c r="F1454">
        <v>122.75</v>
      </c>
      <c r="G1454" s="18">
        <v>45569</v>
      </c>
      <c r="H1454" s="18">
        <v>45566</v>
      </c>
      <c r="I1454">
        <v>118</v>
      </c>
      <c r="J1454">
        <v>14484.5</v>
      </c>
      <c r="K1454">
        <f>IF(tblPO[[#This Row],[Actual_Delivery_Date]]&lt;=tblPO[[#This Row],[Expected_Delivery_Date]],1,0)</f>
        <v>1</v>
      </c>
      <c r="L1454">
        <f>IF(tblPO[[#This Row],[Actual_Delivery_Date]]&gt;tblPO[[#This Row],[Expected_Delivery_Date]],1,0)</f>
        <v>0</v>
      </c>
      <c r="M1454">
        <f>tblPO[[#This Row],[Actual_Delivery_Date]]-tblPO[[#This Row],[PO_Date]]</f>
        <v>12</v>
      </c>
    </row>
    <row r="1455" spans="1:13" x14ac:dyDescent="0.3">
      <c r="A1455" t="s">
        <v>803</v>
      </c>
      <c r="B1455" s="18">
        <v>45547</v>
      </c>
      <c r="C1455" t="s">
        <v>54</v>
      </c>
      <c r="D1455" t="s">
        <v>197</v>
      </c>
      <c r="E1455">
        <v>114</v>
      </c>
      <c r="F1455">
        <v>210.63</v>
      </c>
      <c r="G1455" s="18">
        <v>45554</v>
      </c>
      <c r="H1455" s="18">
        <v>45572</v>
      </c>
      <c r="I1455">
        <v>114</v>
      </c>
      <c r="J1455">
        <v>24011.82</v>
      </c>
      <c r="K1455">
        <f>IF(tblPO[[#This Row],[Actual_Delivery_Date]]&lt;=tblPO[[#This Row],[Expected_Delivery_Date]],1,0)</f>
        <v>0</v>
      </c>
      <c r="L1455">
        <f>IF(tblPO[[#This Row],[Actual_Delivery_Date]]&gt;tblPO[[#This Row],[Expected_Delivery_Date]],1,0)</f>
        <v>1</v>
      </c>
      <c r="M1455">
        <f>tblPO[[#This Row],[Actual_Delivery_Date]]-tblPO[[#This Row],[PO_Date]]</f>
        <v>25</v>
      </c>
    </row>
    <row r="1456" spans="1:13" x14ac:dyDescent="0.3">
      <c r="A1456" t="s">
        <v>802</v>
      </c>
      <c r="B1456" s="18">
        <v>45544</v>
      </c>
      <c r="C1456" t="s">
        <v>52</v>
      </c>
      <c r="D1456" t="s">
        <v>239</v>
      </c>
      <c r="E1456">
        <v>783</v>
      </c>
      <c r="F1456">
        <v>90</v>
      </c>
      <c r="G1456" s="18">
        <v>45556</v>
      </c>
      <c r="H1456" s="18">
        <v>45553</v>
      </c>
      <c r="I1456">
        <v>783</v>
      </c>
      <c r="J1456">
        <v>70470</v>
      </c>
      <c r="K1456">
        <f>IF(tblPO[[#This Row],[Actual_Delivery_Date]]&lt;=tblPO[[#This Row],[Expected_Delivery_Date]],1,0)</f>
        <v>1</v>
      </c>
      <c r="L1456">
        <f>IF(tblPO[[#This Row],[Actual_Delivery_Date]]&gt;tblPO[[#This Row],[Expected_Delivery_Date]],1,0)</f>
        <v>0</v>
      </c>
      <c r="M1456">
        <f>tblPO[[#This Row],[Actual_Delivery_Date]]-tblPO[[#This Row],[PO_Date]]</f>
        <v>9</v>
      </c>
    </row>
    <row r="1457" spans="1:13" x14ac:dyDescent="0.3">
      <c r="A1457" t="s">
        <v>801</v>
      </c>
      <c r="B1457" s="18">
        <v>45559</v>
      </c>
      <c r="C1457" t="s">
        <v>45</v>
      </c>
      <c r="D1457" t="s">
        <v>227</v>
      </c>
      <c r="E1457">
        <v>19</v>
      </c>
      <c r="F1457">
        <v>1170.94</v>
      </c>
      <c r="G1457" s="18">
        <v>45568</v>
      </c>
      <c r="H1457" s="18">
        <v>45568</v>
      </c>
      <c r="I1457">
        <v>19</v>
      </c>
      <c r="J1457">
        <v>22247.86</v>
      </c>
      <c r="K1457">
        <f>IF(tblPO[[#This Row],[Actual_Delivery_Date]]&lt;=tblPO[[#This Row],[Expected_Delivery_Date]],1,0)</f>
        <v>1</v>
      </c>
      <c r="L1457">
        <f>IF(tblPO[[#This Row],[Actual_Delivery_Date]]&gt;tblPO[[#This Row],[Expected_Delivery_Date]],1,0)</f>
        <v>0</v>
      </c>
      <c r="M1457">
        <f>tblPO[[#This Row],[Actual_Delivery_Date]]-tblPO[[#This Row],[PO_Date]]</f>
        <v>9</v>
      </c>
    </row>
    <row r="1458" spans="1:13" x14ac:dyDescent="0.3">
      <c r="A1458" t="s">
        <v>800</v>
      </c>
      <c r="B1458" s="18">
        <v>45546</v>
      </c>
      <c r="C1458" t="s">
        <v>48</v>
      </c>
      <c r="D1458" t="s">
        <v>174</v>
      </c>
      <c r="E1458">
        <v>214</v>
      </c>
      <c r="F1458">
        <v>47.72</v>
      </c>
      <c r="G1458" s="18">
        <v>45573</v>
      </c>
      <c r="H1458" s="18">
        <v>45573</v>
      </c>
      <c r="I1458">
        <v>214</v>
      </c>
      <c r="J1458">
        <v>10212.08</v>
      </c>
      <c r="K1458">
        <f>IF(tblPO[[#This Row],[Actual_Delivery_Date]]&lt;=tblPO[[#This Row],[Expected_Delivery_Date]],1,0)</f>
        <v>1</v>
      </c>
      <c r="L1458">
        <f>IF(tblPO[[#This Row],[Actual_Delivery_Date]]&gt;tblPO[[#This Row],[Expected_Delivery_Date]],1,0)</f>
        <v>0</v>
      </c>
      <c r="M1458">
        <f>tblPO[[#This Row],[Actual_Delivery_Date]]-tblPO[[#This Row],[PO_Date]]</f>
        <v>27</v>
      </c>
    </row>
    <row r="1459" spans="1:13" x14ac:dyDescent="0.3">
      <c r="A1459" t="s">
        <v>799</v>
      </c>
      <c r="B1459" s="18">
        <v>45558</v>
      </c>
      <c r="C1459" t="s">
        <v>38</v>
      </c>
      <c r="D1459" t="s">
        <v>249</v>
      </c>
      <c r="E1459">
        <v>449</v>
      </c>
      <c r="F1459">
        <v>73.62</v>
      </c>
      <c r="G1459" s="18">
        <v>45576</v>
      </c>
      <c r="H1459" s="18">
        <v>45576</v>
      </c>
      <c r="I1459">
        <v>397</v>
      </c>
      <c r="J1459">
        <v>33055.379999999997</v>
      </c>
      <c r="K1459">
        <f>IF(tblPO[[#This Row],[Actual_Delivery_Date]]&lt;=tblPO[[#This Row],[Expected_Delivery_Date]],1,0)</f>
        <v>1</v>
      </c>
      <c r="L1459">
        <f>IF(tblPO[[#This Row],[Actual_Delivery_Date]]&gt;tblPO[[#This Row],[Expected_Delivery_Date]],1,0)</f>
        <v>0</v>
      </c>
      <c r="M1459">
        <f>tblPO[[#This Row],[Actual_Delivery_Date]]-tblPO[[#This Row],[PO_Date]]</f>
        <v>18</v>
      </c>
    </row>
    <row r="1460" spans="1:13" x14ac:dyDescent="0.3">
      <c r="A1460" t="s">
        <v>798</v>
      </c>
      <c r="B1460" s="18">
        <v>45550</v>
      </c>
      <c r="C1460" t="s">
        <v>54</v>
      </c>
      <c r="D1460" t="s">
        <v>199</v>
      </c>
      <c r="E1460">
        <v>104</v>
      </c>
      <c r="F1460">
        <v>245.13</v>
      </c>
      <c r="G1460" s="18">
        <v>45562</v>
      </c>
      <c r="H1460" s="18">
        <v>45560</v>
      </c>
      <c r="I1460">
        <v>104</v>
      </c>
      <c r="J1460">
        <v>25493.52</v>
      </c>
      <c r="K1460">
        <f>IF(tblPO[[#This Row],[Actual_Delivery_Date]]&lt;=tblPO[[#This Row],[Expected_Delivery_Date]],1,0)</f>
        <v>1</v>
      </c>
      <c r="L1460">
        <f>IF(tblPO[[#This Row],[Actual_Delivery_Date]]&gt;tblPO[[#This Row],[Expected_Delivery_Date]],1,0)</f>
        <v>0</v>
      </c>
      <c r="M1460">
        <f>tblPO[[#This Row],[Actual_Delivery_Date]]-tblPO[[#This Row],[PO_Date]]</f>
        <v>10</v>
      </c>
    </row>
    <row r="1461" spans="1:13" x14ac:dyDescent="0.3">
      <c r="A1461" t="s">
        <v>797</v>
      </c>
      <c r="B1461" s="18">
        <v>45549</v>
      </c>
      <c r="C1461" t="s">
        <v>44</v>
      </c>
      <c r="D1461" t="s">
        <v>207</v>
      </c>
      <c r="E1461">
        <v>800</v>
      </c>
      <c r="F1461">
        <v>9.6999999999999993</v>
      </c>
      <c r="G1461" s="18">
        <v>45565</v>
      </c>
      <c r="H1461" s="18">
        <v>45580</v>
      </c>
      <c r="I1461">
        <v>800</v>
      </c>
      <c r="J1461">
        <v>7760</v>
      </c>
      <c r="K1461">
        <f>IF(tblPO[[#This Row],[Actual_Delivery_Date]]&lt;=tblPO[[#This Row],[Expected_Delivery_Date]],1,0)</f>
        <v>0</v>
      </c>
      <c r="L1461">
        <f>IF(tblPO[[#This Row],[Actual_Delivery_Date]]&gt;tblPO[[#This Row],[Expected_Delivery_Date]],1,0)</f>
        <v>1</v>
      </c>
      <c r="M1461">
        <f>tblPO[[#This Row],[Actual_Delivery_Date]]-tblPO[[#This Row],[PO_Date]]</f>
        <v>31</v>
      </c>
    </row>
    <row r="1462" spans="1:13" x14ac:dyDescent="0.3">
      <c r="A1462" t="s">
        <v>796</v>
      </c>
      <c r="B1462" s="18">
        <v>45543</v>
      </c>
      <c r="C1462" t="s">
        <v>45</v>
      </c>
      <c r="D1462" t="s">
        <v>239</v>
      </c>
      <c r="E1462">
        <v>498</v>
      </c>
      <c r="F1462">
        <v>90.7</v>
      </c>
      <c r="G1462" s="18">
        <v>45556</v>
      </c>
      <c r="H1462" s="18">
        <v>45555</v>
      </c>
      <c r="I1462">
        <v>498</v>
      </c>
      <c r="J1462">
        <v>45168.6</v>
      </c>
      <c r="K1462">
        <f>IF(tblPO[[#This Row],[Actual_Delivery_Date]]&lt;=tblPO[[#This Row],[Expected_Delivery_Date]],1,0)</f>
        <v>1</v>
      </c>
      <c r="L1462">
        <f>IF(tblPO[[#This Row],[Actual_Delivery_Date]]&gt;tblPO[[#This Row],[Expected_Delivery_Date]],1,0)</f>
        <v>0</v>
      </c>
      <c r="M1462">
        <f>tblPO[[#This Row],[Actual_Delivery_Date]]-tblPO[[#This Row],[PO_Date]]</f>
        <v>12</v>
      </c>
    </row>
    <row r="1463" spans="1:13" x14ac:dyDescent="0.3">
      <c r="A1463" t="s">
        <v>795</v>
      </c>
      <c r="B1463" s="18">
        <v>45540</v>
      </c>
      <c r="C1463" t="s">
        <v>39</v>
      </c>
      <c r="D1463" t="s">
        <v>149</v>
      </c>
      <c r="E1463">
        <v>72</v>
      </c>
      <c r="F1463">
        <v>83.54</v>
      </c>
      <c r="G1463" s="18">
        <v>45554</v>
      </c>
      <c r="H1463" s="18">
        <v>45553</v>
      </c>
      <c r="I1463">
        <v>72</v>
      </c>
      <c r="J1463">
        <v>6014.88</v>
      </c>
      <c r="K1463">
        <f>IF(tblPO[[#This Row],[Actual_Delivery_Date]]&lt;=tblPO[[#This Row],[Expected_Delivery_Date]],1,0)</f>
        <v>1</v>
      </c>
      <c r="L1463">
        <f>IF(tblPO[[#This Row],[Actual_Delivery_Date]]&gt;tblPO[[#This Row],[Expected_Delivery_Date]],1,0)</f>
        <v>0</v>
      </c>
      <c r="M1463">
        <f>tblPO[[#This Row],[Actual_Delivery_Date]]-tblPO[[#This Row],[PO_Date]]</f>
        <v>13</v>
      </c>
    </row>
    <row r="1464" spans="1:13" x14ac:dyDescent="0.3">
      <c r="A1464" t="s">
        <v>794</v>
      </c>
      <c r="B1464" s="18">
        <v>45559</v>
      </c>
      <c r="C1464" t="s">
        <v>42</v>
      </c>
      <c r="D1464" t="s">
        <v>100</v>
      </c>
      <c r="E1464">
        <v>8</v>
      </c>
      <c r="F1464">
        <v>56679.21</v>
      </c>
      <c r="G1464" s="18">
        <v>45577</v>
      </c>
      <c r="H1464" s="18">
        <v>45577</v>
      </c>
      <c r="I1464">
        <v>8</v>
      </c>
      <c r="J1464">
        <v>453433.68</v>
      </c>
      <c r="K1464">
        <f>IF(tblPO[[#This Row],[Actual_Delivery_Date]]&lt;=tblPO[[#This Row],[Expected_Delivery_Date]],1,0)</f>
        <v>1</v>
      </c>
      <c r="L1464">
        <f>IF(tblPO[[#This Row],[Actual_Delivery_Date]]&gt;tblPO[[#This Row],[Expected_Delivery_Date]],1,0)</f>
        <v>0</v>
      </c>
      <c r="M1464">
        <f>tblPO[[#This Row],[Actual_Delivery_Date]]-tblPO[[#This Row],[PO_Date]]</f>
        <v>18</v>
      </c>
    </row>
    <row r="1465" spans="1:13" x14ac:dyDescent="0.3">
      <c r="A1465" t="s">
        <v>793</v>
      </c>
      <c r="B1465" s="18">
        <v>45558</v>
      </c>
      <c r="C1465" t="s">
        <v>39</v>
      </c>
      <c r="D1465" t="s">
        <v>166</v>
      </c>
      <c r="E1465">
        <v>743</v>
      </c>
      <c r="F1465">
        <v>95.47</v>
      </c>
      <c r="G1465" s="18">
        <v>45578</v>
      </c>
      <c r="H1465" s="18">
        <v>45575</v>
      </c>
      <c r="I1465">
        <v>743</v>
      </c>
      <c r="J1465">
        <v>70934.210000000006</v>
      </c>
      <c r="K1465">
        <f>IF(tblPO[[#This Row],[Actual_Delivery_Date]]&lt;=tblPO[[#This Row],[Expected_Delivery_Date]],1,0)</f>
        <v>1</v>
      </c>
      <c r="L1465">
        <f>IF(tblPO[[#This Row],[Actual_Delivery_Date]]&gt;tblPO[[#This Row],[Expected_Delivery_Date]],1,0)</f>
        <v>0</v>
      </c>
      <c r="M1465">
        <f>tblPO[[#This Row],[Actual_Delivery_Date]]-tblPO[[#This Row],[PO_Date]]</f>
        <v>17</v>
      </c>
    </row>
    <row r="1466" spans="1:13" x14ac:dyDescent="0.3">
      <c r="A1466" t="s">
        <v>792</v>
      </c>
      <c r="B1466" s="18">
        <v>45561</v>
      </c>
      <c r="C1466" t="s">
        <v>49</v>
      </c>
      <c r="D1466" t="s">
        <v>188</v>
      </c>
      <c r="E1466">
        <v>455</v>
      </c>
      <c r="F1466">
        <v>33.200000000000003</v>
      </c>
      <c r="G1466" s="18">
        <v>45579</v>
      </c>
      <c r="H1466" s="18">
        <v>45576</v>
      </c>
      <c r="I1466">
        <v>455</v>
      </c>
      <c r="J1466">
        <v>15106</v>
      </c>
      <c r="K1466">
        <f>IF(tblPO[[#This Row],[Actual_Delivery_Date]]&lt;=tblPO[[#This Row],[Expected_Delivery_Date]],1,0)</f>
        <v>1</v>
      </c>
      <c r="L1466">
        <f>IF(tblPO[[#This Row],[Actual_Delivery_Date]]&gt;tblPO[[#This Row],[Expected_Delivery_Date]],1,0)</f>
        <v>0</v>
      </c>
      <c r="M1466">
        <f>tblPO[[#This Row],[Actual_Delivery_Date]]-tblPO[[#This Row],[PO_Date]]</f>
        <v>15</v>
      </c>
    </row>
    <row r="1467" spans="1:13" x14ac:dyDescent="0.3">
      <c r="A1467" t="s">
        <v>791</v>
      </c>
      <c r="B1467" s="18">
        <v>45549</v>
      </c>
      <c r="C1467" t="s">
        <v>38</v>
      </c>
      <c r="D1467" t="s">
        <v>219</v>
      </c>
      <c r="E1467">
        <v>629</v>
      </c>
      <c r="F1467">
        <v>94.04</v>
      </c>
      <c r="G1467" s="18">
        <v>45553</v>
      </c>
      <c r="H1467" s="18">
        <v>45552</v>
      </c>
      <c r="I1467">
        <v>629</v>
      </c>
      <c r="J1467">
        <v>59151.16</v>
      </c>
      <c r="K1467">
        <f>IF(tblPO[[#This Row],[Actual_Delivery_Date]]&lt;=tblPO[[#This Row],[Expected_Delivery_Date]],1,0)</f>
        <v>1</v>
      </c>
      <c r="L1467">
        <f>IF(tblPO[[#This Row],[Actual_Delivery_Date]]&gt;tblPO[[#This Row],[Expected_Delivery_Date]],1,0)</f>
        <v>0</v>
      </c>
      <c r="M1467">
        <f>tblPO[[#This Row],[Actual_Delivery_Date]]-tblPO[[#This Row],[PO_Date]]</f>
        <v>3</v>
      </c>
    </row>
    <row r="1468" spans="1:13" x14ac:dyDescent="0.3">
      <c r="A1468" t="s">
        <v>790</v>
      </c>
      <c r="B1468" s="18">
        <v>45556</v>
      </c>
      <c r="C1468" t="s">
        <v>47</v>
      </c>
      <c r="D1468" t="s">
        <v>221</v>
      </c>
      <c r="E1468">
        <v>12</v>
      </c>
      <c r="F1468">
        <v>1532.87</v>
      </c>
      <c r="G1468" s="18">
        <v>45561</v>
      </c>
      <c r="H1468" s="18">
        <v>45558</v>
      </c>
      <c r="I1468">
        <v>12</v>
      </c>
      <c r="J1468">
        <v>18394.439999999999</v>
      </c>
      <c r="K1468">
        <f>IF(tblPO[[#This Row],[Actual_Delivery_Date]]&lt;=tblPO[[#This Row],[Expected_Delivery_Date]],1,0)</f>
        <v>1</v>
      </c>
      <c r="L1468">
        <f>IF(tblPO[[#This Row],[Actual_Delivery_Date]]&gt;tblPO[[#This Row],[Expected_Delivery_Date]],1,0)</f>
        <v>0</v>
      </c>
      <c r="M1468">
        <f>tblPO[[#This Row],[Actual_Delivery_Date]]-tblPO[[#This Row],[PO_Date]]</f>
        <v>2</v>
      </c>
    </row>
    <row r="1469" spans="1:13" x14ac:dyDescent="0.3">
      <c r="A1469" t="s">
        <v>789</v>
      </c>
      <c r="B1469" s="18">
        <v>45561</v>
      </c>
      <c r="C1469" t="s">
        <v>40</v>
      </c>
      <c r="D1469" t="s">
        <v>117</v>
      </c>
      <c r="E1469">
        <v>50</v>
      </c>
      <c r="F1469">
        <v>325.58</v>
      </c>
      <c r="G1469" s="18">
        <v>45566</v>
      </c>
      <c r="H1469" s="18">
        <v>45566</v>
      </c>
      <c r="I1469">
        <v>50</v>
      </c>
      <c r="J1469">
        <v>16279</v>
      </c>
      <c r="K1469">
        <f>IF(tblPO[[#This Row],[Actual_Delivery_Date]]&lt;=tblPO[[#This Row],[Expected_Delivery_Date]],1,0)</f>
        <v>1</v>
      </c>
      <c r="L1469">
        <f>IF(tblPO[[#This Row],[Actual_Delivery_Date]]&gt;tblPO[[#This Row],[Expected_Delivery_Date]],1,0)</f>
        <v>0</v>
      </c>
      <c r="M1469">
        <f>tblPO[[#This Row],[Actual_Delivery_Date]]-tblPO[[#This Row],[PO_Date]]</f>
        <v>5</v>
      </c>
    </row>
    <row r="1470" spans="1:13" x14ac:dyDescent="0.3">
      <c r="A1470" t="s">
        <v>788</v>
      </c>
      <c r="B1470" s="18">
        <v>45549</v>
      </c>
      <c r="C1470" t="s">
        <v>65</v>
      </c>
      <c r="D1470" t="s">
        <v>203</v>
      </c>
      <c r="E1470">
        <v>185</v>
      </c>
      <c r="F1470">
        <v>352.77</v>
      </c>
      <c r="G1470" s="18">
        <v>45560</v>
      </c>
      <c r="H1470" s="18">
        <v>45558</v>
      </c>
      <c r="I1470">
        <v>185</v>
      </c>
      <c r="J1470">
        <v>65262.45</v>
      </c>
      <c r="K1470">
        <f>IF(tblPO[[#This Row],[Actual_Delivery_Date]]&lt;=tblPO[[#This Row],[Expected_Delivery_Date]],1,0)</f>
        <v>1</v>
      </c>
      <c r="L1470">
        <f>IF(tblPO[[#This Row],[Actual_Delivery_Date]]&gt;tblPO[[#This Row],[Expected_Delivery_Date]],1,0)</f>
        <v>0</v>
      </c>
      <c r="M1470">
        <f>tblPO[[#This Row],[Actual_Delivery_Date]]-tblPO[[#This Row],[PO_Date]]</f>
        <v>9</v>
      </c>
    </row>
    <row r="1471" spans="1:13" x14ac:dyDescent="0.3">
      <c r="A1471" t="s">
        <v>787</v>
      </c>
      <c r="B1471" s="18">
        <v>45546</v>
      </c>
      <c r="C1471" t="s">
        <v>48</v>
      </c>
      <c r="D1471" t="s">
        <v>174</v>
      </c>
      <c r="E1471">
        <v>639</v>
      </c>
      <c r="F1471">
        <v>48.14</v>
      </c>
      <c r="G1471" s="18">
        <v>45572</v>
      </c>
      <c r="H1471" s="18">
        <v>45572</v>
      </c>
      <c r="I1471">
        <v>639</v>
      </c>
      <c r="J1471">
        <v>30761.46</v>
      </c>
      <c r="K1471">
        <f>IF(tblPO[[#This Row],[Actual_Delivery_Date]]&lt;=tblPO[[#This Row],[Expected_Delivery_Date]],1,0)</f>
        <v>1</v>
      </c>
      <c r="L1471">
        <f>IF(tblPO[[#This Row],[Actual_Delivery_Date]]&gt;tblPO[[#This Row],[Expected_Delivery_Date]],1,0)</f>
        <v>0</v>
      </c>
      <c r="M1471">
        <f>tblPO[[#This Row],[Actual_Delivery_Date]]-tblPO[[#This Row],[PO_Date]]</f>
        <v>26</v>
      </c>
    </row>
    <row r="1472" spans="1:13" x14ac:dyDescent="0.3">
      <c r="A1472" t="s">
        <v>786</v>
      </c>
      <c r="B1472" s="18">
        <v>45555</v>
      </c>
      <c r="C1472" t="s">
        <v>38</v>
      </c>
      <c r="D1472" t="s">
        <v>227</v>
      </c>
      <c r="E1472">
        <v>2</v>
      </c>
      <c r="F1472">
        <v>1257.47</v>
      </c>
      <c r="G1472" s="18">
        <v>45570</v>
      </c>
      <c r="H1472" s="18">
        <v>45568</v>
      </c>
      <c r="I1472">
        <v>2</v>
      </c>
      <c r="J1472">
        <v>2514.94</v>
      </c>
      <c r="K1472">
        <f>IF(tblPO[[#This Row],[Actual_Delivery_Date]]&lt;=tblPO[[#This Row],[Expected_Delivery_Date]],1,0)</f>
        <v>1</v>
      </c>
      <c r="L1472">
        <f>IF(tblPO[[#This Row],[Actual_Delivery_Date]]&gt;tblPO[[#This Row],[Expected_Delivery_Date]],1,0)</f>
        <v>0</v>
      </c>
      <c r="M1472">
        <f>tblPO[[#This Row],[Actual_Delivery_Date]]-tblPO[[#This Row],[PO_Date]]</f>
        <v>13</v>
      </c>
    </row>
    <row r="1473" spans="1:13" x14ac:dyDescent="0.3">
      <c r="A1473" t="s">
        <v>785</v>
      </c>
      <c r="B1473" s="18">
        <v>45554</v>
      </c>
      <c r="C1473" t="s">
        <v>44</v>
      </c>
      <c r="D1473" t="s">
        <v>205</v>
      </c>
      <c r="E1473">
        <v>67</v>
      </c>
      <c r="F1473">
        <v>361.88</v>
      </c>
      <c r="G1473" s="18">
        <v>45576</v>
      </c>
      <c r="H1473" s="18">
        <v>45574</v>
      </c>
      <c r="I1473">
        <v>67</v>
      </c>
      <c r="J1473">
        <v>24245.96</v>
      </c>
      <c r="K1473">
        <f>IF(tblPO[[#This Row],[Actual_Delivery_Date]]&lt;=tblPO[[#This Row],[Expected_Delivery_Date]],1,0)</f>
        <v>1</v>
      </c>
      <c r="L1473">
        <f>IF(tblPO[[#This Row],[Actual_Delivery_Date]]&gt;tblPO[[#This Row],[Expected_Delivery_Date]],1,0)</f>
        <v>0</v>
      </c>
      <c r="M1473">
        <f>tblPO[[#This Row],[Actual_Delivery_Date]]-tblPO[[#This Row],[PO_Date]]</f>
        <v>20</v>
      </c>
    </row>
    <row r="1474" spans="1:13" x14ac:dyDescent="0.3">
      <c r="A1474" t="s">
        <v>784</v>
      </c>
      <c r="B1474" s="18">
        <v>45563</v>
      </c>
      <c r="C1474" t="s">
        <v>58</v>
      </c>
      <c r="D1474" t="s">
        <v>158</v>
      </c>
      <c r="E1474">
        <v>193</v>
      </c>
      <c r="F1474">
        <v>136.49</v>
      </c>
      <c r="G1474" s="18">
        <v>45593</v>
      </c>
      <c r="H1474" s="18">
        <v>45591</v>
      </c>
      <c r="I1474">
        <v>193</v>
      </c>
      <c r="J1474">
        <v>26342.57</v>
      </c>
      <c r="K1474">
        <f>IF(tblPO[[#This Row],[Actual_Delivery_Date]]&lt;=tblPO[[#This Row],[Expected_Delivery_Date]],1,0)</f>
        <v>1</v>
      </c>
      <c r="L1474">
        <f>IF(tblPO[[#This Row],[Actual_Delivery_Date]]&gt;tblPO[[#This Row],[Expected_Delivery_Date]],1,0)</f>
        <v>0</v>
      </c>
      <c r="M1474">
        <f>tblPO[[#This Row],[Actual_Delivery_Date]]-tblPO[[#This Row],[PO_Date]]</f>
        <v>28</v>
      </c>
    </row>
    <row r="1475" spans="1:13" x14ac:dyDescent="0.3">
      <c r="A1475" t="s">
        <v>783</v>
      </c>
      <c r="B1475" s="18">
        <v>45560</v>
      </c>
      <c r="C1475" t="s">
        <v>46</v>
      </c>
      <c r="D1475" t="s">
        <v>106</v>
      </c>
      <c r="E1475">
        <v>1</v>
      </c>
      <c r="F1475">
        <v>22386.66</v>
      </c>
      <c r="G1475" s="18">
        <v>45576</v>
      </c>
      <c r="H1475" s="18">
        <v>45573</v>
      </c>
      <c r="I1475">
        <v>1</v>
      </c>
      <c r="J1475">
        <v>22386.66</v>
      </c>
      <c r="K1475">
        <f>IF(tblPO[[#This Row],[Actual_Delivery_Date]]&lt;=tblPO[[#This Row],[Expected_Delivery_Date]],1,0)</f>
        <v>1</v>
      </c>
      <c r="L1475">
        <f>IF(tblPO[[#This Row],[Actual_Delivery_Date]]&gt;tblPO[[#This Row],[Expected_Delivery_Date]],1,0)</f>
        <v>0</v>
      </c>
      <c r="M1475">
        <f>tblPO[[#This Row],[Actual_Delivery_Date]]-tblPO[[#This Row],[PO_Date]]</f>
        <v>13</v>
      </c>
    </row>
    <row r="1476" spans="1:13" x14ac:dyDescent="0.3">
      <c r="A1476" t="s">
        <v>782</v>
      </c>
      <c r="B1476" s="18">
        <v>45542</v>
      </c>
      <c r="C1476" t="s">
        <v>58</v>
      </c>
      <c r="D1476" t="s">
        <v>166</v>
      </c>
      <c r="E1476">
        <v>723</v>
      </c>
      <c r="F1476">
        <v>101.77</v>
      </c>
      <c r="G1476" s="18">
        <v>45560</v>
      </c>
      <c r="H1476" s="18">
        <v>45560</v>
      </c>
      <c r="I1476">
        <v>723</v>
      </c>
      <c r="J1476">
        <v>73579.710000000006</v>
      </c>
      <c r="K1476">
        <f>IF(tblPO[[#This Row],[Actual_Delivery_Date]]&lt;=tblPO[[#This Row],[Expected_Delivery_Date]],1,0)</f>
        <v>1</v>
      </c>
      <c r="L1476">
        <f>IF(tblPO[[#This Row],[Actual_Delivery_Date]]&gt;tblPO[[#This Row],[Expected_Delivery_Date]],1,0)</f>
        <v>0</v>
      </c>
      <c r="M1476">
        <f>tblPO[[#This Row],[Actual_Delivery_Date]]-tblPO[[#This Row],[PO_Date]]</f>
        <v>18</v>
      </c>
    </row>
    <row r="1477" spans="1:13" x14ac:dyDescent="0.3">
      <c r="A1477" t="s">
        <v>781</v>
      </c>
      <c r="B1477" s="18">
        <v>45560</v>
      </c>
      <c r="C1477" t="s">
        <v>54</v>
      </c>
      <c r="D1477" t="s">
        <v>203</v>
      </c>
      <c r="E1477">
        <v>65</v>
      </c>
      <c r="F1477">
        <v>306.75</v>
      </c>
      <c r="G1477" s="18">
        <v>45574</v>
      </c>
      <c r="H1477" s="18">
        <v>45574</v>
      </c>
      <c r="I1477">
        <v>65</v>
      </c>
      <c r="J1477">
        <v>19938.75</v>
      </c>
      <c r="K1477">
        <f>IF(tblPO[[#This Row],[Actual_Delivery_Date]]&lt;=tblPO[[#This Row],[Expected_Delivery_Date]],1,0)</f>
        <v>1</v>
      </c>
      <c r="L1477">
        <f>IF(tblPO[[#This Row],[Actual_Delivery_Date]]&gt;tblPO[[#This Row],[Expected_Delivery_Date]],1,0)</f>
        <v>0</v>
      </c>
      <c r="M1477">
        <f>tblPO[[#This Row],[Actual_Delivery_Date]]-tblPO[[#This Row],[PO_Date]]</f>
        <v>14</v>
      </c>
    </row>
    <row r="1478" spans="1:13" x14ac:dyDescent="0.3">
      <c r="A1478" t="s">
        <v>780</v>
      </c>
      <c r="B1478" s="18">
        <v>45563</v>
      </c>
      <c r="C1478" t="s">
        <v>38</v>
      </c>
      <c r="D1478" t="s">
        <v>227</v>
      </c>
      <c r="E1478">
        <v>25</v>
      </c>
      <c r="F1478">
        <v>1202.54</v>
      </c>
      <c r="G1478" s="18">
        <v>45572</v>
      </c>
      <c r="H1478" s="18">
        <v>45572</v>
      </c>
      <c r="I1478">
        <v>25</v>
      </c>
      <c r="J1478">
        <v>30063.5</v>
      </c>
      <c r="K1478">
        <f>IF(tblPO[[#This Row],[Actual_Delivery_Date]]&lt;=tblPO[[#This Row],[Expected_Delivery_Date]],1,0)</f>
        <v>1</v>
      </c>
      <c r="L1478">
        <f>IF(tblPO[[#This Row],[Actual_Delivery_Date]]&gt;tblPO[[#This Row],[Expected_Delivery_Date]],1,0)</f>
        <v>0</v>
      </c>
      <c r="M1478">
        <f>tblPO[[#This Row],[Actual_Delivery_Date]]-tblPO[[#This Row],[PO_Date]]</f>
        <v>9</v>
      </c>
    </row>
    <row r="1479" spans="1:13" x14ac:dyDescent="0.3">
      <c r="A1479" t="s">
        <v>779</v>
      </c>
      <c r="B1479" s="18">
        <v>45554</v>
      </c>
      <c r="C1479" t="s">
        <v>45</v>
      </c>
      <c r="D1479" t="s">
        <v>239</v>
      </c>
      <c r="E1479">
        <v>439</v>
      </c>
      <c r="F1479">
        <v>88.12</v>
      </c>
      <c r="G1479" s="18">
        <v>45560</v>
      </c>
      <c r="H1479" s="18">
        <v>45558</v>
      </c>
      <c r="I1479">
        <v>439</v>
      </c>
      <c r="J1479">
        <v>38684.68</v>
      </c>
      <c r="K1479">
        <f>IF(tblPO[[#This Row],[Actual_Delivery_Date]]&lt;=tblPO[[#This Row],[Expected_Delivery_Date]],1,0)</f>
        <v>1</v>
      </c>
      <c r="L1479">
        <f>IF(tblPO[[#This Row],[Actual_Delivery_Date]]&gt;tblPO[[#This Row],[Expected_Delivery_Date]],1,0)</f>
        <v>0</v>
      </c>
      <c r="M1479">
        <f>tblPO[[#This Row],[Actual_Delivery_Date]]-tblPO[[#This Row],[PO_Date]]</f>
        <v>4</v>
      </c>
    </row>
    <row r="1480" spans="1:13" x14ac:dyDescent="0.3">
      <c r="A1480" t="s">
        <v>778</v>
      </c>
      <c r="B1480" s="18">
        <v>45541</v>
      </c>
      <c r="C1480" t="s">
        <v>44</v>
      </c>
      <c r="D1480" t="s">
        <v>190</v>
      </c>
      <c r="E1480">
        <v>41</v>
      </c>
      <c r="F1480">
        <v>100.17</v>
      </c>
      <c r="G1480" s="18">
        <v>45559</v>
      </c>
      <c r="H1480" s="18">
        <v>45559</v>
      </c>
      <c r="I1480">
        <v>41</v>
      </c>
      <c r="J1480">
        <v>4106.97</v>
      </c>
      <c r="K1480">
        <f>IF(tblPO[[#This Row],[Actual_Delivery_Date]]&lt;=tblPO[[#This Row],[Expected_Delivery_Date]],1,0)</f>
        <v>1</v>
      </c>
      <c r="L1480">
        <f>IF(tblPO[[#This Row],[Actual_Delivery_Date]]&gt;tblPO[[#This Row],[Expected_Delivery_Date]],1,0)</f>
        <v>0</v>
      </c>
      <c r="M1480">
        <f>tblPO[[#This Row],[Actual_Delivery_Date]]-tblPO[[#This Row],[PO_Date]]</f>
        <v>18</v>
      </c>
    </row>
    <row r="1481" spans="1:13" x14ac:dyDescent="0.3">
      <c r="A1481" t="s">
        <v>777</v>
      </c>
      <c r="B1481" s="18">
        <v>45549</v>
      </c>
      <c r="C1481" t="s">
        <v>53</v>
      </c>
      <c r="D1481" t="s">
        <v>100</v>
      </c>
      <c r="E1481">
        <v>6</v>
      </c>
      <c r="F1481">
        <v>52783.69</v>
      </c>
      <c r="G1481" s="18">
        <v>45567</v>
      </c>
      <c r="H1481" s="18">
        <v>45564</v>
      </c>
      <c r="I1481">
        <v>6</v>
      </c>
      <c r="J1481">
        <v>316702.14</v>
      </c>
      <c r="K1481">
        <f>IF(tblPO[[#This Row],[Actual_Delivery_Date]]&lt;=tblPO[[#This Row],[Expected_Delivery_Date]],1,0)</f>
        <v>1</v>
      </c>
      <c r="L1481">
        <f>IF(tblPO[[#This Row],[Actual_Delivery_Date]]&gt;tblPO[[#This Row],[Expected_Delivery_Date]],1,0)</f>
        <v>0</v>
      </c>
      <c r="M1481">
        <f>tblPO[[#This Row],[Actual_Delivery_Date]]-tblPO[[#This Row],[PO_Date]]</f>
        <v>15</v>
      </c>
    </row>
    <row r="1482" spans="1:13" x14ac:dyDescent="0.3">
      <c r="A1482" t="s">
        <v>776</v>
      </c>
      <c r="B1482" s="18">
        <v>45569</v>
      </c>
      <c r="C1482" t="s">
        <v>43</v>
      </c>
      <c r="D1482" t="s">
        <v>160</v>
      </c>
      <c r="E1482">
        <v>212</v>
      </c>
      <c r="F1482">
        <v>83.22</v>
      </c>
      <c r="G1482" s="18">
        <v>45577</v>
      </c>
      <c r="H1482" s="18">
        <v>45575</v>
      </c>
      <c r="I1482">
        <v>212</v>
      </c>
      <c r="J1482">
        <v>17642.64</v>
      </c>
      <c r="K1482">
        <f>IF(tblPO[[#This Row],[Actual_Delivery_Date]]&lt;=tblPO[[#This Row],[Expected_Delivery_Date]],1,0)</f>
        <v>1</v>
      </c>
      <c r="L1482">
        <f>IF(tblPO[[#This Row],[Actual_Delivery_Date]]&gt;tblPO[[#This Row],[Expected_Delivery_Date]],1,0)</f>
        <v>0</v>
      </c>
      <c r="M1482">
        <f>tblPO[[#This Row],[Actual_Delivery_Date]]-tblPO[[#This Row],[PO_Date]]</f>
        <v>6</v>
      </c>
    </row>
    <row r="1483" spans="1:13" x14ac:dyDescent="0.3">
      <c r="A1483" t="s">
        <v>775</v>
      </c>
      <c r="B1483" s="18">
        <v>45596</v>
      </c>
      <c r="C1483" t="s">
        <v>41</v>
      </c>
      <c r="D1483" t="s">
        <v>183</v>
      </c>
      <c r="E1483">
        <v>603</v>
      </c>
      <c r="F1483">
        <v>11.23</v>
      </c>
      <c r="G1483" s="18">
        <v>45612</v>
      </c>
      <c r="H1483" s="18">
        <v>45611</v>
      </c>
      <c r="I1483">
        <v>594</v>
      </c>
      <c r="J1483">
        <v>6771.69</v>
      </c>
      <c r="K1483">
        <f>IF(tblPO[[#This Row],[Actual_Delivery_Date]]&lt;=tblPO[[#This Row],[Expected_Delivery_Date]],1,0)</f>
        <v>1</v>
      </c>
      <c r="L1483">
        <f>IF(tblPO[[#This Row],[Actual_Delivery_Date]]&gt;tblPO[[#This Row],[Expected_Delivery_Date]],1,0)</f>
        <v>0</v>
      </c>
      <c r="M1483">
        <f>tblPO[[#This Row],[Actual_Delivery_Date]]-tblPO[[#This Row],[PO_Date]]</f>
        <v>15</v>
      </c>
    </row>
    <row r="1484" spans="1:13" x14ac:dyDescent="0.3">
      <c r="A1484" t="s">
        <v>774</v>
      </c>
      <c r="B1484" s="18">
        <v>45579</v>
      </c>
      <c r="C1484" t="s">
        <v>39</v>
      </c>
      <c r="D1484" t="s">
        <v>164</v>
      </c>
      <c r="E1484">
        <v>143</v>
      </c>
      <c r="F1484">
        <v>145.1</v>
      </c>
      <c r="G1484" s="18">
        <v>45606</v>
      </c>
      <c r="H1484" s="18">
        <v>45604</v>
      </c>
      <c r="I1484">
        <v>143</v>
      </c>
      <c r="J1484">
        <v>20749.3</v>
      </c>
      <c r="K1484">
        <f>IF(tblPO[[#This Row],[Actual_Delivery_Date]]&lt;=tblPO[[#This Row],[Expected_Delivery_Date]],1,0)</f>
        <v>1</v>
      </c>
      <c r="L1484">
        <f>IF(tblPO[[#This Row],[Actual_Delivery_Date]]&gt;tblPO[[#This Row],[Expected_Delivery_Date]],1,0)</f>
        <v>0</v>
      </c>
      <c r="M1484">
        <f>tblPO[[#This Row],[Actual_Delivery_Date]]-tblPO[[#This Row],[PO_Date]]</f>
        <v>25</v>
      </c>
    </row>
    <row r="1485" spans="1:13" x14ac:dyDescent="0.3">
      <c r="A1485" t="s">
        <v>773</v>
      </c>
      <c r="B1485" s="18">
        <v>45588</v>
      </c>
      <c r="C1485" t="s">
        <v>45</v>
      </c>
      <c r="D1485" t="s">
        <v>233</v>
      </c>
      <c r="E1485">
        <v>74</v>
      </c>
      <c r="F1485">
        <v>191.53</v>
      </c>
      <c r="G1485" s="18">
        <v>45600</v>
      </c>
      <c r="H1485" s="18">
        <v>45597</v>
      </c>
      <c r="I1485">
        <v>68</v>
      </c>
      <c r="J1485">
        <v>14173.22</v>
      </c>
      <c r="K1485">
        <f>IF(tblPO[[#This Row],[Actual_Delivery_Date]]&lt;=tblPO[[#This Row],[Expected_Delivery_Date]],1,0)</f>
        <v>1</v>
      </c>
      <c r="L1485">
        <f>IF(tblPO[[#This Row],[Actual_Delivery_Date]]&gt;tblPO[[#This Row],[Expected_Delivery_Date]],1,0)</f>
        <v>0</v>
      </c>
      <c r="M1485">
        <f>tblPO[[#This Row],[Actual_Delivery_Date]]-tblPO[[#This Row],[PO_Date]]</f>
        <v>9</v>
      </c>
    </row>
    <row r="1486" spans="1:13" x14ac:dyDescent="0.3">
      <c r="A1486" t="s">
        <v>772</v>
      </c>
      <c r="B1486" s="18">
        <v>45590</v>
      </c>
      <c r="C1486" t="s">
        <v>38</v>
      </c>
      <c r="D1486" t="s">
        <v>243</v>
      </c>
      <c r="E1486">
        <v>51</v>
      </c>
      <c r="F1486">
        <v>179.73</v>
      </c>
      <c r="G1486" s="18">
        <v>45600</v>
      </c>
      <c r="H1486" s="18">
        <v>45598</v>
      </c>
      <c r="I1486">
        <v>51</v>
      </c>
      <c r="J1486">
        <v>9166.23</v>
      </c>
      <c r="K1486">
        <f>IF(tblPO[[#This Row],[Actual_Delivery_Date]]&lt;=tblPO[[#This Row],[Expected_Delivery_Date]],1,0)</f>
        <v>1</v>
      </c>
      <c r="L1486">
        <f>IF(tblPO[[#This Row],[Actual_Delivery_Date]]&gt;tblPO[[#This Row],[Expected_Delivery_Date]],1,0)</f>
        <v>0</v>
      </c>
      <c r="M1486">
        <f>tblPO[[#This Row],[Actual_Delivery_Date]]-tblPO[[#This Row],[PO_Date]]</f>
        <v>8</v>
      </c>
    </row>
    <row r="1487" spans="1:13" x14ac:dyDescent="0.3">
      <c r="A1487" t="s">
        <v>771</v>
      </c>
      <c r="B1487" s="18">
        <v>45592</v>
      </c>
      <c r="C1487" t="s">
        <v>56</v>
      </c>
      <c r="D1487" t="s">
        <v>130</v>
      </c>
      <c r="E1487">
        <v>73</v>
      </c>
      <c r="F1487">
        <v>344.5</v>
      </c>
      <c r="G1487" s="18">
        <v>45606</v>
      </c>
      <c r="H1487" s="18">
        <v>45605</v>
      </c>
      <c r="I1487">
        <v>73</v>
      </c>
      <c r="J1487">
        <v>25148.5</v>
      </c>
      <c r="K1487">
        <f>IF(tblPO[[#This Row],[Actual_Delivery_Date]]&lt;=tblPO[[#This Row],[Expected_Delivery_Date]],1,0)</f>
        <v>1</v>
      </c>
      <c r="L1487">
        <f>IF(tblPO[[#This Row],[Actual_Delivery_Date]]&gt;tblPO[[#This Row],[Expected_Delivery_Date]],1,0)</f>
        <v>0</v>
      </c>
      <c r="M1487">
        <f>tblPO[[#This Row],[Actual_Delivery_Date]]-tblPO[[#This Row],[PO_Date]]</f>
        <v>13</v>
      </c>
    </row>
    <row r="1488" spans="1:13" x14ac:dyDescent="0.3">
      <c r="A1488" t="s">
        <v>770</v>
      </c>
      <c r="B1488" s="18">
        <v>45584</v>
      </c>
      <c r="C1488" t="s">
        <v>43</v>
      </c>
      <c r="D1488" t="s">
        <v>164</v>
      </c>
      <c r="E1488">
        <v>199</v>
      </c>
      <c r="F1488">
        <v>109.11</v>
      </c>
      <c r="G1488" s="18">
        <v>45591</v>
      </c>
      <c r="H1488" s="18">
        <v>45589</v>
      </c>
      <c r="I1488">
        <v>199</v>
      </c>
      <c r="J1488">
        <v>21712.89</v>
      </c>
      <c r="K1488">
        <f>IF(tblPO[[#This Row],[Actual_Delivery_Date]]&lt;=tblPO[[#This Row],[Expected_Delivery_Date]],1,0)</f>
        <v>1</v>
      </c>
      <c r="L1488">
        <f>IF(tblPO[[#This Row],[Actual_Delivery_Date]]&gt;tblPO[[#This Row],[Expected_Delivery_Date]],1,0)</f>
        <v>0</v>
      </c>
      <c r="M1488">
        <f>tblPO[[#This Row],[Actual_Delivery_Date]]-tblPO[[#This Row],[PO_Date]]</f>
        <v>5</v>
      </c>
    </row>
    <row r="1489" spans="1:13" x14ac:dyDescent="0.3">
      <c r="A1489" t="s">
        <v>769</v>
      </c>
      <c r="B1489" s="18">
        <v>45569</v>
      </c>
      <c r="C1489" t="s">
        <v>59</v>
      </c>
      <c r="D1489" t="s">
        <v>86</v>
      </c>
      <c r="E1489">
        <v>173</v>
      </c>
      <c r="F1489">
        <v>207.1</v>
      </c>
      <c r="G1489" s="18">
        <v>45581</v>
      </c>
      <c r="H1489" s="18">
        <v>45581</v>
      </c>
      <c r="I1489">
        <v>173</v>
      </c>
      <c r="J1489">
        <v>35828.300000000003</v>
      </c>
      <c r="K1489">
        <f>IF(tblPO[[#This Row],[Actual_Delivery_Date]]&lt;=tblPO[[#This Row],[Expected_Delivery_Date]],1,0)</f>
        <v>1</v>
      </c>
      <c r="L1489">
        <f>IF(tblPO[[#This Row],[Actual_Delivery_Date]]&gt;tblPO[[#This Row],[Expected_Delivery_Date]],1,0)</f>
        <v>0</v>
      </c>
      <c r="M1489">
        <f>tblPO[[#This Row],[Actual_Delivery_Date]]-tblPO[[#This Row],[PO_Date]]</f>
        <v>12</v>
      </c>
    </row>
    <row r="1490" spans="1:13" x14ac:dyDescent="0.3">
      <c r="A1490" t="s">
        <v>768</v>
      </c>
      <c r="B1490" s="18">
        <v>45583</v>
      </c>
      <c r="C1490" t="s">
        <v>43</v>
      </c>
      <c r="D1490" t="s">
        <v>162</v>
      </c>
      <c r="E1490">
        <v>177</v>
      </c>
      <c r="F1490">
        <v>33.65</v>
      </c>
      <c r="G1490" s="18">
        <v>45600</v>
      </c>
      <c r="H1490" s="18">
        <v>45599</v>
      </c>
      <c r="I1490">
        <v>177</v>
      </c>
      <c r="J1490">
        <v>5956.05</v>
      </c>
      <c r="K1490">
        <f>IF(tblPO[[#This Row],[Actual_Delivery_Date]]&lt;=tblPO[[#This Row],[Expected_Delivery_Date]],1,0)</f>
        <v>1</v>
      </c>
      <c r="L1490">
        <f>IF(tblPO[[#This Row],[Actual_Delivery_Date]]&gt;tblPO[[#This Row],[Expected_Delivery_Date]],1,0)</f>
        <v>0</v>
      </c>
      <c r="M1490">
        <f>tblPO[[#This Row],[Actual_Delivery_Date]]-tblPO[[#This Row],[PO_Date]]</f>
        <v>16</v>
      </c>
    </row>
    <row r="1491" spans="1:13" x14ac:dyDescent="0.3">
      <c r="A1491" t="s">
        <v>767</v>
      </c>
      <c r="B1491" s="18">
        <v>45569</v>
      </c>
      <c r="C1491" t="s">
        <v>65</v>
      </c>
      <c r="D1491" t="s">
        <v>209</v>
      </c>
      <c r="E1491">
        <v>311</v>
      </c>
      <c r="F1491">
        <v>16.68</v>
      </c>
      <c r="G1491" s="18">
        <v>45586</v>
      </c>
      <c r="H1491" s="18">
        <v>45584</v>
      </c>
      <c r="I1491">
        <v>311</v>
      </c>
      <c r="J1491">
        <v>5187.4799999999996</v>
      </c>
      <c r="K1491">
        <f>IF(tblPO[[#This Row],[Actual_Delivery_Date]]&lt;=tblPO[[#This Row],[Expected_Delivery_Date]],1,0)</f>
        <v>1</v>
      </c>
      <c r="L1491">
        <f>IF(tblPO[[#This Row],[Actual_Delivery_Date]]&gt;tblPO[[#This Row],[Expected_Delivery_Date]],1,0)</f>
        <v>0</v>
      </c>
      <c r="M1491">
        <f>tblPO[[#This Row],[Actual_Delivery_Date]]-tblPO[[#This Row],[PO_Date]]</f>
        <v>15</v>
      </c>
    </row>
    <row r="1492" spans="1:13" x14ac:dyDescent="0.3">
      <c r="A1492" t="s">
        <v>766</v>
      </c>
      <c r="B1492" s="18">
        <v>45590</v>
      </c>
      <c r="C1492" t="s">
        <v>58</v>
      </c>
      <c r="D1492" t="s">
        <v>154</v>
      </c>
      <c r="E1492">
        <v>548</v>
      </c>
      <c r="F1492">
        <v>83.99</v>
      </c>
      <c r="G1492" s="18">
        <v>45611</v>
      </c>
      <c r="H1492" s="18">
        <v>45608</v>
      </c>
      <c r="I1492">
        <v>548</v>
      </c>
      <c r="J1492">
        <v>46026.52</v>
      </c>
      <c r="K1492">
        <f>IF(tblPO[[#This Row],[Actual_Delivery_Date]]&lt;=tblPO[[#This Row],[Expected_Delivery_Date]],1,0)</f>
        <v>1</v>
      </c>
      <c r="L1492">
        <f>IF(tblPO[[#This Row],[Actual_Delivery_Date]]&gt;tblPO[[#This Row],[Expected_Delivery_Date]],1,0)</f>
        <v>0</v>
      </c>
      <c r="M1492">
        <f>tblPO[[#This Row],[Actual_Delivery_Date]]-tblPO[[#This Row],[PO_Date]]</f>
        <v>18</v>
      </c>
    </row>
    <row r="1493" spans="1:13" x14ac:dyDescent="0.3">
      <c r="A1493" t="s">
        <v>765</v>
      </c>
      <c r="B1493" s="18">
        <v>45593</v>
      </c>
      <c r="C1493" t="s">
        <v>44</v>
      </c>
      <c r="D1493" t="s">
        <v>185</v>
      </c>
      <c r="E1493">
        <v>1326</v>
      </c>
      <c r="F1493">
        <v>7.03</v>
      </c>
      <c r="G1493" s="18">
        <v>45616</v>
      </c>
      <c r="H1493" s="18">
        <v>45616</v>
      </c>
      <c r="I1493">
        <v>1326</v>
      </c>
      <c r="J1493">
        <v>9321.7800000000007</v>
      </c>
      <c r="K1493">
        <f>IF(tblPO[[#This Row],[Actual_Delivery_Date]]&lt;=tblPO[[#This Row],[Expected_Delivery_Date]],1,0)</f>
        <v>1</v>
      </c>
      <c r="L1493">
        <f>IF(tblPO[[#This Row],[Actual_Delivery_Date]]&gt;tblPO[[#This Row],[Expected_Delivery_Date]],1,0)</f>
        <v>0</v>
      </c>
      <c r="M1493">
        <f>tblPO[[#This Row],[Actual_Delivery_Date]]-tblPO[[#This Row],[PO_Date]]</f>
        <v>23</v>
      </c>
    </row>
    <row r="1494" spans="1:13" x14ac:dyDescent="0.3">
      <c r="A1494" t="s">
        <v>764</v>
      </c>
      <c r="B1494" s="18">
        <v>45569</v>
      </c>
      <c r="C1494" t="s">
        <v>58</v>
      </c>
      <c r="D1494" t="s">
        <v>164</v>
      </c>
      <c r="E1494">
        <v>173</v>
      </c>
      <c r="F1494">
        <v>149.06</v>
      </c>
      <c r="G1494" s="18">
        <v>45589</v>
      </c>
      <c r="H1494" s="18">
        <v>45588</v>
      </c>
      <c r="I1494">
        <v>173</v>
      </c>
      <c r="J1494">
        <v>25787.38</v>
      </c>
      <c r="K1494">
        <f>IF(tblPO[[#This Row],[Actual_Delivery_Date]]&lt;=tblPO[[#This Row],[Expected_Delivery_Date]],1,0)</f>
        <v>1</v>
      </c>
      <c r="L1494">
        <f>IF(tblPO[[#This Row],[Actual_Delivery_Date]]&gt;tblPO[[#This Row],[Expected_Delivery_Date]],1,0)</f>
        <v>0</v>
      </c>
      <c r="M1494">
        <f>tblPO[[#This Row],[Actual_Delivery_Date]]-tblPO[[#This Row],[PO_Date]]</f>
        <v>19</v>
      </c>
    </row>
    <row r="1495" spans="1:13" x14ac:dyDescent="0.3">
      <c r="A1495" t="s">
        <v>763</v>
      </c>
      <c r="B1495" s="18">
        <v>45587</v>
      </c>
      <c r="C1495" t="s">
        <v>42</v>
      </c>
      <c r="D1495" t="s">
        <v>90</v>
      </c>
      <c r="E1495">
        <v>7</v>
      </c>
      <c r="F1495">
        <v>34181.379999999997</v>
      </c>
      <c r="G1495" s="18">
        <v>45607</v>
      </c>
      <c r="H1495" s="18">
        <v>45608</v>
      </c>
      <c r="I1495">
        <v>6</v>
      </c>
      <c r="J1495">
        <v>239269.66</v>
      </c>
      <c r="K1495">
        <f>IF(tblPO[[#This Row],[Actual_Delivery_Date]]&lt;=tblPO[[#This Row],[Expected_Delivery_Date]],1,0)</f>
        <v>0</v>
      </c>
      <c r="L1495">
        <f>IF(tblPO[[#This Row],[Actual_Delivery_Date]]&gt;tblPO[[#This Row],[Expected_Delivery_Date]],1,0)</f>
        <v>1</v>
      </c>
      <c r="M1495">
        <f>tblPO[[#This Row],[Actual_Delivery_Date]]-tblPO[[#This Row],[PO_Date]]</f>
        <v>21</v>
      </c>
    </row>
    <row r="1496" spans="1:13" x14ac:dyDescent="0.3">
      <c r="A1496" t="s">
        <v>762</v>
      </c>
      <c r="B1496" s="18">
        <v>45573</v>
      </c>
      <c r="C1496" t="s">
        <v>72</v>
      </c>
      <c r="D1496" t="s">
        <v>221</v>
      </c>
      <c r="E1496">
        <v>17</v>
      </c>
      <c r="F1496">
        <v>1298.71</v>
      </c>
      <c r="G1496" s="18">
        <v>45589</v>
      </c>
      <c r="H1496" s="18">
        <v>45590</v>
      </c>
      <c r="I1496">
        <v>17</v>
      </c>
      <c r="J1496">
        <v>22078.07</v>
      </c>
      <c r="K1496">
        <f>IF(tblPO[[#This Row],[Actual_Delivery_Date]]&lt;=tblPO[[#This Row],[Expected_Delivery_Date]],1,0)</f>
        <v>0</v>
      </c>
      <c r="L1496">
        <f>IF(tblPO[[#This Row],[Actual_Delivery_Date]]&gt;tblPO[[#This Row],[Expected_Delivery_Date]],1,0)</f>
        <v>1</v>
      </c>
      <c r="M1496">
        <f>tblPO[[#This Row],[Actual_Delivery_Date]]-tblPO[[#This Row],[PO_Date]]</f>
        <v>17</v>
      </c>
    </row>
    <row r="1497" spans="1:13" x14ac:dyDescent="0.3">
      <c r="A1497" t="s">
        <v>761</v>
      </c>
      <c r="B1497" s="18">
        <v>45578</v>
      </c>
      <c r="C1497" t="s">
        <v>38</v>
      </c>
      <c r="D1497" t="s">
        <v>221</v>
      </c>
      <c r="E1497">
        <v>20</v>
      </c>
      <c r="F1497">
        <v>1959.46</v>
      </c>
      <c r="G1497" s="18">
        <v>45593</v>
      </c>
      <c r="H1497" s="18">
        <v>45590</v>
      </c>
      <c r="I1497">
        <v>20</v>
      </c>
      <c r="J1497">
        <v>39189.199999999997</v>
      </c>
      <c r="K1497">
        <f>IF(tblPO[[#This Row],[Actual_Delivery_Date]]&lt;=tblPO[[#This Row],[Expected_Delivery_Date]],1,0)</f>
        <v>1</v>
      </c>
      <c r="L1497">
        <f>IF(tblPO[[#This Row],[Actual_Delivery_Date]]&gt;tblPO[[#This Row],[Expected_Delivery_Date]],1,0)</f>
        <v>0</v>
      </c>
      <c r="M1497">
        <f>tblPO[[#This Row],[Actual_Delivery_Date]]-tblPO[[#This Row],[PO_Date]]</f>
        <v>12</v>
      </c>
    </row>
    <row r="1498" spans="1:13" x14ac:dyDescent="0.3">
      <c r="A1498" t="s">
        <v>760</v>
      </c>
      <c r="B1498" s="18">
        <v>45584</v>
      </c>
      <c r="C1498" t="s">
        <v>50</v>
      </c>
      <c r="D1498" t="s">
        <v>117</v>
      </c>
      <c r="E1498">
        <v>35</v>
      </c>
      <c r="F1498">
        <v>330.13</v>
      </c>
      <c r="G1498" s="18">
        <v>45590</v>
      </c>
      <c r="H1498" s="18">
        <v>45588</v>
      </c>
      <c r="I1498">
        <v>35</v>
      </c>
      <c r="J1498">
        <v>11554.55</v>
      </c>
      <c r="K1498">
        <f>IF(tblPO[[#This Row],[Actual_Delivery_Date]]&lt;=tblPO[[#This Row],[Expected_Delivery_Date]],1,0)</f>
        <v>1</v>
      </c>
      <c r="L1498">
        <f>IF(tblPO[[#This Row],[Actual_Delivery_Date]]&gt;tblPO[[#This Row],[Expected_Delivery_Date]],1,0)</f>
        <v>0</v>
      </c>
      <c r="M1498">
        <f>tblPO[[#This Row],[Actual_Delivery_Date]]-tblPO[[#This Row],[PO_Date]]</f>
        <v>4</v>
      </c>
    </row>
    <row r="1499" spans="1:13" x14ac:dyDescent="0.3">
      <c r="A1499" t="s">
        <v>759</v>
      </c>
      <c r="B1499" s="18">
        <v>45579</v>
      </c>
      <c r="C1499" t="s">
        <v>43</v>
      </c>
      <c r="D1499" t="s">
        <v>156</v>
      </c>
      <c r="E1499">
        <v>668</v>
      </c>
      <c r="F1499">
        <v>50.33</v>
      </c>
      <c r="G1499" s="18">
        <v>45594</v>
      </c>
      <c r="H1499" s="18">
        <v>45591</v>
      </c>
      <c r="I1499">
        <v>668</v>
      </c>
      <c r="J1499">
        <v>33620.44</v>
      </c>
      <c r="K1499">
        <f>IF(tblPO[[#This Row],[Actual_Delivery_Date]]&lt;=tblPO[[#This Row],[Expected_Delivery_Date]],1,0)</f>
        <v>1</v>
      </c>
      <c r="L1499">
        <f>IF(tblPO[[#This Row],[Actual_Delivery_Date]]&gt;tblPO[[#This Row],[Expected_Delivery_Date]],1,0)</f>
        <v>0</v>
      </c>
      <c r="M1499">
        <f>tblPO[[#This Row],[Actual_Delivery_Date]]-tblPO[[#This Row],[PO_Date]]</f>
        <v>12</v>
      </c>
    </row>
    <row r="1500" spans="1:13" x14ac:dyDescent="0.3">
      <c r="A1500" t="s">
        <v>758</v>
      </c>
      <c r="B1500" s="18">
        <v>45593</v>
      </c>
      <c r="C1500" t="s">
        <v>45</v>
      </c>
      <c r="D1500" t="s">
        <v>223</v>
      </c>
      <c r="E1500">
        <v>156</v>
      </c>
      <c r="F1500">
        <v>161.16999999999999</v>
      </c>
      <c r="G1500" s="18">
        <v>45597</v>
      </c>
      <c r="H1500" s="18">
        <v>45616</v>
      </c>
      <c r="I1500">
        <v>156</v>
      </c>
      <c r="J1500">
        <v>25142.52</v>
      </c>
      <c r="K1500">
        <f>IF(tblPO[[#This Row],[Actual_Delivery_Date]]&lt;=tblPO[[#This Row],[Expected_Delivery_Date]],1,0)</f>
        <v>0</v>
      </c>
      <c r="L1500">
        <f>IF(tblPO[[#This Row],[Actual_Delivery_Date]]&gt;tblPO[[#This Row],[Expected_Delivery_Date]],1,0)</f>
        <v>1</v>
      </c>
      <c r="M1500">
        <f>tblPO[[#This Row],[Actual_Delivery_Date]]-tblPO[[#This Row],[PO_Date]]</f>
        <v>23</v>
      </c>
    </row>
    <row r="1501" spans="1:13" x14ac:dyDescent="0.3">
      <c r="A1501" t="s">
        <v>757</v>
      </c>
      <c r="B1501" s="18">
        <v>45572</v>
      </c>
      <c r="C1501" t="s">
        <v>66</v>
      </c>
      <c r="D1501" t="s">
        <v>225</v>
      </c>
      <c r="E1501">
        <v>16</v>
      </c>
      <c r="F1501">
        <v>189.53</v>
      </c>
      <c r="G1501" s="18">
        <v>45580</v>
      </c>
      <c r="H1501" s="18">
        <v>45579</v>
      </c>
      <c r="I1501">
        <v>16</v>
      </c>
      <c r="J1501">
        <v>3032.48</v>
      </c>
      <c r="K1501">
        <f>IF(tblPO[[#This Row],[Actual_Delivery_Date]]&lt;=tblPO[[#This Row],[Expected_Delivery_Date]],1,0)</f>
        <v>1</v>
      </c>
      <c r="L1501">
        <f>IF(tblPO[[#This Row],[Actual_Delivery_Date]]&gt;tblPO[[#This Row],[Expected_Delivery_Date]],1,0)</f>
        <v>0</v>
      </c>
      <c r="M1501">
        <f>tblPO[[#This Row],[Actual_Delivery_Date]]-tblPO[[#This Row],[PO_Date]]</f>
        <v>7</v>
      </c>
    </row>
    <row r="1502" spans="1:13" x14ac:dyDescent="0.3">
      <c r="A1502" t="s">
        <v>756</v>
      </c>
      <c r="B1502" s="18">
        <v>45589</v>
      </c>
      <c r="C1502" t="s">
        <v>41</v>
      </c>
      <c r="D1502" t="s">
        <v>179</v>
      </c>
      <c r="E1502">
        <v>79</v>
      </c>
      <c r="F1502">
        <v>20.100000000000001</v>
      </c>
      <c r="G1502" s="18">
        <v>45606</v>
      </c>
      <c r="H1502" s="18">
        <v>45605</v>
      </c>
      <c r="I1502">
        <v>79</v>
      </c>
      <c r="J1502">
        <v>1587.9</v>
      </c>
      <c r="K1502">
        <f>IF(tblPO[[#This Row],[Actual_Delivery_Date]]&lt;=tblPO[[#This Row],[Expected_Delivery_Date]],1,0)</f>
        <v>1</v>
      </c>
      <c r="L1502">
        <f>IF(tblPO[[#This Row],[Actual_Delivery_Date]]&gt;tblPO[[#This Row],[Expected_Delivery_Date]],1,0)</f>
        <v>0</v>
      </c>
      <c r="M1502">
        <f>tblPO[[#This Row],[Actual_Delivery_Date]]-tblPO[[#This Row],[PO_Date]]</f>
        <v>16</v>
      </c>
    </row>
    <row r="1503" spans="1:13" x14ac:dyDescent="0.3">
      <c r="A1503" t="s">
        <v>755</v>
      </c>
      <c r="B1503" s="18">
        <v>45574</v>
      </c>
      <c r="C1503" t="s">
        <v>50</v>
      </c>
      <c r="D1503" t="s">
        <v>121</v>
      </c>
      <c r="E1503">
        <v>73</v>
      </c>
      <c r="F1503">
        <v>684.95</v>
      </c>
      <c r="G1503" s="18">
        <v>45591</v>
      </c>
      <c r="H1503" s="18">
        <v>45590</v>
      </c>
      <c r="I1503">
        <v>73</v>
      </c>
      <c r="J1503">
        <v>50001.35</v>
      </c>
      <c r="K1503">
        <f>IF(tblPO[[#This Row],[Actual_Delivery_Date]]&lt;=tblPO[[#This Row],[Expected_Delivery_Date]],1,0)</f>
        <v>1</v>
      </c>
      <c r="L1503">
        <f>IF(tblPO[[#This Row],[Actual_Delivery_Date]]&gt;tblPO[[#This Row],[Expected_Delivery_Date]],1,0)</f>
        <v>0</v>
      </c>
      <c r="M1503">
        <f>tblPO[[#This Row],[Actual_Delivery_Date]]-tblPO[[#This Row],[PO_Date]]</f>
        <v>16</v>
      </c>
    </row>
    <row r="1504" spans="1:13" x14ac:dyDescent="0.3">
      <c r="A1504" t="s">
        <v>754</v>
      </c>
      <c r="B1504" s="18">
        <v>45572</v>
      </c>
      <c r="C1504" t="s">
        <v>42</v>
      </c>
      <c r="D1504" t="s">
        <v>90</v>
      </c>
      <c r="E1504">
        <v>3</v>
      </c>
      <c r="F1504">
        <v>33512.800000000003</v>
      </c>
      <c r="G1504" s="18">
        <v>45601</v>
      </c>
      <c r="H1504" s="18">
        <v>45600</v>
      </c>
      <c r="I1504">
        <v>3</v>
      </c>
      <c r="J1504">
        <v>100538.4</v>
      </c>
      <c r="K1504">
        <f>IF(tblPO[[#This Row],[Actual_Delivery_Date]]&lt;=tblPO[[#This Row],[Expected_Delivery_Date]],1,0)</f>
        <v>1</v>
      </c>
      <c r="L1504">
        <f>IF(tblPO[[#This Row],[Actual_Delivery_Date]]&gt;tblPO[[#This Row],[Expected_Delivery_Date]],1,0)</f>
        <v>0</v>
      </c>
      <c r="M1504">
        <f>tblPO[[#This Row],[Actual_Delivery_Date]]-tblPO[[#This Row],[PO_Date]]</f>
        <v>28</v>
      </c>
    </row>
    <row r="1505" spans="1:13" x14ac:dyDescent="0.3">
      <c r="A1505" t="s">
        <v>753</v>
      </c>
      <c r="B1505" s="18">
        <v>45593</v>
      </c>
      <c r="C1505" t="s">
        <v>39</v>
      </c>
      <c r="D1505" t="s">
        <v>152</v>
      </c>
      <c r="E1505">
        <v>226</v>
      </c>
      <c r="F1505">
        <v>102.58</v>
      </c>
      <c r="G1505" s="18">
        <v>45620</v>
      </c>
      <c r="H1505" s="18">
        <v>45619</v>
      </c>
      <c r="I1505">
        <v>226</v>
      </c>
      <c r="J1505">
        <v>23183.08</v>
      </c>
      <c r="K1505">
        <f>IF(tblPO[[#This Row],[Actual_Delivery_Date]]&lt;=tblPO[[#This Row],[Expected_Delivery_Date]],1,0)</f>
        <v>1</v>
      </c>
      <c r="L1505">
        <f>IF(tblPO[[#This Row],[Actual_Delivery_Date]]&gt;tblPO[[#This Row],[Expected_Delivery_Date]],1,0)</f>
        <v>0</v>
      </c>
      <c r="M1505">
        <f>tblPO[[#This Row],[Actual_Delivery_Date]]-tblPO[[#This Row],[PO_Date]]</f>
        <v>26</v>
      </c>
    </row>
    <row r="1506" spans="1:13" x14ac:dyDescent="0.3">
      <c r="A1506" t="s">
        <v>752</v>
      </c>
      <c r="B1506" s="18">
        <v>45576</v>
      </c>
      <c r="C1506" t="s">
        <v>41</v>
      </c>
      <c r="D1506" t="s">
        <v>193</v>
      </c>
      <c r="E1506">
        <v>283</v>
      </c>
      <c r="F1506">
        <v>32.82</v>
      </c>
      <c r="G1506" s="18">
        <v>45588</v>
      </c>
      <c r="H1506" s="18">
        <v>45585</v>
      </c>
      <c r="I1506">
        <v>283</v>
      </c>
      <c r="J1506">
        <v>9288.06</v>
      </c>
      <c r="K1506">
        <f>IF(tblPO[[#This Row],[Actual_Delivery_Date]]&lt;=tblPO[[#This Row],[Expected_Delivery_Date]],1,0)</f>
        <v>1</v>
      </c>
      <c r="L1506">
        <f>IF(tblPO[[#This Row],[Actual_Delivery_Date]]&gt;tblPO[[#This Row],[Expected_Delivery_Date]],1,0)</f>
        <v>0</v>
      </c>
      <c r="M1506">
        <f>tblPO[[#This Row],[Actual_Delivery_Date]]-tblPO[[#This Row],[PO_Date]]</f>
        <v>9</v>
      </c>
    </row>
    <row r="1507" spans="1:13" x14ac:dyDescent="0.3">
      <c r="A1507" t="s">
        <v>751</v>
      </c>
      <c r="B1507" s="18">
        <v>45571</v>
      </c>
      <c r="C1507" t="s">
        <v>47</v>
      </c>
      <c r="D1507" t="s">
        <v>231</v>
      </c>
      <c r="E1507">
        <v>173</v>
      </c>
      <c r="F1507">
        <v>117.13</v>
      </c>
      <c r="G1507" s="18">
        <v>45586</v>
      </c>
      <c r="H1507" s="18">
        <v>45586</v>
      </c>
      <c r="I1507">
        <v>173</v>
      </c>
      <c r="J1507">
        <v>20263.490000000002</v>
      </c>
      <c r="K1507">
        <f>IF(tblPO[[#This Row],[Actual_Delivery_Date]]&lt;=tblPO[[#This Row],[Expected_Delivery_Date]],1,0)</f>
        <v>1</v>
      </c>
      <c r="L1507">
        <f>IF(tblPO[[#This Row],[Actual_Delivery_Date]]&gt;tblPO[[#This Row],[Expected_Delivery_Date]],1,0)</f>
        <v>0</v>
      </c>
      <c r="M1507">
        <f>tblPO[[#This Row],[Actual_Delivery_Date]]-tblPO[[#This Row],[PO_Date]]</f>
        <v>15</v>
      </c>
    </row>
    <row r="1508" spans="1:13" x14ac:dyDescent="0.3">
      <c r="A1508" t="s">
        <v>750</v>
      </c>
      <c r="B1508" s="18">
        <v>45590</v>
      </c>
      <c r="C1508" t="s">
        <v>39</v>
      </c>
      <c r="D1508" t="s">
        <v>152</v>
      </c>
      <c r="E1508">
        <v>420</v>
      </c>
      <c r="F1508">
        <v>103.32</v>
      </c>
      <c r="G1508" s="18">
        <v>45607</v>
      </c>
      <c r="H1508" s="18">
        <v>45610</v>
      </c>
      <c r="I1508">
        <v>378</v>
      </c>
      <c r="J1508">
        <v>43394.400000000001</v>
      </c>
      <c r="K1508">
        <f>IF(tblPO[[#This Row],[Actual_Delivery_Date]]&lt;=tblPO[[#This Row],[Expected_Delivery_Date]],1,0)</f>
        <v>0</v>
      </c>
      <c r="L1508">
        <f>IF(tblPO[[#This Row],[Actual_Delivery_Date]]&gt;tblPO[[#This Row],[Expected_Delivery_Date]],1,0)</f>
        <v>1</v>
      </c>
      <c r="M1508">
        <f>tblPO[[#This Row],[Actual_Delivery_Date]]-tblPO[[#This Row],[PO_Date]]</f>
        <v>20</v>
      </c>
    </row>
    <row r="1509" spans="1:13" x14ac:dyDescent="0.3">
      <c r="A1509" t="s">
        <v>749</v>
      </c>
      <c r="B1509" s="18">
        <v>45586</v>
      </c>
      <c r="C1509" t="s">
        <v>39</v>
      </c>
      <c r="D1509" t="s">
        <v>168</v>
      </c>
      <c r="E1509">
        <v>767</v>
      </c>
      <c r="F1509">
        <v>79.209999999999994</v>
      </c>
      <c r="G1509" s="18">
        <v>45615</v>
      </c>
      <c r="H1509" s="18">
        <v>45613</v>
      </c>
      <c r="I1509">
        <v>767</v>
      </c>
      <c r="J1509">
        <v>60754.07</v>
      </c>
      <c r="K1509">
        <f>IF(tblPO[[#This Row],[Actual_Delivery_Date]]&lt;=tblPO[[#This Row],[Expected_Delivery_Date]],1,0)</f>
        <v>1</v>
      </c>
      <c r="L1509">
        <f>IF(tblPO[[#This Row],[Actual_Delivery_Date]]&gt;tblPO[[#This Row],[Expected_Delivery_Date]],1,0)</f>
        <v>0</v>
      </c>
      <c r="M1509">
        <f>tblPO[[#This Row],[Actual_Delivery_Date]]-tblPO[[#This Row],[PO_Date]]</f>
        <v>27</v>
      </c>
    </row>
    <row r="1510" spans="1:13" x14ac:dyDescent="0.3">
      <c r="A1510" t="s">
        <v>748</v>
      </c>
      <c r="B1510" s="18">
        <v>45568</v>
      </c>
      <c r="C1510" t="s">
        <v>51</v>
      </c>
      <c r="D1510" t="s">
        <v>154</v>
      </c>
      <c r="E1510">
        <v>145</v>
      </c>
      <c r="F1510">
        <v>55.84</v>
      </c>
      <c r="G1510" s="18">
        <v>45583</v>
      </c>
      <c r="H1510" s="18">
        <v>45585</v>
      </c>
      <c r="I1510">
        <v>145</v>
      </c>
      <c r="J1510">
        <v>8096.8</v>
      </c>
      <c r="K1510">
        <f>IF(tblPO[[#This Row],[Actual_Delivery_Date]]&lt;=tblPO[[#This Row],[Expected_Delivery_Date]],1,0)</f>
        <v>0</v>
      </c>
      <c r="L1510">
        <f>IF(tblPO[[#This Row],[Actual_Delivery_Date]]&gt;tblPO[[#This Row],[Expected_Delivery_Date]],1,0)</f>
        <v>1</v>
      </c>
      <c r="M1510">
        <f>tblPO[[#This Row],[Actual_Delivery_Date]]-tblPO[[#This Row],[PO_Date]]</f>
        <v>17</v>
      </c>
    </row>
    <row r="1511" spans="1:13" x14ac:dyDescent="0.3">
      <c r="A1511" t="s">
        <v>747</v>
      </c>
      <c r="B1511" s="18">
        <v>45595</v>
      </c>
      <c r="C1511" t="s">
        <v>54</v>
      </c>
      <c r="D1511" t="s">
        <v>193</v>
      </c>
      <c r="E1511">
        <v>186</v>
      </c>
      <c r="F1511">
        <v>26.98</v>
      </c>
      <c r="G1511" s="18">
        <v>45610</v>
      </c>
      <c r="H1511" s="18">
        <v>45609</v>
      </c>
      <c r="I1511">
        <v>186</v>
      </c>
      <c r="J1511">
        <v>5018.28</v>
      </c>
      <c r="K1511">
        <f>IF(tblPO[[#This Row],[Actual_Delivery_Date]]&lt;=tblPO[[#This Row],[Expected_Delivery_Date]],1,0)</f>
        <v>1</v>
      </c>
      <c r="L1511">
        <f>IF(tblPO[[#This Row],[Actual_Delivery_Date]]&gt;tblPO[[#This Row],[Expected_Delivery_Date]],1,0)</f>
        <v>0</v>
      </c>
      <c r="M1511">
        <f>tblPO[[#This Row],[Actual_Delivery_Date]]-tblPO[[#This Row],[PO_Date]]</f>
        <v>14</v>
      </c>
    </row>
    <row r="1512" spans="1:13" x14ac:dyDescent="0.3">
      <c r="A1512" t="s">
        <v>746</v>
      </c>
      <c r="B1512" s="18">
        <v>45580</v>
      </c>
      <c r="C1512" t="s">
        <v>38</v>
      </c>
      <c r="D1512" t="s">
        <v>247</v>
      </c>
      <c r="E1512">
        <v>67</v>
      </c>
      <c r="F1512">
        <v>611.26</v>
      </c>
      <c r="G1512" s="18">
        <v>45584</v>
      </c>
      <c r="H1512" s="18">
        <v>45582</v>
      </c>
      <c r="I1512">
        <v>67</v>
      </c>
      <c r="J1512">
        <v>40954.42</v>
      </c>
      <c r="K1512">
        <f>IF(tblPO[[#This Row],[Actual_Delivery_Date]]&lt;=tblPO[[#This Row],[Expected_Delivery_Date]],1,0)</f>
        <v>1</v>
      </c>
      <c r="L1512">
        <f>IF(tblPO[[#This Row],[Actual_Delivery_Date]]&gt;tblPO[[#This Row],[Expected_Delivery_Date]],1,0)</f>
        <v>0</v>
      </c>
      <c r="M1512">
        <f>tblPO[[#This Row],[Actual_Delivery_Date]]-tblPO[[#This Row],[PO_Date]]</f>
        <v>2</v>
      </c>
    </row>
    <row r="1513" spans="1:13" x14ac:dyDescent="0.3">
      <c r="A1513" t="s">
        <v>745</v>
      </c>
      <c r="B1513" s="18">
        <v>45592</v>
      </c>
      <c r="C1513" t="s">
        <v>56</v>
      </c>
      <c r="D1513" t="s">
        <v>134</v>
      </c>
      <c r="E1513">
        <v>9</v>
      </c>
      <c r="F1513">
        <v>3636.77</v>
      </c>
      <c r="G1513" s="18">
        <v>45602</v>
      </c>
      <c r="H1513" s="18">
        <v>45600</v>
      </c>
      <c r="I1513">
        <v>9</v>
      </c>
      <c r="J1513">
        <v>32730.93</v>
      </c>
      <c r="K1513">
        <f>IF(tblPO[[#This Row],[Actual_Delivery_Date]]&lt;=tblPO[[#This Row],[Expected_Delivery_Date]],1,0)</f>
        <v>1</v>
      </c>
      <c r="L1513">
        <f>IF(tblPO[[#This Row],[Actual_Delivery_Date]]&gt;tblPO[[#This Row],[Expected_Delivery_Date]],1,0)</f>
        <v>0</v>
      </c>
      <c r="M1513">
        <f>tblPO[[#This Row],[Actual_Delivery_Date]]-tblPO[[#This Row],[PO_Date]]</f>
        <v>8</v>
      </c>
    </row>
    <row r="1514" spans="1:13" x14ac:dyDescent="0.3">
      <c r="A1514" t="s">
        <v>744</v>
      </c>
      <c r="B1514" s="18">
        <v>45575</v>
      </c>
      <c r="C1514" t="s">
        <v>59</v>
      </c>
      <c r="D1514" t="s">
        <v>86</v>
      </c>
      <c r="E1514">
        <v>13</v>
      </c>
      <c r="F1514">
        <v>205.23</v>
      </c>
      <c r="G1514" s="18">
        <v>45585</v>
      </c>
      <c r="H1514" s="18">
        <v>45604</v>
      </c>
      <c r="I1514">
        <v>13</v>
      </c>
      <c r="J1514">
        <v>2667.99</v>
      </c>
      <c r="K1514">
        <f>IF(tblPO[[#This Row],[Actual_Delivery_Date]]&lt;=tblPO[[#This Row],[Expected_Delivery_Date]],1,0)</f>
        <v>0</v>
      </c>
      <c r="L1514">
        <f>IF(tblPO[[#This Row],[Actual_Delivery_Date]]&gt;tblPO[[#This Row],[Expected_Delivery_Date]],1,0)</f>
        <v>1</v>
      </c>
      <c r="M1514">
        <f>tblPO[[#This Row],[Actual_Delivery_Date]]-tblPO[[#This Row],[PO_Date]]</f>
        <v>29</v>
      </c>
    </row>
    <row r="1515" spans="1:13" x14ac:dyDescent="0.3">
      <c r="A1515" t="s">
        <v>743</v>
      </c>
      <c r="B1515" s="18">
        <v>45583</v>
      </c>
      <c r="C1515" t="s">
        <v>50</v>
      </c>
      <c r="D1515" t="s">
        <v>115</v>
      </c>
      <c r="E1515">
        <v>19</v>
      </c>
      <c r="F1515">
        <v>3248.06</v>
      </c>
      <c r="G1515" s="18">
        <v>45592</v>
      </c>
      <c r="H1515" s="18">
        <v>45592</v>
      </c>
      <c r="I1515">
        <v>19</v>
      </c>
      <c r="J1515">
        <v>61713.14</v>
      </c>
      <c r="K1515">
        <f>IF(tblPO[[#This Row],[Actual_Delivery_Date]]&lt;=tblPO[[#This Row],[Expected_Delivery_Date]],1,0)</f>
        <v>1</v>
      </c>
      <c r="L1515">
        <f>IF(tblPO[[#This Row],[Actual_Delivery_Date]]&gt;tblPO[[#This Row],[Expected_Delivery_Date]],1,0)</f>
        <v>0</v>
      </c>
      <c r="M1515">
        <f>tblPO[[#This Row],[Actual_Delivery_Date]]-tblPO[[#This Row],[PO_Date]]</f>
        <v>9</v>
      </c>
    </row>
    <row r="1516" spans="1:13" x14ac:dyDescent="0.3">
      <c r="A1516" t="s">
        <v>742</v>
      </c>
      <c r="B1516" s="18">
        <v>45589</v>
      </c>
      <c r="C1516" t="s">
        <v>43</v>
      </c>
      <c r="D1516" t="s">
        <v>146</v>
      </c>
      <c r="E1516">
        <v>14</v>
      </c>
      <c r="F1516">
        <v>2601.11</v>
      </c>
      <c r="G1516" s="18">
        <v>45600</v>
      </c>
      <c r="H1516" s="18">
        <v>45599</v>
      </c>
      <c r="I1516">
        <v>14</v>
      </c>
      <c r="J1516">
        <v>36415.54</v>
      </c>
      <c r="K1516">
        <f>IF(tblPO[[#This Row],[Actual_Delivery_Date]]&lt;=tblPO[[#This Row],[Expected_Delivery_Date]],1,0)</f>
        <v>1</v>
      </c>
      <c r="L1516">
        <f>IF(tblPO[[#This Row],[Actual_Delivery_Date]]&gt;tblPO[[#This Row],[Expected_Delivery_Date]],1,0)</f>
        <v>0</v>
      </c>
      <c r="M1516">
        <f>tblPO[[#This Row],[Actual_Delivery_Date]]-tblPO[[#This Row],[PO_Date]]</f>
        <v>10</v>
      </c>
    </row>
    <row r="1517" spans="1:13" x14ac:dyDescent="0.3">
      <c r="A1517" t="s">
        <v>741</v>
      </c>
      <c r="B1517" s="18">
        <v>45594</v>
      </c>
      <c r="C1517" t="s">
        <v>44</v>
      </c>
      <c r="D1517" t="s">
        <v>201</v>
      </c>
      <c r="E1517">
        <v>423</v>
      </c>
      <c r="F1517">
        <v>36.700000000000003</v>
      </c>
      <c r="G1517" s="18">
        <v>45613</v>
      </c>
      <c r="H1517" s="18">
        <v>45612</v>
      </c>
      <c r="I1517">
        <v>404</v>
      </c>
      <c r="J1517">
        <v>15524.1</v>
      </c>
      <c r="K1517">
        <f>IF(tblPO[[#This Row],[Actual_Delivery_Date]]&lt;=tblPO[[#This Row],[Expected_Delivery_Date]],1,0)</f>
        <v>1</v>
      </c>
      <c r="L1517">
        <f>IF(tblPO[[#This Row],[Actual_Delivery_Date]]&gt;tblPO[[#This Row],[Expected_Delivery_Date]],1,0)</f>
        <v>0</v>
      </c>
      <c r="M1517">
        <f>tblPO[[#This Row],[Actual_Delivery_Date]]-tblPO[[#This Row],[PO_Date]]</f>
        <v>18</v>
      </c>
    </row>
    <row r="1518" spans="1:13" x14ac:dyDescent="0.3">
      <c r="A1518" t="s">
        <v>740</v>
      </c>
      <c r="B1518" s="18">
        <v>45573</v>
      </c>
      <c r="C1518" t="s">
        <v>39</v>
      </c>
      <c r="D1518" t="s">
        <v>166</v>
      </c>
      <c r="E1518">
        <v>769</v>
      </c>
      <c r="F1518">
        <v>99.55</v>
      </c>
      <c r="G1518" s="18">
        <v>45602</v>
      </c>
      <c r="H1518" s="18">
        <v>45599</v>
      </c>
      <c r="I1518">
        <v>769</v>
      </c>
      <c r="J1518">
        <v>76553.95</v>
      </c>
      <c r="K1518">
        <f>IF(tblPO[[#This Row],[Actual_Delivery_Date]]&lt;=tblPO[[#This Row],[Expected_Delivery_Date]],1,0)</f>
        <v>1</v>
      </c>
      <c r="L1518">
        <f>IF(tblPO[[#This Row],[Actual_Delivery_Date]]&gt;tblPO[[#This Row],[Expected_Delivery_Date]],1,0)</f>
        <v>0</v>
      </c>
      <c r="M1518">
        <f>tblPO[[#This Row],[Actual_Delivery_Date]]-tblPO[[#This Row],[PO_Date]]</f>
        <v>26</v>
      </c>
    </row>
    <row r="1519" spans="1:13" x14ac:dyDescent="0.3">
      <c r="A1519" t="s">
        <v>739</v>
      </c>
      <c r="B1519" s="18">
        <v>45581</v>
      </c>
      <c r="C1519" t="s">
        <v>40</v>
      </c>
      <c r="D1519" t="s">
        <v>117</v>
      </c>
      <c r="E1519">
        <v>191</v>
      </c>
      <c r="F1519">
        <v>349.05</v>
      </c>
      <c r="G1519" s="18">
        <v>45594</v>
      </c>
      <c r="H1519" s="18">
        <v>45592</v>
      </c>
      <c r="I1519">
        <v>191</v>
      </c>
      <c r="J1519">
        <v>66668.55</v>
      </c>
      <c r="K1519">
        <f>IF(tblPO[[#This Row],[Actual_Delivery_Date]]&lt;=tblPO[[#This Row],[Expected_Delivery_Date]],1,0)</f>
        <v>1</v>
      </c>
      <c r="L1519">
        <f>IF(tblPO[[#This Row],[Actual_Delivery_Date]]&gt;tblPO[[#This Row],[Expected_Delivery_Date]],1,0)</f>
        <v>0</v>
      </c>
      <c r="M1519">
        <f>tblPO[[#This Row],[Actual_Delivery_Date]]-tblPO[[#This Row],[PO_Date]]</f>
        <v>11</v>
      </c>
    </row>
    <row r="1520" spans="1:13" x14ac:dyDescent="0.3">
      <c r="A1520" t="s">
        <v>738</v>
      </c>
      <c r="B1520" s="18">
        <v>45592</v>
      </c>
      <c r="C1520" t="s">
        <v>64</v>
      </c>
      <c r="D1520" t="s">
        <v>119</v>
      </c>
      <c r="E1520">
        <v>19</v>
      </c>
      <c r="F1520">
        <v>6046.22</v>
      </c>
      <c r="G1520" s="18">
        <v>45602</v>
      </c>
      <c r="H1520" s="18">
        <v>45599</v>
      </c>
      <c r="I1520">
        <v>19</v>
      </c>
      <c r="J1520">
        <v>114878.18</v>
      </c>
      <c r="K1520">
        <f>IF(tblPO[[#This Row],[Actual_Delivery_Date]]&lt;=tblPO[[#This Row],[Expected_Delivery_Date]],1,0)</f>
        <v>1</v>
      </c>
      <c r="L1520">
        <f>IF(tblPO[[#This Row],[Actual_Delivery_Date]]&gt;tblPO[[#This Row],[Expected_Delivery_Date]],1,0)</f>
        <v>0</v>
      </c>
      <c r="M1520">
        <f>tblPO[[#This Row],[Actual_Delivery_Date]]-tblPO[[#This Row],[PO_Date]]</f>
        <v>7</v>
      </c>
    </row>
    <row r="1521" spans="1:13" x14ac:dyDescent="0.3">
      <c r="A1521" t="s">
        <v>737</v>
      </c>
      <c r="B1521" s="18">
        <v>45568</v>
      </c>
      <c r="C1521" t="s">
        <v>67</v>
      </c>
      <c r="D1521" t="s">
        <v>96</v>
      </c>
      <c r="E1521">
        <v>121</v>
      </c>
      <c r="F1521">
        <v>714.84</v>
      </c>
      <c r="G1521" s="18">
        <v>45585</v>
      </c>
      <c r="H1521" s="18">
        <v>45585</v>
      </c>
      <c r="I1521">
        <v>121</v>
      </c>
      <c r="J1521">
        <v>86495.64</v>
      </c>
      <c r="K1521">
        <f>IF(tblPO[[#This Row],[Actual_Delivery_Date]]&lt;=tblPO[[#This Row],[Expected_Delivery_Date]],1,0)</f>
        <v>1</v>
      </c>
      <c r="L1521">
        <f>IF(tblPO[[#This Row],[Actual_Delivery_Date]]&gt;tblPO[[#This Row],[Expected_Delivery_Date]],1,0)</f>
        <v>0</v>
      </c>
      <c r="M1521">
        <f>tblPO[[#This Row],[Actual_Delivery_Date]]-tblPO[[#This Row],[PO_Date]]</f>
        <v>17</v>
      </c>
    </row>
    <row r="1522" spans="1:13" x14ac:dyDescent="0.3">
      <c r="A1522" t="s">
        <v>736</v>
      </c>
      <c r="B1522" s="18">
        <v>45593</v>
      </c>
      <c r="C1522" t="s">
        <v>53</v>
      </c>
      <c r="D1522" t="s">
        <v>110</v>
      </c>
      <c r="E1522">
        <v>17</v>
      </c>
      <c r="F1522">
        <v>5338.88</v>
      </c>
      <c r="G1522" s="18">
        <v>45609</v>
      </c>
      <c r="H1522" s="18">
        <v>45608</v>
      </c>
      <c r="I1522">
        <v>16</v>
      </c>
      <c r="J1522">
        <v>90760.960000000006</v>
      </c>
      <c r="K1522">
        <f>IF(tblPO[[#This Row],[Actual_Delivery_Date]]&lt;=tblPO[[#This Row],[Expected_Delivery_Date]],1,0)</f>
        <v>1</v>
      </c>
      <c r="L1522">
        <f>IF(tblPO[[#This Row],[Actual_Delivery_Date]]&gt;tblPO[[#This Row],[Expected_Delivery_Date]],1,0)</f>
        <v>0</v>
      </c>
      <c r="M1522">
        <f>tblPO[[#This Row],[Actual_Delivery_Date]]-tblPO[[#This Row],[PO_Date]]</f>
        <v>15</v>
      </c>
    </row>
    <row r="1523" spans="1:13" x14ac:dyDescent="0.3">
      <c r="A1523" t="s">
        <v>735</v>
      </c>
      <c r="B1523" s="18">
        <v>45566</v>
      </c>
      <c r="C1523" t="s">
        <v>56</v>
      </c>
      <c r="D1523" t="s">
        <v>123</v>
      </c>
      <c r="E1523">
        <v>25</v>
      </c>
      <c r="F1523">
        <v>1058.57</v>
      </c>
      <c r="G1523" s="18">
        <v>45584</v>
      </c>
      <c r="H1523" s="18">
        <v>45582</v>
      </c>
      <c r="I1523">
        <v>25</v>
      </c>
      <c r="J1523">
        <v>26464.25</v>
      </c>
      <c r="K1523">
        <f>IF(tblPO[[#This Row],[Actual_Delivery_Date]]&lt;=tblPO[[#This Row],[Expected_Delivery_Date]],1,0)</f>
        <v>1</v>
      </c>
      <c r="L1523">
        <f>IF(tblPO[[#This Row],[Actual_Delivery_Date]]&gt;tblPO[[#This Row],[Expected_Delivery_Date]],1,0)</f>
        <v>0</v>
      </c>
      <c r="M1523">
        <f>tblPO[[#This Row],[Actual_Delivery_Date]]-tblPO[[#This Row],[PO_Date]]</f>
        <v>16</v>
      </c>
    </row>
    <row r="1524" spans="1:13" x14ac:dyDescent="0.3">
      <c r="A1524" t="s">
        <v>734</v>
      </c>
      <c r="B1524" s="18">
        <v>45583</v>
      </c>
      <c r="C1524" t="s">
        <v>40</v>
      </c>
      <c r="D1524" t="s">
        <v>136</v>
      </c>
      <c r="E1524">
        <v>89</v>
      </c>
      <c r="F1524">
        <v>691.33</v>
      </c>
      <c r="G1524" s="18">
        <v>45595</v>
      </c>
      <c r="H1524" s="18">
        <v>45595</v>
      </c>
      <c r="I1524">
        <v>89</v>
      </c>
      <c r="J1524">
        <v>61528.37</v>
      </c>
      <c r="K1524">
        <f>IF(tblPO[[#This Row],[Actual_Delivery_Date]]&lt;=tblPO[[#This Row],[Expected_Delivery_Date]],1,0)</f>
        <v>1</v>
      </c>
      <c r="L1524">
        <f>IF(tblPO[[#This Row],[Actual_Delivery_Date]]&gt;tblPO[[#This Row],[Expected_Delivery_Date]],1,0)</f>
        <v>0</v>
      </c>
      <c r="M1524">
        <f>tblPO[[#This Row],[Actual_Delivery_Date]]-tblPO[[#This Row],[PO_Date]]</f>
        <v>12</v>
      </c>
    </row>
    <row r="1525" spans="1:13" x14ac:dyDescent="0.3">
      <c r="A1525" t="s">
        <v>733</v>
      </c>
      <c r="B1525" s="18">
        <v>45576</v>
      </c>
      <c r="C1525" t="s">
        <v>60</v>
      </c>
      <c r="D1525" t="s">
        <v>125</v>
      </c>
      <c r="E1525">
        <v>160</v>
      </c>
      <c r="F1525">
        <v>710.28</v>
      </c>
      <c r="G1525" s="18">
        <v>45579</v>
      </c>
      <c r="H1525" s="18">
        <v>45585</v>
      </c>
      <c r="I1525">
        <v>160</v>
      </c>
      <c r="J1525">
        <v>113644.8</v>
      </c>
      <c r="K1525">
        <f>IF(tblPO[[#This Row],[Actual_Delivery_Date]]&lt;=tblPO[[#This Row],[Expected_Delivery_Date]],1,0)</f>
        <v>0</v>
      </c>
      <c r="L1525">
        <f>IF(tblPO[[#This Row],[Actual_Delivery_Date]]&gt;tblPO[[#This Row],[Expected_Delivery_Date]],1,0)</f>
        <v>1</v>
      </c>
      <c r="M1525">
        <f>tblPO[[#This Row],[Actual_Delivery_Date]]-tblPO[[#This Row],[PO_Date]]</f>
        <v>9</v>
      </c>
    </row>
    <row r="1526" spans="1:13" x14ac:dyDescent="0.3">
      <c r="A1526" t="s">
        <v>732</v>
      </c>
      <c r="B1526" s="18">
        <v>45585</v>
      </c>
      <c r="C1526" t="s">
        <v>39</v>
      </c>
      <c r="D1526" t="s">
        <v>166</v>
      </c>
      <c r="E1526">
        <v>122</v>
      </c>
      <c r="F1526">
        <v>97.44</v>
      </c>
      <c r="G1526" s="18">
        <v>45599</v>
      </c>
      <c r="H1526" s="18">
        <v>45597</v>
      </c>
      <c r="I1526">
        <v>122</v>
      </c>
      <c r="J1526">
        <v>11887.68</v>
      </c>
      <c r="K1526">
        <f>IF(tblPO[[#This Row],[Actual_Delivery_Date]]&lt;=tblPO[[#This Row],[Expected_Delivery_Date]],1,0)</f>
        <v>1</v>
      </c>
      <c r="L1526">
        <f>IF(tblPO[[#This Row],[Actual_Delivery_Date]]&gt;tblPO[[#This Row],[Expected_Delivery_Date]],1,0)</f>
        <v>0</v>
      </c>
      <c r="M1526">
        <f>tblPO[[#This Row],[Actual_Delivery_Date]]-tblPO[[#This Row],[PO_Date]]</f>
        <v>12</v>
      </c>
    </row>
    <row r="1527" spans="1:13" x14ac:dyDescent="0.3">
      <c r="A1527" t="s">
        <v>731</v>
      </c>
      <c r="B1527" s="18">
        <v>45592</v>
      </c>
      <c r="C1527" t="s">
        <v>39</v>
      </c>
      <c r="D1527" t="s">
        <v>170</v>
      </c>
      <c r="E1527">
        <v>233</v>
      </c>
      <c r="F1527">
        <v>95.57</v>
      </c>
      <c r="G1527" s="18">
        <v>45609</v>
      </c>
      <c r="H1527" s="18">
        <v>45609</v>
      </c>
      <c r="I1527">
        <v>233</v>
      </c>
      <c r="J1527">
        <v>22267.81</v>
      </c>
      <c r="K1527">
        <f>IF(tblPO[[#This Row],[Actual_Delivery_Date]]&lt;=tblPO[[#This Row],[Expected_Delivery_Date]],1,0)</f>
        <v>1</v>
      </c>
      <c r="L1527">
        <f>IF(tblPO[[#This Row],[Actual_Delivery_Date]]&gt;tblPO[[#This Row],[Expected_Delivery_Date]],1,0)</f>
        <v>0</v>
      </c>
      <c r="M1527">
        <f>tblPO[[#This Row],[Actual_Delivery_Date]]-tblPO[[#This Row],[PO_Date]]</f>
        <v>17</v>
      </c>
    </row>
    <row r="1528" spans="1:13" x14ac:dyDescent="0.3">
      <c r="A1528" t="s">
        <v>730</v>
      </c>
      <c r="B1528" s="18">
        <v>45584</v>
      </c>
      <c r="C1528" t="s">
        <v>46</v>
      </c>
      <c r="D1528" t="s">
        <v>100</v>
      </c>
      <c r="E1528">
        <v>7</v>
      </c>
      <c r="F1528">
        <v>54400.98</v>
      </c>
      <c r="G1528" s="18">
        <v>45608</v>
      </c>
      <c r="H1528" s="18">
        <v>45608</v>
      </c>
      <c r="I1528">
        <v>7</v>
      </c>
      <c r="J1528">
        <v>380806.86</v>
      </c>
      <c r="K1528">
        <f>IF(tblPO[[#This Row],[Actual_Delivery_Date]]&lt;=tblPO[[#This Row],[Expected_Delivery_Date]],1,0)</f>
        <v>1</v>
      </c>
      <c r="L1528">
        <f>IF(tblPO[[#This Row],[Actual_Delivery_Date]]&gt;tblPO[[#This Row],[Expected_Delivery_Date]],1,0)</f>
        <v>0</v>
      </c>
      <c r="M1528">
        <f>tblPO[[#This Row],[Actual_Delivery_Date]]-tblPO[[#This Row],[PO_Date]]</f>
        <v>24</v>
      </c>
    </row>
    <row r="1529" spans="1:13" x14ac:dyDescent="0.3">
      <c r="A1529" t="s">
        <v>729</v>
      </c>
      <c r="B1529" s="18">
        <v>45569</v>
      </c>
      <c r="C1529" t="s">
        <v>42</v>
      </c>
      <c r="D1529" t="s">
        <v>106</v>
      </c>
      <c r="E1529">
        <v>3</v>
      </c>
      <c r="F1529">
        <v>23197.02</v>
      </c>
      <c r="G1529" s="18">
        <v>45590</v>
      </c>
      <c r="H1529" s="18">
        <v>45590</v>
      </c>
      <c r="I1529">
        <v>3</v>
      </c>
      <c r="J1529">
        <v>69591.06</v>
      </c>
      <c r="K1529">
        <f>IF(tblPO[[#This Row],[Actual_Delivery_Date]]&lt;=tblPO[[#This Row],[Expected_Delivery_Date]],1,0)</f>
        <v>1</v>
      </c>
      <c r="L1529">
        <f>IF(tblPO[[#This Row],[Actual_Delivery_Date]]&gt;tblPO[[#This Row],[Expected_Delivery_Date]],1,0)</f>
        <v>0</v>
      </c>
      <c r="M1529">
        <f>tblPO[[#This Row],[Actual_Delivery_Date]]-tblPO[[#This Row],[PO_Date]]</f>
        <v>21</v>
      </c>
    </row>
    <row r="1530" spans="1:13" x14ac:dyDescent="0.3">
      <c r="A1530" t="s">
        <v>728</v>
      </c>
      <c r="B1530" s="18">
        <v>45578</v>
      </c>
      <c r="C1530" t="s">
        <v>49</v>
      </c>
      <c r="D1530" t="s">
        <v>195</v>
      </c>
      <c r="E1530">
        <v>76</v>
      </c>
      <c r="F1530">
        <v>553.27</v>
      </c>
      <c r="G1530" s="18">
        <v>45587</v>
      </c>
      <c r="H1530" s="18">
        <v>45584</v>
      </c>
      <c r="I1530">
        <v>76</v>
      </c>
      <c r="J1530">
        <v>42048.52</v>
      </c>
      <c r="K1530">
        <f>IF(tblPO[[#This Row],[Actual_Delivery_Date]]&lt;=tblPO[[#This Row],[Expected_Delivery_Date]],1,0)</f>
        <v>1</v>
      </c>
      <c r="L1530">
        <f>IF(tblPO[[#This Row],[Actual_Delivery_Date]]&gt;tblPO[[#This Row],[Expected_Delivery_Date]],1,0)</f>
        <v>0</v>
      </c>
      <c r="M1530">
        <f>tblPO[[#This Row],[Actual_Delivery_Date]]-tblPO[[#This Row],[PO_Date]]</f>
        <v>6</v>
      </c>
    </row>
    <row r="1531" spans="1:13" x14ac:dyDescent="0.3">
      <c r="A1531" t="s">
        <v>727</v>
      </c>
      <c r="B1531" s="18">
        <v>45566</v>
      </c>
      <c r="C1531" t="s">
        <v>62</v>
      </c>
      <c r="D1531" t="s">
        <v>183</v>
      </c>
      <c r="E1531">
        <v>313</v>
      </c>
      <c r="F1531">
        <v>10.8</v>
      </c>
      <c r="G1531" s="18">
        <v>45570</v>
      </c>
      <c r="H1531" s="18">
        <v>45576</v>
      </c>
      <c r="I1531">
        <v>313</v>
      </c>
      <c r="J1531">
        <v>3380.4</v>
      </c>
      <c r="K1531">
        <f>IF(tblPO[[#This Row],[Actual_Delivery_Date]]&lt;=tblPO[[#This Row],[Expected_Delivery_Date]],1,0)</f>
        <v>0</v>
      </c>
      <c r="L1531">
        <f>IF(tblPO[[#This Row],[Actual_Delivery_Date]]&gt;tblPO[[#This Row],[Expected_Delivery_Date]],1,0)</f>
        <v>1</v>
      </c>
      <c r="M1531">
        <f>tblPO[[#This Row],[Actual_Delivery_Date]]-tblPO[[#This Row],[PO_Date]]</f>
        <v>10</v>
      </c>
    </row>
    <row r="1532" spans="1:13" x14ac:dyDescent="0.3">
      <c r="A1532" t="s">
        <v>726</v>
      </c>
      <c r="B1532" s="18">
        <v>45566</v>
      </c>
      <c r="C1532" t="s">
        <v>41</v>
      </c>
      <c r="D1532" t="s">
        <v>207</v>
      </c>
      <c r="E1532">
        <v>591</v>
      </c>
      <c r="F1532">
        <v>10.75</v>
      </c>
      <c r="G1532" s="18">
        <v>45569</v>
      </c>
      <c r="H1532" s="18">
        <v>45568</v>
      </c>
      <c r="I1532">
        <v>578</v>
      </c>
      <c r="J1532">
        <v>6353.25</v>
      </c>
      <c r="K1532">
        <f>IF(tblPO[[#This Row],[Actual_Delivery_Date]]&lt;=tblPO[[#This Row],[Expected_Delivery_Date]],1,0)</f>
        <v>1</v>
      </c>
      <c r="L1532">
        <f>IF(tblPO[[#This Row],[Actual_Delivery_Date]]&gt;tblPO[[#This Row],[Expected_Delivery_Date]],1,0)</f>
        <v>0</v>
      </c>
      <c r="M1532">
        <f>tblPO[[#This Row],[Actual_Delivery_Date]]-tblPO[[#This Row],[PO_Date]]</f>
        <v>2</v>
      </c>
    </row>
    <row r="1533" spans="1:13" x14ac:dyDescent="0.3">
      <c r="A1533" t="s">
        <v>725</v>
      </c>
      <c r="B1533" s="18">
        <v>45596</v>
      </c>
      <c r="C1533" t="s">
        <v>42</v>
      </c>
      <c r="D1533" t="s">
        <v>92</v>
      </c>
      <c r="E1533">
        <v>4</v>
      </c>
      <c r="F1533">
        <v>4589.58</v>
      </c>
      <c r="G1533" s="18">
        <v>45613</v>
      </c>
      <c r="H1533" s="18">
        <v>45613</v>
      </c>
      <c r="I1533">
        <v>4</v>
      </c>
      <c r="J1533">
        <v>18358.32</v>
      </c>
      <c r="K1533">
        <f>IF(tblPO[[#This Row],[Actual_Delivery_Date]]&lt;=tblPO[[#This Row],[Expected_Delivery_Date]],1,0)</f>
        <v>1</v>
      </c>
      <c r="L1533">
        <f>IF(tblPO[[#This Row],[Actual_Delivery_Date]]&gt;tblPO[[#This Row],[Expected_Delivery_Date]],1,0)</f>
        <v>0</v>
      </c>
      <c r="M1533">
        <f>tblPO[[#This Row],[Actual_Delivery_Date]]-tblPO[[#This Row],[PO_Date]]</f>
        <v>17</v>
      </c>
    </row>
    <row r="1534" spans="1:13" x14ac:dyDescent="0.3">
      <c r="A1534" t="s">
        <v>724</v>
      </c>
      <c r="B1534" s="18">
        <v>45593</v>
      </c>
      <c r="C1534" t="s">
        <v>55</v>
      </c>
      <c r="D1534" t="s">
        <v>239</v>
      </c>
      <c r="E1534">
        <v>149</v>
      </c>
      <c r="F1534">
        <v>110.45</v>
      </c>
      <c r="G1534" s="18">
        <v>45609</v>
      </c>
      <c r="H1534" s="18">
        <v>45607</v>
      </c>
      <c r="I1534">
        <v>149</v>
      </c>
      <c r="J1534">
        <v>16457.05</v>
      </c>
      <c r="K1534">
        <f>IF(tblPO[[#This Row],[Actual_Delivery_Date]]&lt;=tblPO[[#This Row],[Expected_Delivery_Date]],1,0)</f>
        <v>1</v>
      </c>
      <c r="L1534">
        <f>IF(tblPO[[#This Row],[Actual_Delivery_Date]]&gt;tblPO[[#This Row],[Expected_Delivery_Date]],1,0)</f>
        <v>0</v>
      </c>
      <c r="M1534">
        <f>tblPO[[#This Row],[Actual_Delivery_Date]]-tblPO[[#This Row],[PO_Date]]</f>
        <v>14</v>
      </c>
    </row>
    <row r="1535" spans="1:13" x14ac:dyDescent="0.3">
      <c r="A1535" t="s">
        <v>723</v>
      </c>
      <c r="B1535" s="18">
        <v>45582</v>
      </c>
      <c r="C1535" t="s">
        <v>42</v>
      </c>
      <c r="D1535" t="s">
        <v>88</v>
      </c>
      <c r="E1535">
        <v>3</v>
      </c>
      <c r="F1535">
        <v>19433.39</v>
      </c>
      <c r="G1535" s="18">
        <v>45598</v>
      </c>
      <c r="H1535" s="18">
        <v>45598</v>
      </c>
      <c r="I1535">
        <v>2</v>
      </c>
      <c r="J1535">
        <v>58300.17</v>
      </c>
      <c r="K1535">
        <f>IF(tblPO[[#This Row],[Actual_Delivery_Date]]&lt;=tblPO[[#This Row],[Expected_Delivery_Date]],1,0)</f>
        <v>1</v>
      </c>
      <c r="L1535">
        <f>IF(tblPO[[#This Row],[Actual_Delivery_Date]]&gt;tblPO[[#This Row],[Expected_Delivery_Date]],1,0)</f>
        <v>0</v>
      </c>
      <c r="M1535">
        <f>tblPO[[#This Row],[Actual_Delivery_Date]]-tblPO[[#This Row],[PO_Date]]</f>
        <v>16</v>
      </c>
    </row>
    <row r="1536" spans="1:13" x14ac:dyDescent="0.3">
      <c r="A1536" t="s">
        <v>722</v>
      </c>
      <c r="B1536" s="18">
        <v>45591</v>
      </c>
      <c r="C1536" t="s">
        <v>61</v>
      </c>
      <c r="D1536" t="s">
        <v>217</v>
      </c>
      <c r="E1536">
        <v>173</v>
      </c>
      <c r="F1536">
        <v>25.41</v>
      </c>
      <c r="G1536" s="18">
        <v>45603</v>
      </c>
      <c r="H1536" s="18">
        <v>45610</v>
      </c>
      <c r="I1536">
        <v>173</v>
      </c>
      <c r="J1536">
        <v>4395.93</v>
      </c>
      <c r="K1536">
        <f>IF(tblPO[[#This Row],[Actual_Delivery_Date]]&lt;=tblPO[[#This Row],[Expected_Delivery_Date]],1,0)</f>
        <v>0</v>
      </c>
      <c r="L1536">
        <f>IF(tblPO[[#This Row],[Actual_Delivery_Date]]&gt;tblPO[[#This Row],[Expected_Delivery_Date]],1,0)</f>
        <v>1</v>
      </c>
      <c r="M1536">
        <f>tblPO[[#This Row],[Actual_Delivery_Date]]-tblPO[[#This Row],[PO_Date]]</f>
        <v>19</v>
      </c>
    </row>
    <row r="1537" spans="1:13" x14ac:dyDescent="0.3">
      <c r="A1537" t="s">
        <v>721</v>
      </c>
      <c r="B1537" s="18">
        <v>45594</v>
      </c>
      <c r="C1537" t="s">
        <v>38</v>
      </c>
      <c r="D1537" t="s">
        <v>241</v>
      </c>
      <c r="E1537">
        <v>7</v>
      </c>
      <c r="F1537">
        <v>3223.07</v>
      </c>
      <c r="G1537" s="18">
        <v>45600</v>
      </c>
      <c r="H1537" s="18">
        <v>45598</v>
      </c>
      <c r="I1537">
        <v>7</v>
      </c>
      <c r="J1537">
        <v>22561.49</v>
      </c>
      <c r="K1537">
        <f>IF(tblPO[[#This Row],[Actual_Delivery_Date]]&lt;=tblPO[[#This Row],[Expected_Delivery_Date]],1,0)</f>
        <v>1</v>
      </c>
      <c r="L1537">
        <f>IF(tblPO[[#This Row],[Actual_Delivery_Date]]&gt;tblPO[[#This Row],[Expected_Delivery_Date]],1,0)</f>
        <v>0</v>
      </c>
      <c r="M1537">
        <f>tblPO[[#This Row],[Actual_Delivery_Date]]-tblPO[[#This Row],[PO_Date]]</f>
        <v>4</v>
      </c>
    </row>
    <row r="1538" spans="1:13" x14ac:dyDescent="0.3">
      <c r="A1538" t="s">
        <v>720</v>
      </c>
      <c r="B1538" s="18">
        <v>45595</v>
      </c>
      <c r="C1538" t="s">
        <v>60</v>
      </c>
      <c r="D1538" t="s">
        <v>113</v>
      </c>
      <c r="E1538">
        <v>126</v>
      </c>
      <c r="F1538">
        <v>341.1</v>
      </c>
      <c r="G1538" s="18">
        <v>45610</v>
      </c>
      <c r="H1538" s="18">
        <v>45611</v>
      </c>
      <c r="I1538">
        <v>126</v>
      </c>
      <c r="J1538">
        <v>42978.6</v>
      </c>
      <c r="K1538">
        <f>IF(tblPO[[#This Row],[Actual_Delivery_Date]]&lt;=tblPO[[#This Row],[Expected_Delivery_Date]],1,0)</f>
        <v>0</v>
      </c>
      <c r="L1538">
        <f>IF(tblPO[[#This Row],[Actual_Delivery_Date]]&gt;tblPO[[#This Row],[Expected_Delivery_Date]],1,0)</f>
        <v>1</v>
      </c>
      <c r="M1538">
        <f>tblPO[[#This Row],[Actual_Delivery_Date]]-tblPO[[#This Row],[PO_Date]]</f>
        <v>16</v>
      </c>
    </row>
    <row r="1539" spans="1:13" x14ac:dyDescent="0.3">
      <c r="A1539" t="s">
        <v>719</v>
      </c>
      <c r="B1539" s="18">
        <v>45570</v>
      </c>
      <c r="C1539" t="s">
        <v>63</v>
      </c>
      <c r="D1539" t="s">
        <v>174</v>
      </c>
      <c r="E1539">
        <v>424</v>
      </c>
      <c r="F1539">
        <v>48.01</v>
      </c>
      <c r="G1539" s="18">
        <v>45589</v>
      </c>
      <c r="H1539" s="18">
        <v>45593</v>
      </c>
      <c r="I1539">
        <v>424</v>
      </c>
      <c r="J1539">
        <v>20356.240000000002</v>
      </c>
      <c r="K1539">
        <f>IF(tblPO[[#This Row],[Actual_Delivery_Date]]&lt;=tblPO[[#This Row],[Expected_Delivery_Date]],1,0)</f>
        <v>0</v>
      </c>
      <c r="L1539">
        <f>IF(tblPO[[#This Row],[Actual_Delivery_Date]]&gt;tblPO[[#This Row],[Expected_Delivery_Date]],1,0)</f>
        <v>1</v>
      </c>
      <c r="M1539">
        <f>tblPO[[#This Row],[Actual_Delivery_Date]]-tblPO[[#This Row],[PO_Date]]</f>
        <v>23</v>
      </c>
    </row>
    <row r="1540" spans="1:13" x14ac:dyDescent="0.3">
      <c r="A1540" t="s">
        <v>718</v>
      </c>
      <c r="B1540" s="18">
        <v>45595</v>
      </c>
      <c r="C1540" t="s">
        <v>38</v>
      </c>
      <c r="D1540" t="s">
        <v>227</v>
      </c>
      <c r="E1540">
        <v>3</v>
      </c>
      <c r="F1540">
        <v>1204.1600000000001</v>
      </c>
      <c r="G1540" s="18">
        <v>45613</v>
      </c>
      <c r="H1540" s="18">
        <v>45610</v>
      </c>
      <c r="I1540">
        <v>3</v>
      </c>
      <c r="J1540">
        <v>3612.48</v>
      </c>
      <c r="K1540">
        <f>IF(tblPO[[#This Row],[Actual_Delivery_Date]]&lt;=tblPO[[#This Row],[Expected_Delivery_Date]],1,0)</f>
        <v>1</v>
      </c>
      <c r="L1540">
        <f>IF(tblPO[[#This Row],[Actual_Delivery_Date]]&gt;tblPO[[#This Row],[Expected_Delivery_Date]],1,0)</f>
        <v>0</v>
      </c>
      <c r="M1540">
        <f>tblPO[[#This Row],[Actual_Delivery_Date]]-tblPO[[#This Row],[PO_Date]]</f>
        <v>15</v>
      </c>
    </row>
    <row r="1541" spans="1:13" x14ac:dyDescent="0.3">
      <c r="A1541" t="s">
        <v>717</v>
      </c>
      <c r="B1541" s="18">
        <v>45595</v>
      </c>
      <c r="C1541" t="s">
        <v>43</v>
      </c>
      <c r="D1541" t="s">
        <v>174</v>
      </c>
      <c r="E1541">
        <v>378</v>
      </c>
      <c r="F1541">
        <v>34.65</v>
      </c>
      <c r="G1541" s="18">
        <v>45610</v>
      </c>
      <c r="H1541" s="18">
        <v>45608</v>
      </c>
      <c r="I1541">
        <v>378</v>
      </c>
      <c r="J1541">
        <v>13097.7</v>
      </c>
      <c r="K1541">
        <f>IF(tblPO[[#This Row],[Actual_Delivery_Date]]&lt;=tblPO[[#This Row],[Expected_Delivery_Date]],1,0)</f>
        <v>1</v>
      </c>
      <c r="L1541">
        <f>IF(tblPO[[#This Row],[Actual_Delivery_Date]]&gt;tblPO[[#This Row],[Expected_Delivery_Date]],1,0)</f>
        <v>0</v>
      </c>
      <c r="M1541">
        <f>tblPO[[#This Row],[Actual_Delivery_Date]]-tblPO[[#This Row],[PO_Date]]</f>
        <v>13</v>
      </c>
    </row>
    <row r="1542" spans="1:13" x14ac:dyDescent="0.3">
      <c r="A1542" t="s">
        <v>716</v>
      </c>
      <c r="B1542" s="18">
        <v>45575</v>
      </c>
      <c r="C1542" t="s">
        <v>48</v>
      </c>
      <c r="D1542" t="s">
        <v>172</v>
      </c>
      <c r="E1542">
        <v>252</v>
      </c>
      <c r="F1542">
        <v>41.43</v>
      </c>
      <c r="G1542" s="18">
        <v>45600</v>
      </c>
      <c r="H1542" s="18">
        <v>45600</v>
      </c>
      <c r="I1542">
        <v>252</v>
      </c>
      <c r="J1542">
        <v>10440.36</v>
      </c>
      <c r="K1542">
        <f>IF(tblPO[[#This Row],[Actual_Delivery_Date]]&lt;=tblPO[[#This Row],[Expected_Delivery_Date]],1,0)</f>
        <v>1</v>
      </c>
      <c r="L1542">
        <f>IF(tblPO[[#This Row],[Actual_Delivery_Date]]&gt;tblPO[[#This Row],[Expected_Delivery_Date]],1,0)</f>
        <v>0</v>
      </c>
      <c r="M1542">
        <f>tblPO[[#This Row],[Actual_Delivery_Date]]-tblPO[[#This Row],[PO_Date]]</f>
        <v>25</v>
      </c>
    </row>
    <row r="1543" spans="1:13" x14ac:dyDescent="0.3">
      <c r="A1543" t="s">
        <v>715</v>
      </c>
      <c r="B1543" s="18">
        <v>45583</v>
      </c>
      <c r="C1543" t="s">
        <v>46</v>
      </c>
      <c r="D1543" t="s">
        <v>110</v>
      </c>
      <c r="E1543">
        <v>12</v>
      </c>
      <c r="F1543">
        <v>5621.06</v>
      </c>
      <c r="G1543" s="18">
        <v>45610</v>
      </c>
      <c r="H1543" s="18">
        <v>45609</v>
      </c>
      <c r="I1543">
        <v>12</v>
      </c>
      <c r="J1543">
        <v>67452.72</v>
      </c>
      <c r="K1543">
        <f>IF(tblPO[[#This Row],[Actual_Delivery_Date]]&lt;=tblPO[[#This Row],[Expected_Delivery_Date]],1,0)</f>
        <v>1</v>
      </c>
      <c r="L1543">
        <f>IF(tblPO[[#This Row],[Actual_Delivery_Date]]&gt;tblPO[[#This Row],[Expected_Delivery_Date]],1,0)</f>
        <v>0</v>
      </c>
      <c r="M1543">
        <f>tblPO[[#This Row],[Actual_Delivery_Date]]-tblPO[[#This Row],[PO_Date]]</f>
        <v>26</v>
      </c>
    </row>
    <row r="1544" spans="1:13" x14ac:dyDescent="0.3">
      <c r="A1544" t="s">
        <v>714</v>
      </c>
      <c r="B1544" s="18">
        <v>45588</v>
      </c>
      <c r="C1544" t="s">
        <v>39</v>
      </c>
      <c r="D1544" t="s">
        <v>152</v>
      </c>
      <c r="E1544">
        <v>750</v>
      </c>
      <c r="F1544">
        <v>106.09</v>
      </c>
      <c r="G1544" s="18">
        <v>45601</v>
      </c>
      <c r="H1544" s="18">
        <v>45598</v>
      </c>
      <c r="I1544">
        <v>750</v>
      </c>
      <c r="J1544">
        <v>79567.5</v>
      </c>
      <c r="K1544">
        <f>IF(tblPO[[#This Row],[Actual_Delivery_Date]]&lt;=tblPO[[#This Row],[Expected_Delivery_Date]],1,0)</f>
        <v>1</v>
      </c>
      <c r="L1544">
        <f>IF(tblPO[[#This Row],[Actual_Delivery_Date]]&gt;tblPO[[#This Row],[Expected_Delivery_Date]],1,0)</f>
        <v>0</v>
      </c>
      <c r="M1544">
        <f>tblPO[[#This Row],[Actual_Delivery_Date]]-tblPO[[#This Row],[PO_Date]]</f>
        <v>10</v>
      </c>
    </row>
    <row r="1545" spans="1:13" x14ac:dyDescent="0.3">
      <c r="A1545" t="s">
        <v>713</v>
      </c>
      <c r="B1545" s="18">
        <v>45589</v>
      </c>
      <c r="C1545" t="s">
        <v>38</v>
      </c>
      <c r="D1545" t="s">
        <v>247</v>
      </c>
      <c r="E1545">
        <v>160</v>
      </c>
      <c r="F1545">
        <v>610.42999999999995</v>
      </c>
      <c r="G1545" s="18">
        <v>45597</v>
      </c>
      <c r="H1545" s="18">
        <v>45594</v>
      </c>
      <c r="I1545">
        <v>160</v>
      </c>
      <c r="J1545">
        <v>97668.800000000003</v>
      </c>
      <c r="K1545">
        <f>IF(tblPO[[#This Row],[Actual_Delivery_Date]]&lt;=tblPO[[#This Row],[Expected_Delivery_Date]],1,0)</f>
        <v>1</v>
      </c>
      <c r="L1545">
        <f>IF(tblPO[[#This Row],[Actual_Delivery_Date]]&gt;tblPO[[#This Row],[Expected_Delivery_Date]],1,0)</f>
        <v>0</v>
      </c>
      <c r="M1545">
        <f>tblPO[[#This Row],[Actual_Delivery_Date]]-tblPO[[#This Row],[PO_Date]]</f>
        <v>5</v>
      </c>
    </row>
    <row r="1546" spans="1:13" x14ac:dyDescent="0.3">
      <c r="A1546" t="s">
        <v>712</v>
      </c>
      <c r="B1546" s="18">
        <v>45572</v>
      </c>
      <c r="C1546" t="s">
        <v>61</v>
      </c>
      <c r="D1546" t="s">
        <v>249</v>
      </c>
      <c r="E1546">
        <v>444</v>
      </c>
      <c r="F1546">
        <v>65.73</v>
      </c>
      <c r="G1546" s="18">
        <v>45586</v>
      </c>
      <c r="H1546" s="18">
        <v>45592</v>
      </c>
      <c r="I1546">
        <v>444</v>
      </c>
      <c r="J1546">
        <v>29184.12</v>
      </c>
      <c r="K1546">
        <f>IF(tblPO[[#This Row],[Actual_Delivery_Date]]&lt;=tblPO[[#This Row],[Expected_Delivery_Date]],1,0)</f>
        <v>0</v>
      </c>
      <c r="L1546">
        <f>IF(tblPO[[#This Row],[Actual_Delivery_Date]]&gt;tblPO[[#This Row],[Expected_Delivery_Date]],1,0)</f>
        <v>1</v>
      </c>
      <c r="M1546">
        <f>tblPO[[#This Row],[Actual_Delivery_Date]]-tblPO[[#This Row],[PO_Date]]</f>
        <v>20</v>
      </c>
    </row>
    <row r="1547" spans="1:13" x14ac:dyDescent="0.3">
      <c r="A1547" t="s">
        <v>711</v>
      </c>
      <c r="B1547" s="18">
        <v>45582</v>
      </c>
      <c r="C1547" t="s">
        <v>39</v>
      </c>
      <c r="D1547" t="s">
        <v>156</v>
      </c>
      <c r="E1547">
        <v>570</v>
      </c>
      <c r="F1547">
        <v>66.84</v>
      </c>
      <c r="G1547" s="18">
        <v>45599</v>
      </c>
      <c r="H1547" s="18">
        <v>45596</v>
      </c>
      <c r="I1547">
        <v>570</v>
      </c>
      <c r="J1547">
        <v>38098.800000000003</v>
      </c>
      <c r="K1547">
        <f>IF(tblPO[[#This Row],[Actual_Delivery_Date]]&lt;=tblPO[[#This Row],[Expected_Delivery_Date]],1,0)</f>
        <v>1</v>
      </c>
      <c r="L1547">
        <f>IF(tblPO[[#This Row],[Actual_Delivery_Date]]&gt;tblPO[[#This Row],[Expected_Delivery_Date]],1,0)</f>
        <v>0</v>
      </c>
      <c r="M1547">
        <f>tblPO[[#This Row],[Actual_Delivery_Date]]-tblPO[[#This Row],[PO_Date]]</f>
        <v>14</v>
      </c>
    </row>
    <row r="1548" spans="1:13" x14ac:dyDescent="0.3">
      <c r="A1548" t="s">
        <v>710</v>
      </c>
      <c r="B1548" s="18">
        <v>45594</v>
      </c>
      <c r="C1548" t="s">
        <v>70</v>
      </c>
      <c r="D1548" t="s">
        <v>207</v>
      </c>
      <c r="E1548">
        <v>240</v>
      </c>
      <c r="F1548">
        <v>10.64</v>
      </c>
      <c r="G1548" s="18">
        <v>45604</v>
      </c>
      <c r="H1548" s="18">
        <v>45601</v>
      </c>
      <c r="I1548">
        <v>240</v>
      </c>
      <c r="J1548">
        <v>2553.6</v>
      </c>
      <c r="K1548">
        <f>IF(tblPO[[#This Row],[Actual_Delivery_Date]]&lt;=tblPO[[#This Row],[Expected_Delivery_Date]],1,0)</f>
        <v>1</v>
      </c>
      <c r="L1548">
        <f>IF(tblPO[[#This Row],[Actual_Delivery_Date]]&gt;tblPO[[#This Row],[Expected_Delivery_Date]],1,0)</f>
        <v>0</v>
      </c>
      <c r="M1548">
        <f>tblPO[[#This Row],[Actual_Delivery_Date]]-tblPO[[#This Row],[PO_Date]]</f>
        <v>7</v>
      </c>
    </row>
    <row r="1549" spans="1:13" x14ac:dyDescent="0.3">
      <c r="A1549" t="s">
        <v>709</v>
      </c>
      <c r="B1549" s="18">
        <v>45585</v>
      </c>
      <c r="C1549" t="s">
        <v>39</v>
      </c>
      <c r="D1549" t="s">
        <v>162</v>
      </c>
      <c r="E1549">
        <v>705</v>
      </c>
      <c r="F1549">
        <v>43.79</v>
      </c>
      <c r="G1549" s="18">
        <v>45597</v>
      </c>
      <c r="H1549" s="18">
        <v>45597</v>
      </c>
      <c r="I1549">
        <v>705</v>
      </c>
      <c r="J1549">
        <v>30871.95</v>
      </c>
      <c r="K1549">
        <f>IF(tblPO[[#This Row],[Actual_Delivery_Date]]&lt;=tblPO[[#This Row],[Expected_Delivery_Date]],1,0)</f>
        <v>1</v>
      </c>
      <c r="L1549">
        <f>IF(tblPO[[#This Row],[Actual_Delivery_Date]]&gt;tblPO[[#This Row],[Expected_Delivery_Date]],1,0)</f>
        <v>0</v>
      </c>
      <c r="M1549">
        <f>tblPO[[#This Row],[Actual_Delivery_Date]]-tblPO[[#This Row],[PO_Date]]</f>
        <v>12</v>
      </c>
    </row>
    <row r="1550" spans="1:13" x14ac:dyDescent="0.3">
      <c r="A1550" t="s">
        <v>708</v>
      </c>
      <c r="B1550" s="18">
        <v>45594</v>
      </c>
      <c r="C1550" t="s">
        <v>45</v>
      </c>
      <c r="D1550" t="s">
        <v>245</v>
      </c>
      <c r="E1550">
        <v>2</v>
      </c>
      <c r="F1550">
        <v>4125.4399999999996</v>
      </c>
      <c r="G1550" s="18">
        <v>45604</v>
      </c>
      <c r="H1550" s="18">
        <v>45603</v>
      </c>
      <c r="I1550">
        <v>2</v>
      </c>
      <c r="J1550">
        <v>8250.8799999999992</v>
      </c>
      <c r="K1550">
        <f>IF(tblPO[[#This Row],[Actual_Delivery_Date]]&lt;=tblPO[[#This Row],[Expected_Delivery_Date]],1,0)</f>
        <v>1</v>
      </c>
      <c r="L1550">
        <f>IF(tblPO[[#This Row],[Actual_Delivery_Date]]&gt;tblPO[[#This Row],[Expected_Delivery_Date]],1,0)</f>
        <v>0</v>
      </c>
      <c r="M1550">
        <f>tblPO[[#This Row],[Actual_Delivery_Date]]-tblPO[[#This Row],[PO_Date]]</f>
        <v>9</v>
      </c>
    </row>
    <row r="1551" spans="1:13" x14ac:dyDescent="0.3">
      <c r="A1551" t="s">
        <v>707</v>
      </c>
      <c r="B1551" s="18">
        <v>45595</v>
      </c>
      <c r="C1551" t="s">
        <v>69</v>
      </c>
      <c r="D1551" t="s">
        <v>130</v>
      </c>
      <c r="E1551">
        <v>105</v>
      </c>
      <c r="F1551">
        <v>335.34</v>
      </c>
      <c r="G1551" s="18">
        <v>45610</v>
      </c>
      <c r="H1551" s="18">
        <v>45608</v>
      </c>
      <c r="I1551">
        <v>105</v>
      </c>
      <c r="J1551">
        <v>35210.699999999997</v>
      </c>
      <c r="K1551">
        <f>IF(tblPO[[#This Row],[Actual_Delivery_Date]]&lt;=tblPO[[#This Row],[Expected_Delivery_Date]],1,0)</f>
        <v>1</v>
      </c>
      <c r="L1551">
        <f>IF(tblPO[[#This Row],[Actual_Delivery_Date]]&gt;tblPO[[#This Row],[Expected_Delivery_Date]],1,0)</f>
        <v>0</v>
      </c>
      <c r="M1551">
        <f>tblPO[[#This Row],[Actual_Delivery_Date]]-tblPO[[#This Row],[PO_Date]]</f>
        <v>13</v>
      </c>
    </row>
    <row r="1552" spans="1:13" x14ac:dyDescent="0.3">
      <c r="A1552" t="s">
        <v>706</v>
      </c>
      <c r="B1552" s="18">
        <v>45587</v>
      </c>
      <c r="C1552" t="s">
        <v>59</v>
      </c>
      <c r="D1552" t="s">
        <v>92</v>
      </c>
      <c r="E1552">
        <v>15</v>
      </c>
      <c r="F1552">
        <v>2888.43</v>
      </c>
      <c r="G1552" s="18">
        <v>45599</v>
      </c>
      <c r="H1552" s="18">
        <v>45598</v>
      </c>
      <c r="I1552">
        <v>15</v>
      </c>
      <c r="J1552">
        <v>43326.45</v>
      </c>
      <c r="K1552">
        <f>IF(tblPO[[#This Row],[Actual_Delivery_Date]]&lt;=tblPO[[#This Row],[Expected_Delivery_Date]],1,0)</f>
        <v>1</v>
      </c>
      <c r="L1552">
        <f>IF(tblPO[[#This Row],[Actual_Delivery_Date]]&gt;tblPO[[#This Row],[Expected_Delivery_Date]],1,0)</f>
        <v>0</v>
      </c>
      <c r="M1552">
        <f>tblPO[[#This Row],[Actual_Delivery_Date]]-tblPO[[#This Row],[PO_Date]]</f>
        <v>11</v>
      </c>
    </row>
    <row r="1553" spans="1:13" x14ac:dyDescent="0.3">
      <c r="A1553" t="s">
        <v>705</v>
      </c>
      <c r="B1553" s="18">
        <v>45578</v>
      </c>
      <c r="C1553" t="s">
        <v>46</v>
      </c>
      <c r="D1553" t="s">
        <v>110</v>
      </c>
      <c r="E1553">
        <v>15</v>
      </c>
      <c r="F1553">
        <v>5587.15</v>
      </c>
      <c r="G1553" s="18">
        <v>45598</v>
      </c>
      <c r="H1553" s="18">
        <v>45596</v>
      </c>
      <c r="I1553">
        <v>15</v>
      </c>
      <c r="J1553">
        <v>83807.25</v>
      </c>
      <c r="K1553">
        <f>IF(tblPO[[#This Row],[Actual_Delivery_Date]]&lt;=tblPO[[#This Row],[Expected_Delivery_Date]],1,0)</f>
        <v>1</v>
      </c>
      <c r="L1553">
        <f>IF(tblPO[[#This Row],[Actual_Delivery_Date]]&gt;tblPO[[#This Row],[Expected_Delivery_Date]],1,0)</f>
        <v>0</v>
      </c>
      <c r="M1553">
        <f>tblPO[[#This Row],[Actual_Delivery_Date]]-tblPO[[#This Row],[PO_Date]]</f>
        <v>18</v>
      </c>
    </row>
    <row r="1554" spans="1:13" x14ac:dyDescent="0.3">
      <c r="A1554" t="s">
        <v>704</v>
      </c>
      <c r="B1554" s="18">
        <v>45586</v>
      </c>
      <c r="C1554" t="s">
        <v>39</v>
      </c>
      <c r="D1554" t="s">
        <v>162</v>
      </c>
      <c r="E1554">
        <v>60</v>
      </c>
      <c r="F1554">
        <v>43.96</v>
      </c>
      <c r="G1554" s="18">
        <v>45610</v>
      </c>
      <c r="H1554" s="18">
        <v>45610</v>
      </c>
      <c r="I1554">
        <v>60</v>
      </c>
      <c r="J1554">
        <v>2637.6</v>
      </c>
      <c r="K1554">
        <f>IF(tblPO[[#This Row],[Actual_Delivery_Date]]&lt;=tblPO[[#This Row],[Expected_Delivery_Date]],1,0)</f>
        <v>1</v>
      </c>
      <c r="L1554">
        <f>IF(tblPO[[#This Row],[Actual_Delivery_Date]]&gt;tblPO[[#This Row],[Expected_Delivery_Date]],1,0)</f>
        <v>0</v>
      </c>
      <c r="M1554">
        <f>tblPO[[#This Row],[Actual_Delivery_Date]]-tblPO[[#This Row],[PO_Date]]</f>
        <v>24</v>
      </c>
    </row>
    <row r="1555" spans="1:13" x14ac:dyDescent="0.3">
      <c r="A1555" t="s">
        <v>703</v>
      </c>
      <c r="B1555" s="18">
        <v>45569</v>
      </c>
      <c r="C1555" t="s">
        <v>48</v>
      </c>
      <c r="D1555" t="s">
        <v>154</v>
      </c>
      <c r="E1555">
        <v>702</v>
      </c>
      <c r="F1555">
        <v>86.44</v>
      </c>
      <c r="G1555" s="18">
        <v>45584</v>
      </c>
      <c r="H1555" s="18">
        <v>45584</v>
      </c>
      <c r="I1555">
        <v>659</v>
      </c>
      <c r="J1555">
        <v>60680.88</v>
      </c>
      <c r="K1555">
        <f>IF(tblPO[[#This Row],[Actual_Delivery_Date]]&lt;=tblPO[[#This Row],[Expected_Delivery_Date]],1,0)</f>
        <v>1</v>
      </c>
      <c r="L1555">
        <f>IF(tblPO[[#This Row],[Actual_Delivery_Date]]&gt;tblPO[[#This Row],[Expected_Delivery_Date]],1,0)</f>
        <v>0</v>
      </c>
      <c r="M1555">
        <f>tblPO[[#This Row],[Actual_Delivery_Date]]-tblPO[[#This Row],[PO_Date]]</f>
        <v>15</v>
      </c>
    </row>
    <row r="1556" spans="1:13" x14ac:dyDescent="0.3">
      <c r="A1556" t="s">
        <v>702</v>
      </c>
      <c r="B1556" s="18">
        <v>45596</v>
      </c>
      <c r="C1556" t="s">
        <v>49</v>
      </c>
      <c r="D1556" t="s">
        <v>205</v>
      </c>
      <c r="E1556">
        <v>75</v>
      </c>
      <c r="F1556">
        <v>410.05</v>
      </c>
      <c r="G1556" s="18">
        <v>45611</v>
      </c>
      <c r="H1556" s="18">
        <v>45610</v>
      </c>
      <c r="I1556">
        <v>75</v>
      </c>
      <c r="J1556">
        <v>30753.75</v>
      </c>
      <c r="K1556">
        <f>IF(tblPO[[#This Row],[Actual_Delivery_Date]]&lt;=tblPO[[#This Row],[Expected_Delivery_Date]],1,0)</f>
        <v>1</v>
      </c>
      <c r="L1556">
        <f>IF(tblPO[[#This Row],[Actual_Delivery_Date]]&gt;tblPO[[#This Row],[Expected_Delivery_Date]],1,0)</f>
        <v>0</v>
      </c>
      <c r="M1556">
        <f>tblPO[[#This Row],[Actual_Delivery_Date]]-tblPO[[#This Row],[PO_Date]]</f>
        <v>14</v>
      </c>
    </row>
    <row r="1557" spans="1:13" x14ac:dyDescent="0.3">
      <c r="A1557" t="s">
        <v>701</v>
      </c>
      <c r="B1557" s="18">
        <v>45578</v>
      </c>
      <c r="C1557" t="s">
        <v>42</v>
      </c>
      <c r="D1557" t="s">
        <v>92</v>
      </c>
      <c r="E1557">
        <v>5</v>
      </c>
      <c r="F1557">
        <v>4547.54</v>
      </c>
      <c r="G1557" s="18">
        <v>45596</v>
      </c>
      <c r="H1557" s="18">
        <v>45596</v>
      </c>
      <c r="I1557">
        <v>5</v>
      </c>
      <c r="J1557">
        <v>22737.7</v>
      </c>
      <c r="K1557">
        <f>IF(tblPO[[#This Row],[Actual_Delivery_Date]]&lt;=tblPO[[#This Row],[Expected_Delivery_Date]],1,0)</f>
        <v>1</v>
      </c>
      <c r="L1557">
        <f>IF(tblPO[[#This Row],[Actual_Delivery_Date]]&gt;tblPO[[#This Row],[Expected_Delivery_Date]],1,0)</f>
        <v>0</v>
      </c>
      <c r="M1557">
        <f>tblPO[[#This Row],[Actual_Delivery_Date]]-tblPO[[#This Row],[PO_Date]]</f>
        <v>18</v>
      </c>
    </row>
    <row r="1558" spans="1:13" x14ac:dyDescent="0.3">
      <c r="A1558" t="s">
        <v>700</v>
      </c>
      <c r="B1558" s="18">
        <v>45581</v>
      </c>
      <c r="C1558" t="s">
        <v>45</v>
      </c>
      <c r="D1558" t="s">
        <v>219</v>
      </c>
      <c r="E1558">
        <v>530</v>
      </c>
      <c r="F1558">
        <v>93.83</v>
      </c>
      <c r="G1558" s="18">
        <v>45587</v>
      </c>
      <c r="H1558" s="18">
        <v>45584</v>
      </c>
      <c r="I1558">
        <v>530</v>
      </c>
      <c r="J1558">
        <v>49729.9</v>
      </c>
      <c r="K1558">
        <f>IF(tblPO[[#This Row],[Actual_Delivery_Date]]&lt;=tblPO[[#This Row],[Expected_Delivery_Date]],1,0)</f>
        <v>1</v>
      </c>
      <c r="L1558">
        <f>IF(tblPO[[#This Row],[Actual_Delivery_Date]]&gt;tblPO[[#This Row],[Expected_Delivery_Date]],1,0)</f>
        <v>0</v>
      </c>
      <c r="M1558">
        <f>tblPO[[#This Row],[Actual_Delivery_Date]]-tblPO[[#This Row],[PO_Date]]</f>
        <v>3</v>
      </c>
    </row>
    <row r="1559" spans="1:13" x14ac:dyDescent="0.3">
      <c r="A1559" t="s">
        <v>699</v>
      </c>
      <c r="B1559" s="18">
        <v>45591</v>
      </c>
      <c r="C1559" t="s">
        <v>62</v>
      </c>
      <c r="D1559" t="s">
        <v>205</v>
      </c>
      <c r="E1559">
        <v>187</v>
      </c>
      <c r="F1559">
        <v>404.56</v>
      </c>
      <c r="G1559" s="18">
        <v>45596</v>
      </c>
      <c r="H1559" s="18">
        <v>45595</v>
      </c>
      <c r="I1559">
        <v>187</v>
      </c>
      <c r="J1559">
        <v>75652.72</v>
      </c>
      <c r="K1559">
        <f>IF(tblPO[[#This Row],[Actual_Delivery_Date]]&lt;=tblPO[[#This Row],[Expected_Delivery_Date]],1,0)</f>
        <v>1</v>
      </c>
      <c r="L1559">
        <f>IF(tblPO[[#This Row],[Actual_Delivery_Date]]&gt;tblPO[[#This Row],[Expected_Delivery_Date]],1,0)</f>
        <v>0</v>
      </c>
      <c r="M1559">
        <f>tblPO[[#This Row],[Actual_Delivery_Date]]-tblPO[[#This Row],[PO_Date]]</f>
        <v>4</v>
      </c>
    </row>
    <row r="1560" spans="1:13" x14ac:dyDescent="0.3">
      <c r="A1560" t="s">
        <v>698</v>
      </c>
      <c r="B1560" s="18">
        <v>45587</v>
      </c>
      <c r="C1560" t="s">
        <v>39</v>
      </c>
      <c r="D1560" t="s">
        <v>172</v>
      </c>
      <c r="E1560">
        <v>92</v>
      </c>
      <c r="F1560">
        <v>37.58</v>
      </c>
      <c r="G1560" s="18">
        <v>45615</v>
      </c>
      <c r="H1560" s="18">
        <v>45613</v>
      </c>
      <c r="I1560">
        <v>92</v>
      </c>
      <c r="J1560">
        <v>3457.36</v>
      </c>
      <c r="K1560">
        <f>IF(tblPO[[#This Row],[Actual_Delivery_Date]]&lt;=tblPO[[#This Row],[Expected_Delivery_Date]],1,0)</f>
        <v>1</v>
      </c>
      <c r="L1560">
        <f>IF(tblPO[[#This Row],[Actual_Delivery_Date]]&gt;tblPO[[#This Row],[Expected_Delivery_Date]],1,0)</f>
        <v>0</v>
      </c>
      <c r="M1560">
        <f>tblPO[[#This Row],[Actual_Delivery_Date]]-tblPO[[#This Row],[PO_Date]]</f>
        <v>26</v>
      </c>
    </row>
    <row r="1561" spans="1:13" x14ac:dyDescent="0.3">
      <c r="A1561" t="s">
        <v>697</v>
      </c>
      <c r="B1561" s="18">
        <v>45566</v>
      </c>
      <c r="C1561" t="s">
        <v>50</v>
      </c>
      <c r="D1561" t="s">
        <v>119</v>
      </c>
      <c r="E1561">
        <v>20</v>
      </c>
      <c r="F1561">
        <v>8543.7099999999991</v>
      </c>
      <c r="G1561" s="18">
        <v>45573</v>
      </c>
      <c r="H1561" s="18">
        <v>45572</v>
      </c>
      <c r="I1561">
        <v>20</v>
      </c>
      <c r="J1561">
        <v>170874.2</v>
      </c>
      <c r="K1561">
        <f>IF(tblPO[[#This Row],[Actual_Delivery_Date]]&lt;=tblPO[[#This Row],[Expected_Delivery_Date]],1,0)</f>
        <v>1</v>
      </c>
      <c r="L1561">
        <f>IF(tblPO[[#This Row],[Actual_Delivery_Date]]&gt;tblPO[[#This Row],[Expected_Delivery_Date]],1,0)</f>
        <v>0</v>
      </c>
      <c r="M1561">
        <f>tblPO[[#This Row],[Actual_Delivery_Date]]-tblPO[[#This Row],[PO_Date]]</f>
        <v>6</v>
      </c>
    </row>
    <row r="1562" spans="1:13" x14ac:dyDescent="0.3">
      <c r="A1562" t="s">
        <v>696</v>
      </c>
      <c r="B1562" s="18">
        <v>45567</v>
      </c>
      <c r="C1562" t="s">
        <v>43</v>
      </c>
      <c r="D1562" t="s">
        <v>166</v>
      </c>
      <c r="E1562">
        <v>709</v>
      </c>
      <c r="F1562">
        <v>73.58</v>
      </c>
      <c r="G1562" s="18">
        <v>45582</v>
      </c>
      <c r="H1562" s="18">
        <v>45581</v>
      </c>
      <c r="I1562">
        <v>709</v>
      </c>
      <c r="J1562">
        <v>52168.22</v>
      </c>
      <c r="K1562">
        <f>IF(tblPO[[#This Row],[Actual_Delivery_Date]]&lt;=tblPO[[#This Row],[Expected_Delivery_Date]],1,0)</f>
        <v>1</v>
      </c>
      <c r="L1562">
        <f>IF(tblPO[[#This Row],[Actual_Delivery_Date]]&gt;tblPO[[#This Row],[Expected_Delivery_Date]],1,0)</f>
        <v>0</v>
      </c>
      <c r="M1562">
        <f>tblPO[[#This Row],[Actual_Delivery_Date]]-tblPO[[#This Row],[PO_Date]]</f>
        <v>14</v>
      </c>
    </row>
    <row r="1563" spans="1:13" x14ac:dyDescent="0.3">
      <c r="A1563" t="s">
        <v>695</v>
      </c>
      <c r="B1563" s="18">
        <v>45576</v>
      </c>
      <c r="C1563" t="s">
        <v>49</v>
      </c>
      <c r="D1563" t="s">
        <v>203</v>
      </c>
      <c r="E1563">
        <v>59</v>
      </c>
      <c r="F1563">
        <v>325.95</v>
      </c>
      <c r="G1563" s="18">
        <v>45593</v>
      </c>
      <c r="H1563" s="18">
        <v>45593</v>
      </c>
      <c r="I1563">
        <v>53</v>
      </c>
      <c r="J1563">
        <v>19231.05</v>
      </c>
      <c r="K1563">
        <f>IF(tblPO[[#This Row],[Actual_Delivery_Date]]&lt;=tblPO[[#This Row],[Expected_Delivery_Date]],1,0)</f>
        <v>1</v>
      </c>
      <c r="L1563">
        <f>IF(tblPO[[#This Row],[Actual_Delivery_Date]]&gt;tblPO[[#This Row],[Expected_Delivery_Date]],1,0)</f>
        <v>0</v>
      </c>
      <c r="M1563">
        <f>tblPO[[#This Row],[Actual_Delivery_Date]]-tblPO[[#This Row],[PO_Date]]</f>
        <v>17</v>
      </c>
    </row>
    <row r="1564" spans="1:13" x14ac:dyDescent="0.3">
      <c r="A1564" t="s">
        <v>694</v>
      </c>
      <c r="B1564" s="18">
        <v>45570</v>
      </c>
      <c r="C1564" t="s">
        <v>52</v>
      </c>
      <c r="D1564" t="s">
        <v>219</v>
      </c>
      <c r="E1564">
        <v>214</v>
      </c>
      <c r="F1564">
        <v>90.59</v>
      </c>
      <c r="G1564" s="18">
        <v>45583</v>
      </c>
      <c r="H1564" s="18">
        <v>45580</v>
      </c>
      <c r="I1564">
        <v>214</v>
      </c>
      <c r="J1564">
        <v>19386.259999999998</v>
      </c>
      <c r="K1564">
        <f>IF(tblPO[[#This Row],[Actual_Delivery_Date]]&lt;=tblPO[[#This Row],[Expected_Delivery_Date]],1,0)</f>
        <v>1</v>
      </c>
      <c r="L1564">
        <f>IF(tblPO[[#This Row],[Actual_Delivery_Date]]&gt;tblPO[[#This Row],[Expected_Delivery_Date]],1,0)</f>
        <v>0</v>
      </c>
      <c r="M1564">
        <f>tblPO[[#This Row],[Actual_Delivery_Date]]-tblPO[[#This Row],[PO_Date]]</f>
        <v>10</v>
      </c>
    </row>
    <row r="1565" spans="1:13" x14ac:dyDescent="0.3">
      <c r="A1565" t="s">
        <v>693</v>
      </c>
      <c r="B1565" s="18">
        <v>45571</v>
      </c>
      <c r="C1565" t="s">
        <v>45</v>
      </c>
      <c r="D1565" t="s">
        <v>217</v>
      </c>
      <c r="E1565">
        <v>787</v>
      </c>
      <c r="F1565">
        <v>25.57</v>
      </c>
      <c r="G1565" s="18">
        <v>45584</v>
      </c>
      <c r="H1565" s="18">
        <v>45582</v>
      </c>
      <c r="I1565">
        <v>787</v>
      </c>
      <c r="J1565">
        <v>20123.59</v>
      </c>
      <c r="K1565">
        <f>IF(tblPO[[#This Row],[Actual_Delivery_Date]]&lt;=tblPO[[#This Row],[Expected_Delivery_Date]],1,0)</f>
        <v>1</v>
      </c>
      <c r="L1565">
        <f>IF(tblPO[[#This Row],[Actual_Delivery_Date]]&gt;tblPO[[#This Row],[Expected_Delivery_Date]],1,0)</f>
        <v>0</v>
      </c>
      <c r="M1565">
        <f>tblPO[[#This Row],[Actual_Delivery_Date]]-tblPO[[#This Row],[PO_Date]]</f>
        <v>11</v>
      </c>
    </row>
    <row r="1566" spans="1:13" x14ac:dyDescent="0.3">
      <c r="A1566" t="s">
        <v>692</v>
      </c>
      <c r="B1566" s="18">
        <v>45566</v>
      </c>
      <c r="C1566" t="s">
        <v>53</v>
      </c>
      <c r="D1566" t="s">
        <v>90</v>
      </c>
      <c r="E1566">
        <v>7</v>
      </c>
      <c r="F1566">
        <v>31513.91</v>
      </c>
      <c r="G1566" s="18">
        <v>45596</v>
      </c>
      <c r="H1566" s="18">
        <v>45596</v>
      </c>
      <c r="I1566">
        <v>7</v>
      </c>
      <c r="J1566">
        <v>220597.37</v>
      </c>
      <c r="K1566">
        <f>IF(tblPO[[#This Row],[Actual_Delivery_Date]]&lt;=tblPO[[#This Row],[Expected_Delivery_Date]],1,0)</f>
        <v>1</v>
      </c>
      <c r="L1566">
        <f>IF(tblPO[[#This Row],[Actual_Delivery_Date]]&gt;tblPO[[#This Row],[Expected_Delivery_Date]],1,0)</f>
        <v>0</v>
      </c>
      <c r="M1566">
        <f>tblPO[[#This Row],[Actual_Delivery_Date]]-tblPO[[#This Row],[PO_Date]]</f>
        <v>30</v>
      </c>
    </row>
    <row r="1567" spans="1:13" x14ac:dyDescent="0.3">
      <c r="A1567" t="s">
        <v>691</v>
      </c>
      <c r="B1567" s="18">
        <v>45567</v>
      </c>
      <c r="C1567" t="s">
        <v>58</v>
      </c>
      <c r="D1567" t="s">
        <v>174</v>
      </c>
      <c r="E1567">
        <v>693</v>
      </c>
      <c r="F1567">
        <v>46.9</v>
      </c>
      <c r="G1567" s="18">
        <v>45597</v>
      </c>
      <c r="H1567" s="18">
        <v>45594</v>
      </c>
      <c r="I1567">
        <v>693</v>
      </c>
      <c r="J1567">
        <v>32501.7</v>
      </c>
      <c r="K1567">
        <f>IF(tblPO[[#This Row],[Actual_Delivery_Date]]&lt;=tblPO[[#This Row],[Expected_Delivery_Date]],1,0)</f>
        <v>1</v>
      </c>
      <c r="L1567">
        <f>IF(tblPO[[#This Row],[Actual_Delivery_Date]]&gt;tblPO[[#This Row],[Expected_Delivery_Date]],1,0)</f>
        <v>0</v>
      </c>
      <c r="M1567">
        <f>tblPO[[#This Row],[Actual_Delivery_Date]]-tblPO[[#This Row],[PO_Date]]</f>
        <v>27</v>
      </c>
    </row>
    <row r="1568" spans="1:13" x14ac:dyDescent="0.3">
      <c r="A1568" t="s">
        <v>690</v>
      </c>
      <c r="B1568" s="18">
        <v>45586</v>
      </c>
      <c r="C1568" t="s">
        <v>40</v>
      </c>
      <c r="D1568" t="s">
        <v>113</v>
      </c>
      <c r="E1568">
        <v>156</v>
      </c>
      <c r="F1568">
        <v>503.05</v>
      </c>
      <c r="G1568" s="18">
        <v>45601</v>
      </c>
      <c r="H1568" s="18">
        <v>45601</v>
      </c>
      <c r="I1568">
        <v>156</v>
      </c>
      <c r="J1568">
        <v>78475.8</v>
      </c>
      <c r="K1568">
        <f>IF(tblPO[[#This Row],[Actual_Delivery_Date]]&lt;=tblPO[[#This Row],[Expected_Delivery_Date]],1,0)</f>
        <v>1</v>
      </c>
      <c r="L1568">
        <f>IF(tblPO[[#This Row],[Actual_Delivery_Date]]&gt;tblPO[[#This Row],[Expected_Delivery_Date]],1,0)</f>
        <v>0</v>
      </c>
      <c r="M1568">
        <f>tblPO[[#This Row],[Actual_Delivery_Date]]-tblPO[[#This Row],[PO_Date]]</f>
        <v>15</v>
      </c>
    </row>
    <row r="1569" spans="1:13" x14ac:dyDescent="0.3">
      <c r="A1569" t="s">
        <v>689</v>
      </c>
      <c r="B1569" s="18">
        <v>45585</v>
      </c>
      <c r="C1569" t="s">
        <v>40</v>
      </c>
      <c r="D1569" t="s">
        <v>119</v>
      </c>
      <c r="E1569">
        <v>17</v>
      </c>
      <c r="F1569">
        <v>8737.7000000000007</v>
      </c>
      <c r="G1569" s="18">
        <v>45596</v>
      </c>
      <c r="H1569" s="18">
        <v>45596</v>
      </c>
      <c r="I1569">
        <v>17</v>
      </c>
      <c r="J1569">
        <v>148540.9</v>
      </c>
      <c r="K1569">
        <f>IF(tblPO[[#This Row],[Actual_Delivery_Date]]&lt;=tblPO[[#This Row],[Expected_Delivery_Date]],1,0)</f>
        <v>1</v>
      </c>
      <c r="L1569">
        <f>IF(tblPO[[#This Row],[Actual_Delivery_Date]]&gt;tblPO[[#This Row],[Expected_Delivery_Date]],1,0)</f>
        <v>0</v>
      </c>
      <c r="M1569">
        <f>tblPO[[#This Row],[Actual_Delivery_Date]]-tblPO[[#This Row],[PO_Date]]</f>
        <v>11</v>
      </c>
    </row>
    <row r="1570" spans="1:13" x14ac:dyDescent="0.3">
      <c r="A1570" t="s">
        <v>688</v>
      </c>
      <c r="B1570" s="18">
        <v>45594</v>
      </c>
      <c r="C1570" t="s">
        <v>39</v>
      </c>
      <c r="D1570" t="s">
        <v>146</v>
      </c>
      <c r="E1570">
        <v>19</v>
      </c>
      <c r="F1570">
        <v>3212.32</v>
      </c>
      <c r="G1570" s="18">
        <v>45617</v>
      </c>
      <c r="H1570" s="18">
        <v>45616</v>
      </c>
      <c r="I1570">
        <v>19</v>
      </c>
      <c r="J1570">
        <v>61034.080000000002</v>
      </c>
      <c r="K1570">
        <f>IF(tblPO[[#This Row],[Actual_Delivery_Date]]&lt;=tblPO[[#This Row],[Expected_Delivery_Date]],1,0)</f>
        <v>1</v>
      </c>
      <c r="L1570">
        <f>IF(tblPO[[#This Row],[Actual_Delivery_Date]]&gt;tblPO[[#This Row],[Expected_Delivery_Date]],1,0)</f>
        <v>0</v>
      </c>
      <c r="M1570">
        <f>tblPO[[#This Row],[Actual_Delivery_Date]]-tblPO[[#This Row],[PO_Date]]</f>
        <v>22</v>
      </c>
    </row>
    <row r="1571" spans="1:13" x14ac:dyDescent="0.3">
      <c r="A1571" t="s">
        <v>687</v>
      </c>
      <c r="B1571" s="18">
        <v>45574</v>
      </c>
      <c r="C1571" t="s">
        <v>65</v>
      </c>
      <c r="D1571" t="s">
        <v>205</v>
      </c>
      <c r="E1571">
        <v>109</v>
      </c>
      <c r="F1571">
        <v>424.67</v>
      </c>
      <c r="G1571" s="18">
        <v>45582</v>
      </c>
      <c r="H1571" s="18">
        <v>45579</v>
      </c>
      <c r="I1571">
        <v>109</v>
      </c>
      <c r="J1571">
        <v>46289.03</v>
      </c>
      <c r="K1571">
        <f>IF(tblPO[[#This Row],[Actual_Delivery_Date]]&lt;=tblPO[[#This Row],[Expected_Delivery_Date]],1,0)</f>
        <v>1</v>
      </c>
      <c r="L1571">
        <f>IF(tblPO[[#This Row],[Actual_Delivery_Date]]&gt;tblPO[[#This Row],[Expected_Delivery_Date]],1,0)</f>
        <v>0</v>
      </c>
      <c r="M1571">
        <f>tblPO[[#This Row],[Actual_Delivery_Date]]-tblPO[[#This Row],[PO_Date]]</f>
        <v>5</v>
      </c>
    </row>
    <row r="1572" spans="1:13" x14ac:dyDescent="0.3">
      <c r="A1572" t="s">
        <v>686</v>
      </c>
      <c r="B1572" s="18">
        <v>45579</v>
      </c>
      <c r="C1572" t="s">
        <v>40</v>
      </c>
      <c r="D1572" t="s">
        <v>134</v>
      </c>
      <c r="E1572">
        <v>16</v>
      </c>
      <c r="F1572">
        <v>4284.3999999999996</v>
      </c>
      <c r="G1572" s="18">
        <v>45589</v>
      </c>
      <c r="H1572" s="18">
        <v>45597</v>
      </c>
      <c r="I1572">
        <v>16</v>
      </c>
      <c r="J1572">
        <v>68550.399999999994</v>
      </c>
      <c r="K1572">
        <f>IF(tblPO[[#This Row],[Actual_Delivery_Date]]&lt;=tblPO[[#This Row],[Expected_Delivery_Date]],1,0)</f>
        <v>0</v>
      </c>
      <c r="L1572">
        <f>IF(tblPO[[#This Row],[Actual_Delivery_Date]]&gt;tblPO[[#This Row],[Expected_Delivery_Date]],1,0)</f>
        <v>1</v>
      </c>
      <c r="M1572">
        <f>tblPO[[#This Row],[Actual_Delivery_Date]]-tblPO[[#This Row],[PO_Date]]</f>
        <v>18</v>
      </c>
    </row>
    <row r="1573" spans="1:13" x14ac:dyDescent="0.3">
      <c r="A1573" t="s">
        <v>685</v>
      </c>
      <c r="B1573" s="18">
        <v>45579</v>
      </c>
      <c r="C1573" t="s">
        <v>38</v>
      </c>
      <c r="D1573" t="s">
        <v>229</v>
      </c>
      <c r="E1573">
        <v>14</v>
      </c>
      <c r="F1573">
        <v>1757.97</v>
      </c>
      <c r="G1573" s="18">
        <v>45595</v>
      </c>
      <c r="H1573" s="18">
        <v>45595</v>
      </c>
      <c r="I1573">
        <v>14</v>
      </c>
      <c r="J1573">
        <v>24611.58</v>
      </c>
      <c r="K1573">
        <f>IF(tblPO[[#This Row],[Actual_Delivery_Date]]&lt;=tblPO[[#This Row],[Expected_Delivery_Date]],1,0)</f>
        <v>1</v>
      </c>
      <c r="L1573">
        <f>IF(tblPO[[#This Row],[Actual_Delivery_Date]]&gt;tblPO[[#This Row],[Expected_Delivery_Date]],1,0)</f>
        <v>0</v>
      </c>
      <c r="M1573">
        <f>tblPO[[#This Row],[Actual_Delivery_Date]]-tblPO[[#This Row],[PO_Date]]</f>
        <v>16</v>
      </c>
    </row>
    <row r="1574" spans="1:13" x14ac:dyDescent="0.3">
      <c r="A1574" t="s">
        <v>684</v>
      </c>
      <c r="B1574" s="18">
        <v>45576</v>
      </c>
      <c r="C1574" t="s">
        <v>39</v>
      </c>
      <c r="D1574" t="s">
        <v>164</v>
      </c>
      <c r="E1574">
        <v>96</v>
      </c>
      <c r="F1574">
        <v>147.07</v>
      </c>
      <c r="G1574" s="18">
        <v>45600</v>
      </c>
      <c r="H1574" s="18">
        <v>45598</v>
      </c>
      <c r="I1574">
        <v>96</v>
      </c>
      <c r="J1574">
        <v>14118.72</v>
      </c>
      <c r="K1574">
        <f>IF(tblPO[[#This Row],[Actual_Delivery_Date]]&lt;=tblPO[[#This Row],[Expected_Delivery_Date]],1,0)</f>
        <v>1</v>
      </c>
      <c r="L1574">
        <f>IF(tblPO[[#This Row],[Actual_Delivery_Date]]&gt;tblPO[[#This Row],[Expected_Delivery_Date]],1,0)</f>
        <v>0</v>
      </c>
      <c r="M1574">
        <f>tblPO[[#This Row],[Actual_Delivery_Date]]-tblPO[[#This Row],[PO_Date]]</f>
        <v>22</v>
      </c>
    </row>
    <row r="1575" spans="1:13" x14ac:dyDescent="0.3">
      <c r="A1575" t="s">
        <v>683</v>
      </c>
      <c r="B1575" s="18">
        <v>45596</v>
      </c>
      <c r="C1575" t="s">
        <v>44</v>
      </c>
      <c r="D1575" t="s">
        <v>185</v>
      </c>
      <c r="E1575">
        <v>498</v>
      </c>
      <c r="F1575">
        <v>6.8</v>
      </c>
      <c r="G1575" s="18">
        <v>45619</v>
      </c>
      <c r="H1575" s="18">
        <v>45633</v>
      </c>
      <c r="I1575">
        <v>498</v>
      </c>
      <c r="J1575">
        <v>3386.4</v>
      </c>
      <c r="K1575">
        <f>IF(tblPO[[#This Row],[Actual_Delivery_Date]]&lt;=tblPO[[#This Row],[Expected_Delivery_Date]],1,0)</f>
        <v>0</v>
      </c>
      <c r="L1575">
        <f>IF(tblPO[[#This Row],[Actual_Delivery_Date]]&gt;tblPO[[#This Row],[Expected_Delivery_Date]],1,0)</f>
        <v>1</v>
      </c>
      <c r="M1575">
        <f>tblPO[[#This Row],[Actual_Delivery_Date]]-tblPO[[#This Row],[PO_Date]]</f>
        <v>37</v>
      </c>
    </row>
    <row r="1576" spans="1:13" x14ac:dyDescent="0.3">
      <c r="A1576" t="s">
        <v>682</v>
      </c>
      <c r="B1576" s="18">
        <v>45572</v>
      </c>
      <c r="C1576" t="s">
        <v>61</v>
      </c>
      <c r="D1576" t="s">
        <v>225</v>
      </c>
      <c r="E1576">
        <v>88</v>
      </c>
      <c r="F1576">
        <v>191.66</v>
      </c>
      <c r="G1576" s="18">
        <v>45587</v>
      </c>
      <c r="H1576" s="18">
        <v>45584</v>
      </c>
      <c r="I1576">
        <v>88</v>
      </c>
      <c r="J1576">
        <v>16866.080000000002</v>
      </c>
      <c r="K1576">
        <f>IF(tblPO[[#This Row],[Actual_Delivery_Date]]&lt;=tblPO[[#This Row],[Expected_Delivery_Date]],1,0)</f>
        <v>1</v>
      </c>
      <c r="L1576">
        <f>IF(tblPO[[#This Row],[Actual_Delivery_Date]]&gt;tblPO[[#This Row],[Expected_Delivery_Date]],1,0)</f>
        <v>0</v>
      </c>
      <c r="M1576">
        <f>tblPO[[#This Row],[Actual_Delivery_Date]]-tblPO[[#This Row],[PO_Date]]</f>
        <v>12</v>
      </c>
    </row>
    <row r="1577" spans="1:13" x14ac:dyDescent="0.3">
      <c r="A1577" t="s">
        <v>681</v>
      </c>
      <c r="B1577" s="18">
        <v>45579</v>
      </c>
      <c r="C1577" t="s">
        <v>39</v>
      </c>
      <c r="D1577" t="s">
        <v>162</v>
      </c>
      <c r="E1577">
        <v>688</v>
      </c>
      <c r="F1577">
        <v>44.12</v>
      </c>
      <c r="G1577" s="18">
        <v>45592</v>
      </c>
      <c r="H1577" s="18">
        <v>45591</v>
      </c>
      <c r="I1577">
        <v>688</v>
      </c>
      <c r="J1577">
        <v>30354.560000000001</v>
      </c>
      <c r="K1577">
        <f>IF(tblPO[[#This Row],[Actual_Delivery_Date]]&lt;=tblPO[[#This Row],[Expected_Delivery_Date]],1,0)</f>
        <v>1</v>
      </c>
      <c r="L1577">
        <f>IF(tblPO[[#This Row],[Actual_Delivery_Date]]&gt;tblPO[[#This Row],[Expected_Delivery_Date]],1,0)</f>
        <v>0</v>
      </c>
      <c r="M1577">
        <f>tblPO[[#This Row],[Actual_Delivery_Date]]-tblPO[[#This Row],[PO_Date]]</f>
        <v>12</v>
      </c>
    </row>
    <row r="1578" spans="1:13" x14ac:dyDescent="0.3">
      <c r="A1578" t="s">
        <v>680</v>
      </c>
      <c r="B1578" s="18">
        <v>45579</v>
      </c>
      <c r="C1578" t="s">
        <v>40</v>
      </c>
      <c r="D1578" t="s">
        <v>138</v>
      </c>
      <c r="E1578">
        <v>18</v>
      </c>
      <c r="F1578">
        <v>4040.96</v>
      </c>
      <c r="G1578" s="18">
        <v>45587</v>
      </c>
      <c r="H1578" s="18">
        <v>45584</v>
      </c>
      <c r="I1578">
        <v>18</v>
      </c>
      <c r="J1578">
        <v>72737.279999999999</v>
      </c>
      <c r="K1578">
        <f>IF(tblPO[[#This Row],[Actual_Delivery_Date]]&lt;=tblPO[[#This Row],[Expected_Delivery_Date]],1,0)</f>
        <v>1</v>
      </c>
      <c r="L1578">
        <f>IF(tblPO[[#This Row],[Actual_Delivery_Date]]&gt;tblPO[[#This Row],[Expected_Delivery_Date]],1,0)</f>
        <v>0</v>
      </c>
      <c r="M1578">
        <f>tblPO[[#This Row],[Actual_Delivery_Date]]-tblPO[[#This Row],[PO_Date]]</f>
        <v>5</v>
      </c>
    </row>
    <row r="1579" spans="1:13" x14ac:dyDescent="0.3">
      <c r="A1579" t="s">
        <v>679</v>
      </c>
      <c r="B1579" s="18">
        <v>45574</v>
      </c>
      <c r="C1579" t="s">
        <v>40</v>
      </c>
      <c r="D1579" t="s">
        <v>130</v>
      </c>
      <c r="E1579">
        <v>54</v>
      </c>
      <c r="F1579">
        <v>401.15</v>
      </c>
      <c r="G1579" s="18">
        <v>45581</v>
      </c>
      <c r="H1579" s="18">
        <v>45579</v>
      </c>
      <c r="I1579">
        <v>54</v>
      </c>
      <c r="J1579">
        <v>21662.1</v>
      </c>
      <c r="K1579">
        <f>IF(tblPO[[#This Row],[Actual_Delivery_Date]]&lt;=tblPO[[#This Row],[Expected_Delivery_Date]],1,0)</f>
        <v>1</v>
      </c>
      <c r="L1579">
        <f>IF(tblPO[[#This Row],[Actual_Delivery_Date]]&gt;tblPO[[#This Row],[Expected_Delivery_Date]],1,0)</f>
        <v>0</v>
      </c>
      <c r="M1579">
        <f>tblPO[[#This Row],[Actual_Delivery_Date]]-tblPO[[#This Row],[PO_Date]]</f>
        <v>5</v>
      </c>
    </row>
    <row r="1580" spans="1:13" x14ac:dyDescent="0.3">
      <c r="A1580" t="s">
        <v>678</v>
      </c>
      <c r="B1580" s="18">
        <v>45570</v>
      </c>
      <c r="C1580" t="s">
        <v>50</v>
      </c>
      <c r="D1580" t="s">
        <v>132</v>
      </c>
      <c r="E1580">
        <v>25</v>
      </c>
      <c r="F1580">
        <v>2848.82</v>
      </c>
      <c r="G1580" s="18">
        <v>45588</v>
      </c>
      <c r="H1580" s="18">
        <v>45585</v>
      </c>
      <c r="I1580">
        <v>25</v>
      </c>
      <c r="J1580">
        <v>71220.5</v>
      </c>
      <c r="K1580">
        <f>IF(tblPO[[#This Row],[Actual_Delivery_Date]]&lt;=tblPO[[#This Row],[Expected_Delivery_Date]],1,0)</f>
        <v>1</v>
      </c>
      <c r="L1580">
        <f>IF(tblPO[[#This Row],[Actual_Delivery_Date]]&gt;tblPO[[#This Row],[Expected_Delivery_Date]],1,0)</f>
        <v>0</v>
      </c>
      <c r="M1580">
        <f>tblPO[[#This Row],[Actual_Delivery_Date]]-tblPO[[#This Row],[PO_Date]]</f>
        <v>15</v>
      </c>
    </row>
    <row r="1581" spans="1:13" x14ac:dyDescent="0.3">
      <c r="A1581" t="s">
        <v>677</v>
      </c>
      <c r="B1581" s="18">
        <v>45566</v>
      </c>
      <c r="C1581" t="s">
        <v>42</v>
      </c>
      <c r="D1581" t="s">
        <v>86</v>
      </c>
      <c r="E1581">
        <v>15</v>
      </c>
      <c r="F1581">
        <v>329.72</v>
      </c>
      <c r="G1581" s="18">
        <v>45579</v>
      </c>
      <c r="H1581" s="18">
        <v>45576</v>
      </c>
      <c r="I1581">
        <v>15</v>
      </c>
      <c r="J1581">
        <v>4945.8</v>
      </c>
      <c r="K1581">
        <f>IF(tblPO[[#This Row],[Actual_Delivery_Date]]&lt;=tblPO[[#This Row],[Expected_Delivery_Date]],1,0)</f>
        <v>1</v>
      </c>
      <c r="L1581">
        <f>IF(tblPO[[#This Row],[Actual_Delivery_Date]]&gt;tblPO[[#This Row],[Expected_Delivery_Date]],1,0)</f>
        <v>0</v>
      </c>
      <c r="M1581">
        <f>tblPO[[#This Row],[Actual_Delivery_Date]]-tblPO[[#This Row],[PO_Date]]</f>
        <v>10</v>
      </c>
    </row>
    <row r="1582" spans="1:13" x14ac:dyDescent="0.3">
      <c r="A1582" t="s">
        <v>676</v>
      </c>
      <c r="B1582" s="18">
        <v>45570</v>
      </c>
      <c r="C1582" t="s">
        <v>68</v>
      </c>
      <c r="D1582" t="s">
        <v>146</v>
      </c>
      <c r="E1582">
        <v>25</v>
      </c>
      <c r="F1582">
        <v>2158.96</v>
      </c>
      <c r="G1582" s="18">
        <v>45579</v>
      </c>
      <c r="H1582" s="18">
        <v>45576</v>
      </c>
      <c r="I1582">
        <v>25</v>
      </c>
      <c r="J1582">
        <v>53974</v>
      </c>
      <c r="K1582">
        <f>IF(tblPO[[#This Row],[Actual_Delivery_Date]]&lt;=tblPO[[#This Row],[Expected_Delivery_Date]],1,0)</f>
        <v>1</v>
      </c>
      <c r="L1582">
        <f>IF(tblPO[[#This Row],[Actual_Delivery_Date]]&gt;tblPO[[#This Row],[Expected_Delivery_Date]],1,0)</f>
        <v>0</v>
      </c>
      <c r="M1582">
        <f>tblPO[[#This Row],[Actual_Delivery_Date]]-tblPO[[#This Row],[PO_Date]]</f>
        <v>6</v>
      </c>
    </row>
    <row r="1583" spans="1:13" x14ac:dyDescent="0.3">
      <c r="A1583" t="s">
        <v>675</v>
      </c>
      <c r="B1583" s="18">
        <v>45581</v>
      </c>
      <c r="C1583" t="s">
        <v>50</v>
      </c>
      <c r="D1583" t="s">
        <v>113</v>
      </c>
      <c r="E1583">
        <v>124</v>
      </c>
      <c r="F1583">
        <v>482.37</v>
      </c>
      <c r="G1583" s="18">
        <v>45594</v>
      </c>
      <c r="H1583" s="18">
        <v>45593</v>
      </c>
      <c r="I1583">
        <v>124</v>
      </c>
      <c r="J1583">
        <v>59813.88</v>
      </c>
      <c r="K1583">
        <f>IF(tblPO[[#This Row],[Actual_Delivery_Date]]&lt;=tblPO[[#This Row],[Expected_Delivery_Date]],1,0)</f>
        <v>1</v>
      </c>
      <c r="L1583">
        <f>IF(tblPO[[#This Row],[Actual_Delivery_Date]]&gt;tblPO[[#This Row],[Expected_Delivery_Date]],1,0)</f>
        <v>0</v>
      </c>
      <c r="M1583">
        <f>tblPO[[#This Row],[Actual_Delivery_Date]]-tblPO[[#This Row],[PO_Date]]</f>
        <v>12</v>
      </c>
    </row>
    <row r="1584" spans="1:13" x14ac:dyDescent="0.3">
      <c r="A1584" t="s">
        <v>674</v>
      </c>
      <c r="B1584" s="18">
        <v>45571</v>
      </c>
      <c r="C1584" t="s">
        <v>46</v>
      </c>
      <c r="D1584" t="s">
        <v>86</v>
      </c>
      <c r="E1584">
        <v>48</v>
      </c>
      <c r="F1584">
        <v>351.73</v>
      </c>
      <c r="G1584" s="18">
        <v>45596</v>
      </c>
      <c r="H1584" s="18">
        <v>45596</v>
      </c>
      <c r="I1584">
        <v>48</v>
      </c>
      <c r="J1584">
        <v>16883.04</v>
      </c>
      <c r="K1584">
        <f>IF(tblPO[[#This Row],[Actual_Delivery_Date]]&lt;=tblPO[[#This Row],[Expected_Delivery_Date]],1,0)</f>
        <v>1</v>
      </c>
      <c r="L1584">
        <f>IF(tblPO[[#This Row],[Actual_Delivery_Date]]&gt;tblPO[[#This Row],[Expected_Delivery_Date]],1,0)</f>
        <v>0</v>
      </c>
      <c r="M1584">
        <f>tblPO[[#This Row],[Actual_Delivery_Date]]-tblPO[[#This Row],[PO_Date]]</f>
        <v>25</v>
      </c>
    </row>
    <row r="1585" spans="1:13" x14ac:dyDescent="0.3">
      <c r="A1585" t="s">
        <v>673</v>
      </c>
      <c r="B1585" s="18">
        <v>45574</v>
      </c>
      <c r="C1585" t="s">
        <v>48</v>
      </c>
      <c r="D1585" t="s">
        <v>160</v>
      </c>
      <c r="E1585">
        <v>766</v>
      </c>
      <c r="F1585">
        <v>124.77</v>
      </c>
      <c r="G1585" s="18">
        <v>45593</v>
      </c>
      <c r="H1585" s="18">
        <v>45595</v>
      </c>
      <c r="I1585">
        <v>766</v>
      </c>
      <c r="J1585">
        <v>95573.82</v>
      </c>
      <c r="K1585">
        <f>IF(tblPO[[#This Row],[Actual_Delivery_Date]]&lt;=tblPO[[#This Row],[Expected_Delivery_Date]],1,0)</f>
        <v>0</v>
      </c>
      <c r="L1585">
        <f>IF(tblPO[[#This Row],[Actual_Delivery_Date]]&gt;tblPO[[#This Row],[Expected_Delivery_Date]],1,0)</f>
        <v>1</v>
      </c>
      <c r="M1585">
        <f>tblPO[[#This Row],[Actual_Delivery_Date]]-tblPO[[#This Row],[PO_Date]]</f>
        <v>21</v>
      </c>
    </row>
    <row r="1586" spans="1:13" x14ac:dyDescent="0.3">
      <c r="A1586" t="s">
        <v>672</v>
      </c>
      <c r="B1586" s="18">
        <v>45594</v>
      </c>
      <c r="C1586" t="s">
        <v>60</v>
      </c>
      <c r="D1586" t="s">
        <v>140</v>
      </c>
      <c r="E1586">
        <v>44</v>
      </c>
      <c r="F1586">
        <v>308.58999999999997</v>
      </c>
      <c r="G1586" s="18">
        <v>45609</v>
      </c>
      <c r="H1586" s="18">
        <v>45609</v>
      </c>
      <c r="I1586">
        <v>44</v>
      </c>
      <c r="J1586">
        <v>13577.96</v>
      </c>
      <c r="K1586">
        <f>IF(tblPO[[#This Row],[Actual_Delivery_Date]]&lt;=tblPO[[#This Row],[Expected_Delivery_Date]],1,0)</f>
        <v>1</v>
      </c>
      <c r="L1586">
        <f>IF(tblPO[[#This Row],[Actual_Delivery_Date]]&gt;tblPO[[#This Row],[Expected_Delivery_Date]],1,0)</f>
        <v>0</v>
      </c>
      <c r="M1586">
        <f>tblPO[[#This Row],[Actual_Delivery_Date]]-tblPO[[#This Row],[PO_Date]]</f>
        <v>15</v>
      </c>
    </row>
    <row r="1587" spans="1:13" x14ac:dyDescent="0.3">
      <c r="A1587" t="s">
        <v>671</v>
      </c>
      <c r="B1587" s="18">
        <v>45595</v>
      </c>
      <c r="C1587" t="s">
        <v>54</v>
      </c>
      <c r="D1587" t="s">
        <v>209</v>
      </c>
      <c r="E1587">
        <v>421</v>
      </c>
      <c r="F1587">
        <v>14.53</v>
      </c>
      <c r="G1587" s="18">
        <v>45612</v>
      </c>
      <c r="H1587" s="18">
        <v>45610</v>
      </c>
      <c r="I1587">
        <v>421</v>
      </c>
      <c r="J1587">
        <v>6117.13</v>
      </c>
      <c r="K1587">
        <f>IF(tblPO[[#This Row],[Actual_Delivery_Date]]&lt;=tblPO[[#This Row],[Expected_Delivery_Date]],1,0)</f>
        <v>1</v>
      </c>
      <c r="L1587">
        <f>IF(tblPO[[#This Row],[Actual_Delivery_Date]]&gt;tblPO[[#This Row],[Expected_Delivery_Date]],1,0)</f>
        <v>0</v>
      </c>
      <c r="M1587">
        <f>tblPO[[#This Row],[Actual_Delivery_Date]]-tblPO[[#This Row],[PO_Date]]</f>
        <v>15</v>
      </c>
    </row>
    <row r="1588" spans="1:13" x14ac:dyDescent="0.3">
      <c r="A1588" t="s">
        <v>670</v>
      </c>
      <c r="B1588" s="18">
        <v>45584</v>
      </c>
      <c r="C1588" t="s">
        <v>39</v>
      </c>
      <c r="D1588" t="s">
        <v>176</v>
      </c>
      <c r="E1588">
        <v>737</v>
      </c>
      <c r="F1588">
        <v>51.42</v>
      </c>
      <c r="G1588" s="18">
        <v>45607</v>
      </c>
      <c r="H1588" s="18">
        <v>45604</v>
      </c>
      <c r="I1588">
        <v>737</v>
      </c>
      <c r="J1588">
        <v>37896.54</v>
      </c>
      <c r="K1588">
        <f>IF(tblPO[[#This Row],[Actual_Delivery_Date]]&lt;=tblPO[[#This Row],[Expected_Delivery_Date]],1,0)</f>
        <v>1</v>
      </c>
      <c r="L1588">
        <f>IF(tblPO[[#This Row],[Actual_Delivery_Date]]&gt;tblPO[[#This Row],[Expected_Delivery_Date]],1,0)</f>
        <v>0</v>
      </c>
      <c r="M1588">
        <f>tblPO[[#This Row],[Actual_Delivery_Date]]-tblPO[[#This Row],[PO_Date]]</f>
        <v>20</v>
      </c>
    </row>
    <row r="1589" spans="1:13" x14ac:dyDescent="0.3">
      <c r="A1589" t="s">
        <v>669</v>
      </c>
      <c r="B1589" s="18">
        <v>45575</v>
      </c>
      <c r="C1589" t="s">
        <v>44</v>
      </c>
      <c r="D1589" t="s">
        <v>207</v>
      </c>
      <c r="E1589">
        <v>689</v>
      </c>
      <c r="F1589">
        <v>9.59</v>
      </c>
      <c r="G1589" s="18">
        <v>45599</v>
      </c>
      <c r="H1589" s="18">
        <v>45606</v>
      </c>
      <c r="I1589">
        <v>689</v>
      </c>
      <c r="J1589">
        <v>6607.51</v>
      </c>
      <c r="K1589">
        <f>IF(tblPO[[#This Row],[Actual_Delivery_Date]]&lt;=tblPO[[#This Row],[Expected_Delivery_Date]],1,0)</f>
        <v>0</v>
      </c>
      <c r="L1589">
        <f>IF(tblPO[[#This Row],[Actual_Delivery_Date]]&gt;tblPO[[#This Row],[Expected_Delivery_Date]],1,0)</f>
        <v>1</v>
      </c>
      <c r="M1589">
        <f>tblPO[[#This Row],[Actual_Delivery_Date]]-tblPO[[#This Row],[PO_Date]]</f>
        <v>31</v>
      </c>
    </row>
    <row r="1590" spans="1:13" x14ac:dyDescent="0.3">
      <c r="A1590" t="s">
        <v>668</v>
      </c>
      <c r="B1590" s="18">
        <v>45596</v>
      </c>
      <c r="C1590" t="s">
        <v>50</v>
      </c>
      <c r="D1590" t="s">
        <v>117</v>
      </c>
      <c r="E1590">
        <v>60</v>
      </c>
      <c r="F1590">
        <v>338.42</v>
      </c>
      <c r="G1590" s="18">
        <v>45609</v>
      </c>
      <c r="H1590" s="18">
        <v>45606</v>
      </c>
      <c r="I1590">
        <v>60</v>
      </c>
      <c r="J1590">
        <v>20305.2</v>
      </c>
      <c r="K1590">
        <f>IF(tblPO[[#This Row],[Actual_Delivery_Date]]&lt;=tblPO[[#This Row],[Expected_Delivery_Date]],1,0)</f>
        <v>1</v>
      </c>
      <c r="L1590">
        <f>IF(tblPO[[#This Row],[Actual_Delivery_Date]]&gt;tblPO[[#This Row],[Expected_Delivery_Date]],1,0)</f>
        <v>0</v>
      </c>
      <c r="M1590">
        <f>tblPO[[#This Row],[Actual_Delivery_Date]]-tblPO[[#This Row],[PO_Date]]</f>
        <v>10</v>
      </c>
    </row>
    <row r="1591" spans="1:13" x14ac:dyDescent="0.3">
      <c r="A1591" t="s">
        <v>667</v>
      </c>
      <c r="B1591" s="18">
        <v>45594</v>
      </c>
      <c r="C1591" t="s">
        <v>48</v>
      </c>
      <c r="D1591" t="s">
        <v>152</v>
      </c>
      <c r="E1591">
        <v>686</v>
      </c>
      <c r="F1591">
        <v>114.35</v>
      </c>
      <c r="G1591" s="18">
        <v>45624</v>
      </c>
      <c r="H1591" s="18">
        <v>45622</v>
      </c>
      <c r="I1591">
        <v>686</v>
      </c>
      <c r="J1591">
        <v>78444.100000000006</v>
      </c>
      <c r="K1591">
        <f>IF(tblPO[[#This Row],[Actual_Delivery_Date]]&lt;=tblPO[[#This Row],[Expected_Delivery_Date]],1,0)</f>
        <v>1</v>
      </c>
      <c r="L1591">
        <f>IF(tblPO[[#This Row],[Actual_Delivery_Date]]&gt;tblPO[[#This Row],[Expected_Delivery_Date]],1,0)</f>
        <v>0</v>
      </c>
      <c r="M1591">
        <f>tblPO[[#This Row],[Actual_Delivery_Date]]-tblPO[[#This Row],[PO_Date]]</f>
        <v>28</v>
      </c>
    </row>
    <row r="1592" spans="1:13" x14ac:dyDescent="0.3">
      <c r="A1592" t="s">
        <v>666</v>
      </c>
      <c r="B1592" s="18">
        <v>45582</v>
      </c>
      <c r="C1592" t="s">
        <v>64</v>
      </c>
      <c r="D1592" t="s">
        <v>134</v>
      </c>
      <c r="E1592">
        <v>10</v>
      </c>
      <c r="F1592">
        <v>2867.56</v>
      </c>
      <c r="G1592" s="18">
        <v>45585</v>
      </c>
      <c r="H1592" s="18">
        <v>45583</v>
      </c>
      <c r="I1592">
        <v>9</v>
      </c>
      <c r="J1592">
        <v>28675.599999999999</v>
      </c>
      <c r="K1592">
        <f>IF(tblPO[[#This Row],[Actual_Delivery_Date]]&lt;=tblPO[[#This Row],[Expected_Delivery_Date]],1,0)</f>
        <v>1</v>
      </c>
      <c r="L1592">
        <f>IF(tblPO[[#This Row],[Actual_Delivery_Date]]&gt;tblPO[[#This Row],[Expected_Delivery_Date]],1,0)</f>
        <v>0</v>
      </c>
      <c r="M1592">
        <f>tblPO[[#This Row],[Actual_Delivery_Date]]-tblPO[[#This Row],[PO_Date]]</f>
        <v>1</v>
      </c>
    </row>
    <row r="1593" spans="1:13" x14ac:dyDescent="0.3">
      <c r="A1593" t="s">
        <v>665</v>
      </c>
      <c r="B1593" s="18">
        <v>45576</v>
      </c>
      <c r="C1593" t="s">
        <v>38</v>
      </c>
      <c r="D1593" t="s">
        <v>233</v>
      </c>
      <c r="E1593">
        <v>120</v>
      </c>
      <c r="F1593">
        <v>206.02</v>
      </c>
      <c r="G1593" s="18">
        <v>45580</v>
      </c>
      <c r="H1593" s="18">
        <v>45580</v>
      </c>
      <c r="I1593">
        <v>120</v>
      </c>
      <c r="J1593">
        <v>24722.400000000001</v>
      </c>
      <c r="K1593">
        <f>IF(tblPO[[#This Row],[Actual_Delivery_Date]]&lt;=tblPO[[#This Row],[Expected_Delivery_Date]],1,0)</f>
        <v>1</v>
      </c>
      <c r="L1593">
        <f>IF(tblPO[[#This Row],[Actual_Delivery_Date]]&gt;tblPO[[#This Row],[Expected_Delivery_Date]],1,0)</f>
        <v>0</v>
      </c>
      <c r="M1593">
        <f>tblPO[[#This Row],[Actual_Delivery_Date]]-tblPO[[#This Row],[PO_Date]]</f>
        <v>4</v>
      </c>
    </row>
    <row r="1594" spans="1:13" x14ac:dyDescent="0.3">
      <c r="A1594" t="s">
        <v>664</v>
      </c>
      <c r="B1594" s="18">
        <v>45593</v>
      </c>
      <c r="C1594" t="s">
        <v>62</v>
      </c>
      <c r="D1594" t="s">
        <v>199</v>
      </c>
      <c r="E1594">
        <v>43</v>
      </c>
      <c r="F1594">
        <v>298.82</v>
      </c>
      <c r="G1594" s="18">
        <v>45596</v>
      </c>
      <c r="H1594" s="18">
        <v>45593</v>
      </c>
      <c r="I1594">
        <v>43</v>
      </c>
      <c r="J1594">
        <v>12849.26</v>
      </c>
      <c r="K1594">
        <f>IF(tblPO[[#This Row],[Actual_Delivery_Date]]&lt;=tblPO[[#This Row],[Expected_Delivery_Date]],1,0)</f>
        <v>1</v>
      </c>
      <c r="L1594">
        <f>IF(tblPO[[#This Row],[Actual_Delivery_Date]]&gt;tblPO[[#This Row],[Expected_Delivery_Date]],1,0)</f>
        <v>0</v>
      </c>
      <c r="M1594">
        <f>tblPO[[#This Row],[Actual_Delivery_Date]]-tblPO[[#This Row],[PO_Date]]</f>
        <v>0</v>
      </c>
    </row>
    <row r="1595" spans="1:13" x14ac:dyDescent="0.3">
      <c r="A1595" t="s">
        <v>663</v>
      </c>
      <c r="B1595" s="18">
        <v>45578</v>
      </c>
      <c r="C1595" t="s">
        <v>43</v>
      </c>
      <c r="D1595" t="s">
        <v>170</v>
      </c>
      <c r="E1595">
        <v>439</v>
      </c>
      <c r="F1595">
        <v>72.47</v>
      </c>
      <c r="G1595" s="18">
        <v>45582</v>
      </c>
      <c r="H1595" s="18">
        <v>45581</v>
      </c>
      <c r="I1595">
        <v>439</v>
      </c>
      <c r="J1595">
        <v>31814.33</v>
      </c>
      <c r="K1595">
        <f>IF(tblPO[[#This Row],[Actual_Delivery_Date]]&lt;=tblPO[[#This Row],[Expected_Delivery_Date]],1,0)</f>
        <v>1</v>
      </c>
      <c r="L1595">
        <f>IF(tblPO[[#This Row],[Actual_Delivery_Date]]&gt;tblPO[[#This Row],[Expected_Delivery_Date]],1,0)</f>
        <v>0</v>
      </c>
      <c r="M1595">
        <f>tblPO[[#This Row],[Actual_Delivery_Date]]-tblPO[[#This Row],[PO_Date]]</f>
        <v>3</v>
      </c>
    </row>
    <row r="1596" spans="1:13" x14ac:dyDescent="0.3">
      <c r="A1596" t="s">
        <v>662</v>
      </c>
      <c r="B1596" s="18">
        <v>45593</v>
      </c>
      <c r="C1596" t="s">
        <v>38</v>
      </c>
      <c r="D1596" t="s">
        <v>231</v>
      </c>
      <c r="E1596">
        <v>141</v>
      </c>
      <c r="F1596">
        <v>143.44999999999999</v>
      </c>
      <c r="G1596" s="18">
        <v>45609</v>
      </c>
      <c r="H1596" s="18">
        <v>45608</v>
      </c>
      <c r="I1596">
        <v>141</v>
      </c>
      <c r="J1596">
        <v>20226.45</v>
      </c>
      <c r="K1596">
        <f>IF(tblPO[[#This Row],[Actual_Delivery_Date]]&lt;=tblPO[[#This Row],[Expected_Delivery_Date]],1,0)</f>
        <v>1</v>
      </c>
      <c r="L1596">
        <f>IF(tblPO[[#This Row],[Actual_Delivery_Date]]&gt;tblPO[[#This Row],[Expected_Delivery_Date]],1,0)</f>
        <v>0</v>
      </c>
      <c r="M1596">
        <f>tblPO[[#This Row],[Actual_Delivery_Date]]-tblPO[[#This Row],[PO_Date]]</f>
        <v>15</v>
      </c>
    </row>
    <row r="1597" spans="1:13" x14ac:dyDescent="0.3">
      <c r="A1597" t="s">
        <v>661</v>
      </c>
      <c r="B1597" s="18">
        <v>45572</v>
      </c>
      <c r="C1597" t="s">
        <v>40</v>
      </c>
      <c r="D1597" t="s">
        <v>132</v>
      </c>
      <c r="E1597">
        <v>19</v>
      </c>
      <c r="F1597">
        <v>2991.54</v>
      </c>
      <c r="G1597" s="18">
        <v>45590</v>
      </c>
      <c r="H1597" s="18">
        <v>45587</v>
      </c>
      <c r="I1597">
        <v>19</v>
      </c>
      <c r="J1597">
        <v>56839.26</v>
      </c>
      <c r="K1597">
        <f>IF(tblPO[[#This Row],[Actual_Delivery_Date]]&lt;=tblPO[[#This Row],[Expected_Delivery_Date]],1,0)</f>
        <v>1</v>
      </c>
      <c r="L1597">
        <f>IF(tblPO[[#This Row],[Actual_Delivery_Date]]&gt;tblPO[[#This Row],[Expected_Delivery_Date]],1,0)</f>
        <v>0</v>
      </c>
      <c r="M1597">
        <f>tblPO[[#This Row],[Actual_Delivery_Date]]-tblPO[[#This Row],[PO_Date]]</f>
        <v>15</v>
      </c>
    </row>
    <row r="1598" spans="1:13" x14ac:dyDescent="0.3">
      <c r="A1598" t="s">
        <v>660</v>
      </c>
      <c r="B1598" s="18">
        <v>45595</v>
      </c>
      <c r="C1598" t="s">
        <v>40</v>
      </c>
      <c r="D1598" t="s">
        <v>113</v>
      </c>
      <c r="E1598">
        <v>180</v>
      </c>
      <c r="F1598">
        <v>510.93</v>
      </c>
      <c r="G1598" s="18">
        <v>45608</v>
      </c>
      <c r="H1598" s="18">
        <v>45605</v>
      </c>
      <c r="I1598">
        <v>160</v>
      </c>
      <c r="J1598">
        <v>91967.4</v>
      </c>
      <c r="K1598">
        <f>IF(tblPO[[#This Row],[Actual_Delivery_Date]]&lt;=tblPO[[#This Row],[Expected_Delivery_Date]],1,0)</f>
        <v>1</v>
      </c>
      <c r="L1598">
        <f>IF(tblPO[[#This Row],[Actual_Delivery_Date]]&gt;tblPO[[#This Row],[Expected_Delivery_Date]],1,0)</f>
        <v>0</v>
      </c>
      <c r="M1598">
        <f>tblPO[[#This Row],[Actual_Delivery_Date]]-tblPO[[#This Row],[PO_Date]]</f>
        <v>10</v>
      </c>
    </row>
    <row r="1599" spans="1:13" x14ac:dyDescent="0.3">
      <c r="A1599" t="s">
        <v>659</v>
      </c>
      <c r="B1599" s="18">
        <v>45571</v>
      </c>
      <c r="C1599" t="s">
        <v>39</v>
      </c>
      <c r="D1599" t="s">
        <v>152</v>
      </c>
      <c r="E1599">
        <v>126</v>
      </c>
      <c r="F1599">
        <v>100.58</v>
      </c>
      <c r="G1599" s="18">
        <v>45594</v>
      </c>
      <c r="H1599" s="18">
        <v>45592</v>
      </c>
      <c r="I1599">
        <v>126</v>
      </c>
      <c r="J1599">
        <v>12673.08</v>
      </c>
      <c r="K1599">
        <f>IF(tblPO[[#This Row],[Actual_Delivery_Date]]&lt;=tblPO[[#This Row],[Expected_Delivery_Date]],1,0)</f>
        <v>1</v>
      </c>
      <c r="L1599">
        <f>IF(tblPO[[#This Row],[Actual_Delivery_Date]]&gt;tblPO[[#This Row],[Expected_Delivery_Date]],1,0)</f>
        <v>0</v>
      </c>
      <c r="M1599">
        <f>tblPO[[#This Row],[Actual_Delivery_Date]]-tblPO[[#This Row],[PO_Date]]</f>
        <v>21</v>
      </c>
    </row>
    <row r="1600" spans="1:13" x14ac:dyDescent="0.3">
      <c r="A1600" t="s">
        <v>658</v>
      </c>
      <c r="B1600" s="18">
        <v>45589</v>
      </c>
      <c r="C1600" t="s">
        <v>38</v>
      </c>
      <c r="D1600" t="s">
        <v>247</v>
      </c>
      <c r="E1600">
        <v>13</v>
      </c>
      <c r="F1600">
        <v>595.67999999999995</v>
      </c>
      <c r="G1600" s="18">
        <v>45602</v>
      </c>
      <c r="H1600" s="18">
        <v>45599</v>
      </c>
      <c r="I1600">
        <v>13</v>
      </c>
      <c r="J1600">
        <v>7743.84</v>
      </c>
      <c r="K1600">
        <f>IF(tblPO[[#This Row],[Actual_Delivery_Date]]&lt;=tblPO[[#This Row],[Expected_Delivery_Date]],1,0)</f>
        <v>1</v>
      </c>
      <c r="L1600">
        <f>IF(tblPO[[#This Row],[Actual_Delivery_Date]]&gt;tblPO[[#This Row],[Expected_Delivery_Date]],1,0)</f>
        <v>0</v>
      </c>
      <c r="M1600">
        <f>tblPO[[#This Row],[Actual_Delivery_Date]]-tblPO[[#This Row],[PO_Date]]</f>
        <v>10</v>
      </c>
    </row>
    <row r="1601" spans="1:13" x14ac:dyDescent="0.3">
      <c r="A1601" t="s">
        <v>657</v>
      </c>
      <c r="B1601" s="18">
        <v>45591</v>
      </c>
      <c r="C1601" t="s">
        <v>55</v>
      </c>
      <c r="D1601" t="s">
        <v>223</v>
      </c>
      <c r="E1601">
        <v>94</v>
      </c>
      <c r="F1601">
        <v>186.74</v>
      </c>
      <c r="G1601" s="18">
        <v>45606</v>
      </c>
      <c r="H1601" s="18">
        <v>45603</v>
      </c>
      <c r="I1601">
        <v>94</v>
      </c>
      <c r="J1601">
        <v>17553.560000000001</v>
      </c>
      <c r="K1601">
        <f>IF(tblPO[[#This Row],[Actual_Delivery_Date]]&lt;=tblPO[[#This Row],[Expected_Delivery_Date]],1,0)</f>
        <v>1</v>
      </c>
      <c r="L1601">
        <f>IF(tblPO[[#This Row],[Actual_Delivery_Date]]&gt;tblPO[[#This Row],[Expected_Delivery_Date]],1,0)</f>
        <v>0</v>
      </c>
      <c r="M1601">
        <f>tblPO[[#This Row],[Actual_Delivery_Date]]-tblPO[[#This Row],[PO_Date]]</f>
        <v>12</v>
      </c>
    </row>
    <row r="1602" spans="1:13" x14ac:dyDescent="0.3">
      <c r="A1602" t="s">
        <v>656</v>
      </c>
      <c r="B1602" s="18">
        <v>45571</v>
      </c>
      <c r="C1602" t="s">
        <v>39</v>
      </c>
      <c r="D1602" t="s">
        <v>170</v>
      </c>
      <c r="E1602">
        <v>133</v>
      </c>
      <c r="F1602">
        <v>95.12</v>
      </c>
      <c r="G1602" s="18">
        <v>45585</v>
      </c>
      <c r="H1602" s="18">
        <v>45582</v>
      </c>
      <c r="I1602">
        <v>128</v>
      </c>
      <c r="J1602">
        <v>12650.96</v>
      </c>
      <c r="K1602">
        <f>IF(tblPO[[#This Row],[Actual_Delivery_Date]]&lt;=tblPO[[#This Row],[Expected_Delivery_Date]],1,0)</f>
        <v>1</v>
      </c>
      <c r="L1602">
        <f>IF(tblPO[[#This Row],[Actual_Delivery_Date]]&gt;tblPO[[#This Row],[Expected_Delivery_Date]],1,0)</f>
        <v>0</v>
      </c>
      <c r="M1602">
        <f>tblPO[[#This Row],[Actual_Delivery_Date]]-tblPO[[#This Row],[PO_Date]]</f>
        <v>11</v>
      </c>
    </row>
    <row r="1603" spans="1:13" x14ac:dyDescent="0.3">
      <c r="A1603" t="s">
        <v>655</v>
      </c>
      <c r="B1603" s="18">
        <v>45568</v>
      </c>
      <c r="C1603" t="s">
        <v>42</v>
      </c>
      <c r="D1603" t="s">
        <v>104</v>
      </c>
      <c r="E1603">
        <v>193</v>
      </c>
      <c r="F1603">
        <v>452.85</v>
      </c>
      <c r="G1603" s="18">
        <v>45592</v>
      </c>
      <c r="H1603" s="18">
        <v>45590</v>
      </c>
      <c r="I1603">
        <v>193</v>
      </c>
      <c r="J1603">
        <v>87400.05</v>
      </c>
      <c r="K1603">
        <f>IF(tblPO[[#This Row],[Actual_Delivery_Date]]&lt;=tblPO[[#This Row],[Expected_Delivery_Date]],1,0)</f>
        <v>1</v>
      </c>
      <c r="L1603">
        <f>IF(tblPO[[#This Row],[Actual_Delivery_Date]]&gt;tblPO[[#This Row],[Expected_Delivery_Date]],1,0)</f>
        <v>0</v>
      </c>
      <c r="M1603">
        <f>tblPO[[#This Row],[Actual_Delivery_Date]]-tblPO[[#This Row],[PO_Date]]</f>
        <v>22</v>
      </c>
    </row>
    <row r="1604" spans="1:13" x14ac:dyDescent="0.3">
      <c r="A1604" t="s">
        <v>654</v>
      </c>
      <c r="B1604" s="18">
        <v>45585</v>
      </c>
      <c r="C1604" t="s">
        <v>47</v>
      </c>
      <c r="D1604" t="s">
        <v>239</v>
      </c>
      <c r="E1604">
        <v>557</v>
      </c>
      <c r="F1604">
        <v>77.27</v>
      </c>
      <c r="G1604" s="18">
        <v>45593</v>
      </c>
      <c r="H1604" s="18">
        <v>45590</v>
      </c>
      <c r="I1604">
        <v>557</v>
      </c>
      <c r="J1604">
        <v>43039.39</v>
      </c>
      <c r="K1604">
        <f>IF(tblPO[[#This Row],[Actual_Delivery_Date]]&lt;=tblPO[[#This Row],[Expected_Delivery_Date]],1,0)</f>
        <v>1</v>
      </c>
      <c r="L1604">
        <f>IF(tblPO[[#This Row],[Actual_Delivery_Date]]&gt;tblPO[[#This Row],[Expected_Delivery_Date]],1,0)</f>
        <v>0</v>
      </c>
      <c r="M1604">
        <f>tblPO[[#This Row],[Actual_Delivery_Date]]-tblPO[[#This Row],[PO_Date]]</f>
        <v>5</v>
      </c>
    </row>
    <row r="1605" spans="1:13" x14ac:dyDescent="0.3">
      <c r="A1605" t="s">
        <v>653</v>
      </c>
      <c r="B1605" s="18">
        <v>45572</v>
      </c>
      <c r="C1605" t="s">
        <v>45</v>
      </c>
      <c r="D1605" t="s">
        <v>219</v>
      </c>
      <c r="E1605">
        <v>230</v>
      </c>
      <c r="F1605">
        <v>86.69</v>
      </c>
      <c r="G1605" s="18">
        <v>45583</v>
      </c>
      <c r="H1605" s="18">
        <v>45581</v>
      </c>
      <c r="I1605">
        <v>230</v>
      </c>
      <c r="J1605">
        <v>19938.7</v>
      </c>
      <c r="K1605">
        <f>IF(tblPO[[#This Row],[Actual_Delivery_Date]]&lt;=tblPO[[#This Row],[Expected_Delivery_Date]],1,0)</f>
        <v>1</v>
      </c>
      <c r="L1605">
        <f>IF(tblPO[[#This Row],[Actual_Delivery_Date]]&gt;tblPO[[#This Row],[Expected_Delivery_Date]],1,0)</f>
        <v>0</v>
      </c>
      <c r="M1605">
        <f>tblPO[[#This Row],[Actual_Delivery_Date]]-tblPO[[#This Row],[PO_Date]]</f>
        <v>9</v>
      </c>
    </row>
    <row r="1606" spans="1:13" x14ac:dyDescent="0.3">
      <c r="A1606" t="s">
        <v>652</v>
      </c>
      <c r="B1606" s="18">
        <v>45571</v>
      </c>
      <c r="C1606" t="s">
        <v>42</v>
      </c>
      <c r="D1606" t="s">
        <v>88</v>
      </c>
      <c r="E1606">
        <v>4</v>
      </c>
      <c r="F1606">
        <v>19305.849999999999</v>
      </c>
      <c r="G1606" s="18">
        <v>45593</v>
      </c>
      <c r="H1606" s="18">
        <v>45591</v>
      </c>
      <c r="I1606">
        <v>4</v>
      </c>
      <c r="J1606">
        <v>77223.399999999994</v>
      </c>
      <c r="K1606">
        <f>IF(tblPO[[#This Row],[Actual_Delivery_Date]]&lt;=tblPO[[#This Row],[Expected_Delivery_Date]],1,0)</f>
        <v>1</v>
      </c>
      <c r="L1606">
        <f>IF(tblPO[[#This Row],[Actual_Delivery_Date]]&gt;tblPO[[#This Row],[Expected_Delivery_Date]],1,0)</f>
        <v>0</v>
      </c>
      <c r="M1606">
        <f>tblPO[[#This Row],[Actual_Delivery_Date]]-tblPO[[#This Row],[PO_Date]]</f>
        <v>20</v>
      </c>
    </row>
    <row r="1607" spans="1:13" x14ac:dyDescent="0.3">
      <c r="A1607" t="s">
        <v>651</v>
      </c>
      <c r="B1607" s="18">
        <v>45585</v>
      </c>
      <c r="C1607" t="s">
        <v>49</v>
      </c>
      <c r="D1607" t="s">
        <v>188</v>
      </c>
      <c r="E1607">
        <v>353</v>
      </c>
      <c r="F1607">
        <v>34.340000000000003</v>
      </c>
      <c r="G1607" s="18">
        <v>45601</v>
      </c>
      <c r="H1607" s="18">
        <v>45600</v>
      </c>
      <c r="I1607">
        <v>353</v>
      </c>
      <c r="J1607">
        <v>12122.02</v>
      </c>
      <c r="K1607">
        <f>IF(tblPO[[#This Row],[Actual_Delivery_Date]]&lt;=tblPO[[#This Row],[Expected_Delivery_Date]],1,0)</f>
        <v>1</v>
      </c>
      <c r="L1607">
        <f>IF(tblPO[[#This Row],[Actual_Delivery_Date]]&gt;tblPO[[#This Row],[Expected_Delivery_Date]],1,0)</f>
        <v>0</v>
      </c>
      <c r="M1607">
        <f>tblPO[[#This Row],[Actual_Delivery_Date]]-tblPO[[#This Row],[PO_Date]]</f>
        <v>15</v>
      </c>
    </row>
    <row r="1608" spans="1:13" x14ac:dyDescent="0.3">
      <c r="A1608" t="s">
        <v>650</v>
      </c>
      <c r="B1608" s="18">
        <v>45582</v>
      </c>
      <c r="C1608" t="s">
        <v>57</v>
      </c>
      <c r="D1608" t="s">
        <v>201</v>
      </c>
      <c r="E1608">
        <v>296</v>
      </c>
      <c r="F1608">
        <v>44.32</v>
      </c>
      <c r="G1608" s="18">
        <v>45594</v>
      </c>
      <c r="H1608" s="18">
        <v>45593</v>
      </c>
      <c r="I1608">
        <v>296</v>
      </c>
      <c r="J1608">
        <v>13118.72</v>
      </c>
      <c r="K1608">
        <f>IF(tblPO[[#This Row],[Actual_Delivery_Date]]&lt;=tblPO[[#This Row],[Expected_Delivery_Date]],1,0)</f>
        <v>1</v>
      </c>
      <c r="L1608">
        <f>IF(tblPO[[#This Row],[Actual_Delivery_Date]]&gt;tblPO[[#This Row],[Expected_Delivery_Date]],1,0)</f>
        <v>0</v>
      </c>
      <c r="M1608">
        <f>tblPO[[#This Row],[Actual_Delivery_Date]]-tblPO[[#This Row],[PO_Date]]</f>
        <v>11</v>
      </c>
    </row>
    <row r="1609" spans="1:13" x14ac:dyDescent="0.3">
      <c r="A1609" t="s">
        <v>649</v>
      </c>
      <c r="B1609" s="18">
        <v>45581</v>
      </c>
      <c r="C1609" t="s">
        <v>48</v>
      </c>
      <c r="D1609" t="s">
        <v>172</v>
      </c>
      <c r="E1609">
        <v>114</v>
      </c>
      <c r="F1609">
        <v>40.15</v>
      </c>
      <c r="G1609" s="18">
        <v>45604</v>
      </c>
      <c r="H1609" s="18">
        <v>45601</v>
      </c>
      <c r="I1609">
        <v>114</v>
      </c>
      <c r="J1609">
        <v>4577.1000000000004</v>
      </c>
      <c r="K1609">
        <f>IF(tblPO[[#This Row],[Actual_Delivery_Date]]&lt;=tblPO[[#This Row],[Expected_Delivery_Date]],1,0)</f>
        <v>1</v>
      </c>
      <c r="L1609">
        <f>IF(tblPO[[#This Row],[Actual_Delivery_Date]]&gt;tblPO[[#This Row],[Expected_Delivery_Date]],1,0)</f>
        <v>0</v>
      </c>
      <c r="M1609">
        <f>tblPO[[#This Row],[Actual_Delivery_Date]]-tblPO[[#This Row],[PO_Date]]</f>
        <v>20</v>
      </c>
    </row>
    <row r="1610" spans="1:13" x14ac:dyDescent="0.3">
      <c r="A1610" t="s">
        <v>648</v>
      </c>
      <c r="B1610" s="18">
        <v>45580</v>
      </c>
      <c r="C1610" t="s">
        <v>45</v>
      </c>
      <c r="D1610" t="s">
        <v>225</v>
      </c>
      <c r="E1610">
        <v>193</v>
      </c>
      <c r="F1610">
        <v>201.98</v>
      </c>
      <c r="G1610" s="18">
        <v>45583</v>
      </c>
      <c r="H1610" s="18">
        <v>45599</v>
      </c>
      <c r="I1610">
        <v>193</v>
      </c>
      <c r="J1610">
        <v>38982.14</v>
      </c>
      <c r="K1610">
        <f>IF(tblPO[[#This Row],[Actual_Delivery_Date]]&lt;=tblPO[[#This Row],[Expected_Delivery_Date]],1,0)</f>
        <v>0</v>
      </c>
      <c r="L1610">
        <f>IF(tblPO[[#This Row],[Actual_Delivery_Date]]&gt;tblPO[[#This Row],[Expected_Delivery_Date]],1,0)</f>
        <v>1</v>
      </c>
      <c r="M1610">
        <f>tblPO[[#This Row],[Actual_Delivery_Date]]-tblPO[[#This Row],[PO_Date]]</f>
        <v>19</v>
      </c>
    </row>
    <row r="1611" spans="1:13" x14ac:dyDescent="0.3">
      <c r="A1611" t="s">
        <v>647</v>
      </c>
      <c r="B1611" s="18">
        <v>45588</v>
      </c>
      <c r="C1611" t="s">
        <v>40</v>
      </c>
      <c r="D1611" t="s">
        <v>123</v>
      </c>
      <c r="E1611">
        <v>13</v>
      </c>
      <c r="F1611">
        <v>1287.3599999999999</v>
      </c>
      <c r="G1611" s="18">
        <v>45593</v>
      </c>
      <c r="H1611" s="18">
        <v>45592</v>
      </c>
      <c r="I1611">
        <v>13</v>
      </c>
      <c r="J1611">
        <v>16735.68</v>
      </c>
      <c r="K1611">
        <f>IF(tblPO[[#This Row],[Actual_Delivery_Date]]&lt;=tblPO[[#This Row],[Expected_Delivery_Date]],1,0)</f>
        <v>1</v>
      </c>
      <c r="L1611">
        <f>IF(tblPO[[#This Row],[Actual_Delivery_Date]]&gt;tblPO[[#This Row],[Expected_Delivery_Date]],1,0)</f>
        <v>0</v>
      </c>
      <c r="M1611">
        <f>tblPO[[#This Row],[Actual_Delivery_Date]]-tblPO[[#This Row],[PO_Date]]</f>
        <v>4</v>
      </c>
    </row>
    <row r="1612" spans="1:13" x14ac:dyDescent="0.3">
      <c r="A1612" t="s">
        <v>646</v>
      </c>
      <c r="B1612" s="18">
        <v>45581</v>
      </c>
      <c r="C1612" t="s">
        <v>49</v>
      </c>
      <c r="D1612" t="s">
        <v>185</v>
      </c>
      <c r="E1612">
        <v>858</v>
      </c>
      <c r="F1612">
        <v>7.67</v>
      </c>
      <c r="G1612" s="18">
        <v>45593</v>
      </c>
      <c r="H1612" s="18">
        <v>45592</v>
      </c>
      <c r="I1612">
        <v>858</v>
      </c>
      <c r="J1612">
        <v>6580.86</v>
      </c>
      <c r="K1612">
        <f>IF(tblPO[[#This Row],[Actual_Delivery_Date]]&lt;=tblPO[[#This Row],[Expected_Delivery_Date]],1,0)</f>
        <v>1</v>
      </c>
      <c r="L1612">
        <f>IF(tblPO[[#This Row],[Actual_Delivery_Date]]&gt;tblPO[[#This Row],[Expected_Delivery_Date]],1,0)</f>
        <v>0</v>
      </c>
      <c r="M1612">
        <f>tblPO[[#This Row],[Actual_Delivery_Date]]-tblPO[[#This Row],[PO_Date]]</f>
        <v>11</v>
      </c>
    </row>
    <row r="1613" spans="1:13" x14ac:dyDescent="0.3">
      <c r="A1613" t="s">
        <v>645</v>
      </c>
      <c r="B1613" s="18">
        <v>45567</v>
      </c>
      <c r="C1613" t="s">
        <v>47</v>
      </c>
      <c r="D1613" t="s">
        <v>239</v>
      </c>
      <c r="E1613">
        <v>224</v>
      </c>
      <c r="F1613">
        <v>74.349999999999994</v>
      </c>
      <c r="G1613" s="18">
        <v>45581</v>
      </c>
      <c r="H1613" s="18">
        <v>45581</v>
      </c>
      <c r="I1613">
        <v>224</v>
      </c>
      <c r="J1613">
        <v>16654.400000000001</v>
      </c>
      <c r="K1613">
        <f>IF(tblPO[[#This Row],[Actual_Delivery_Date]]&lt;=tblPO[[#This Row],[Expected_Delivery_Date]],1,0)</f>
        <v>1</v>
      </c>
      <c r="L1613">
        <f>IF(tblPO[[#This Row],[Actual_Delivery_Date]]&gt;tblPO[[#This Row],[Expected_Delivery_Date]],1,0)</f>
        <v>0</v>
      </c>
      <c r="M1613">
        <f>tblPO[[#This Row],[Actual_Delivery_Date]]-tblPO[[#This Row],[PO_Date]]</f>
        <v>14</v>
      </c>
    </row>
    <row r="1614" spans="1:13" x14ac:dyDescent="0.3">
      <c r="A1614" t="s">
        <v>644</v>
      </c>
      <c r="B1614" s="18">
        <v>45580</v>
      </c>
      <c r="C1614" t="s">
        <v>39</v>
      </c>
      <c r="D1614" t="s">
        <v>152</v>
      </c>
      <c r="E1614">
        <v>462</v>
      </c>
      <c r="F1614">
        <v>106.72</v>
      </c>
      <c r="G1614" s="18">
        <v>45606</v>
      </c>
      <c r="H1614" s="18">
        <v>45604</v>
      </c>
      <c r="I1614">
        <v>462</v>
      </c>
      <c r="J1614">
        <v>49304.639999999999</v>
      </c>
      <c r="K1614">
        <f>IF(tblPO[[#This Row],[Actual_Delivery_Date]]&lt;=tblPO[[#This Row],[Expected_Delivery_Date]],1,0)</f>
        <v>1</v>
      </c>
      <c r="L1614">
        <f>IF(tblPO[[#This Row],[Actual_Delivery_Date]]&gt;tblPO[[#This Row],[Expected_Delivery_Date]],1,0)</f>
        <v>0</v>
      </c>
      <c r="M1614">
        <f>tblPO[[#This Row],[Actual_Delivery_Date]]-tblPO[[#This Row],[PO_Date]]</f>
        <v>24</v>
      </c>
    </row>
    <row r="1615" spans="1:13" x14ac:dyDescent="0.3">
      <c r="A1615" t="s">
        <v>643</v>
      </c>
      <c r="B1615" s="18">
        <v>45593</v>
      </c>
      <c r="C1615" t="s">
        <v>41</v>
      </c>
      <c r="D1615" t="s">
        <v>197</v>
      </c>
      <c r="E1615">
        <v>16</v>
      </c>
      <c r="F1615">
        <v>255.94</v>
      </c>
      <c r="G1615" s="18">
        <v>45600</v>
      </c>
      <c r="H1615" s="18">
        <v>45600</v>
      </c>
      <c r="I1615">
        <v>16</v>
      </c>
      <c r="J1615">
        <v>4095.04</v>
      </c>
      <c r="K1615">
        <f>IF(tblPO[[#This Row],[Actual_Delivery_Date]]&lt;=tblPO[[#This Row],[Expected_Delivery_Date]],1,0)</f>
        <v>1</v>
      </c>
      <c r="L1615">
        <f>IF(tblPO[[#This Row],[Actual_Delivery_Date]]&gt;tblPO[[#This Row],[Expected_Delivery_Date]],1,0)</f>
        <v>0</v>
      </c>
      <c r="M1615">
        <f>tblPO[[#This Row],[Actual_Delivery_Date]]-tblPO[[#This Row],[PO_Date]]</f>
        <v>7</v>
      </c>
    </row>
    <row r="1616" spans="1:13" x14ac:dyDescent="0.3">
      <c r="A1616" t="s">
        <v>642</v>
      </c>
      <c r="B1616" s="18">
        <v>45566</v>
      </c>
      <c r="C1616" t="s">
        <v>54</v>
      </c>
      <c r="D1616" t="s">
        <v>188</v>
      </c>
      <c r="E1616">
        <v>424</v>
      </c>
      <c r="F1616">
        <v>28.81</v>
      </c>
      <c r="G1616" s="18">
        <v>45582</v>
      </c>
      <c r="H1616" s="18">
        <v>45584</v>
      </c>
      <c r="I1616">
        <v>424</v>
      </c>
      <c r="J1616">
        <v>12215.44</v>
      </c>
      <c r="K1616">
        <f>IF(tblPO[[#This Row],[Actual_Delivery_Date]]&lt;=tblPO[[#This Row],[Expected_Delivery_Date]],1,0)</f>
        <v>0</v>
      </c>
      <c r="L1616">
        <f>IF(tblPO[[#This Row],[Actual_Delivery_Date]]&gt;tblPO[[#This Row],[Expected_Delivery_Date]],1,0)</f>
        <v>1</v>
      </c>
      <c r="M1616">
        <f>tblPO[[#This Row],[Actual_Delivery_Date]]-tblPO[[#This Row],[PO_Date]]</f>
        <v>18</v>
      </c>
    </row>
    <row r="1617" spans="1:13" x14ac:dyDescent="0.3">
      <c r="A1617" t="s">
        <v>641</v>
      </c>
      <c r="B1617" s="18">
        <v>45578</v>
      </c>
      <c r="C1617" t="s">
        <v>63</v>
      </c>
      <c r="D1617" t="s">
        <v>172</v>
      </c>
      <c r="E1617">
        <v>66</v>
      </c>
      <c r="F1617">
        <v>40.03</v>
      </c>
      <c r="G1617" s="18">
        <v>45605</v>
      </c>
      <c r="H1617" s="18">
        <v>45604</v>
      </c>
      <c r="I1617">
        <v>66</v>
      </c>
      <c r="J1617">
        <v>2641.98</v>
      </c>
      <c r="K1617">
        <f>IF(tblPO[[#This Row],[Actual_Delivery_Date]]&lt;=tblPO[[#This Row],[Expected_Delivery_Date]],1,0)</f>
        <v>1</v>
      </c>
      <c r="L1617">
        <f>IF(tblPO[[#This Row],[Actual_Delivery_Date]]&gt;tblPO[[#This Row],[Expected_Delivery_Date]],1,0)</f>
        <v>0</v>
      </c>
      <c r="M1617">
        <f>tblPO[[#This Row],[Actual_Delivery_Date]]-tblPO[[#This Row],[PO_Date]]</f>
        <v>26</v>
      </c>
    </row>
    <row r="1618" spans="1:13" x14ac:dyDescent="0.3">
      <c r="A1618" t="s">
        <v>640</v>
      </c>
      <c r="B1618" s="18">
        <v>45592</v>
      </c>
      <c r="C1618" t="s">
        <v>42</v>
      </c>
      <c r="D1618" t="s">
        <v>96</v>
      </c>
      <c r="E1618">
        <v>87</v>
      </c>
      <c r="F1618">
        <v>786.16</v>
      </c>
      <c r="G1618" s="18">
        <v>45621</v>
      </c>
      <c r="H1618" s="18">
        <v>45619</v>
      </c>
      <c r="I1618">
        <v>87</v>
      </c>
      <c r="J1618">
        <v>68395.92</v>
      </c>
      <c r="K1618">
        <f>IF(tblPO[[#This Row],[Actual_Delivery_Date]]&lt;=tblPO[[#This Row],[Expected_Delivery_Date]],1,0)</f>
        <v>1</v>
      </c>
      <c r="L1618">
        <f>IF(tblPO[[#This Row],[Actual_Delivery_Date]]&gt;tblPO[[#This Row],[Expected_Delivery_Date]],1,0)</f>
        <v>0</v>
      </c>
      <c r="M1618">
        <f>tblPO[[#This Row],[Actual_Delivery_Date]]-tblPO[[#This Row],[PO_Date]]</f>
        <v>27</v>
      </c>
    </row>
    <row r="1619" spans="1:13" x14ac:dyDescent="0.3">
      <c r="A1619" t="s">
        <v>639</v>
      </c>
      <c r="B1619" s="18">
        <v>45581</v>
      </c>
      <c r="C1619" t="s">
        <v>61</v>
      </c>
      <c r="D1619" t="s">
        <v>221</v>
      </c>
      <c r="E1619">
        <v>7</v>
      </c>
      <c r="F1619">
        <v>1706.78</v>
      </c>
      <c r="G1619" s="18">
        <v>45585</v>
      </c>
      <c r="H1619" s="18">
        <v>45582</v>
      </c>
      <c r="I1619">
        <v>6</v>
      </c>
      <c r="J1619">
        <v>11947.46</v>
      </c>
      <c r="K1619">
        <f>IF(tblPO[[#This Row],[Actual_Delivery_Date]]&lt;=tblPO[[#This Row],[Expected_Delivery_Date]],1,0)</f>
        <v>1</v>
      </c>
      <c r="L1619">
        <f>IF(tblPO[[#This Row],[Actual_Delivery_Date]]&gt;tblPO[[#This Row],[Expected_Delivery_Date]],1,0)</f>
        <v>0</v>
      </c>
      <c r="M1619">
        <f>tblPO[[#This Row],[Actual_Delivery_Date]]-tblPO[[#This Row],[PO_Date]]</f>
        <v>1</v>
      </c>
    </row>
    <row r="1620" spans="1:13" x14ac:dyDescent="0.3">
      <c r="A1620" t="s">
        <v>638</v>
      </c>
      <c r="B1620" s="18">
        <v>45573</v>
      </c>
      <c r="C1620" t="s">
        <v>41</v>
      </c>
      <c r="D1620" t="s">
        <v>195</v>
      </c>
      <c r="E1620">
        <v>46</v>
      </c>
      <c r="F1620">
        <v>603.16</v>
      </c>
      <c r="G1620" s="18">
        <v>45591</v>
      </c>
      <c r="H1620" s="18">
        <v>45591</v>
      </c>
      <c r="I1620">
        <v>46</v>
      </c>
      <c r="J1620">
        <v>27745.360000000001</v>
      </c>
      <c r="K1620">
        <f>IF(tblPO[[#This Row],[Actual_Delivery_Date]]&lt;=tblPO[[#This Row],[Expected_Delivery_Date]],1,0)</f>
        <v>1</v>
      </c>
      <c r="L1620">
        <f>IF(tblPO[[#This Row],[Actual_Delivery_Date]]&gt;tblPO[[#This Row],[Expected_Delivery_Date]],1,0)</f>
        <v>0</v>
      </c>
      <c r="M1620">
        <f>tblPO[[#This Row],[Actual_Delivery_Date]]-tblPO[[#This Row],[PO_Date]]</f>
        <v>18</v>
      </c>
    </row>
    <row r="1621" spans="1:13" x14ac:dyDescent="0.3">
      <c r="A1621" t="s">
        <v>637</v>
      </c>
      <c r="B1621" s="18">
        <v>45586</v>
      </c>
      <c r="C1621" t="s">
        <v>56</v>
      </c>
      <c r="D1621" t="s">
        <v>134</v>
      </c>
      <c r="E1621">
        <v>12</v>
      </c>
      <c r="F1621">
        <v>3819.77</v>
      </c>
      <c r="G1621" s="18">
        <v>45598</v>
      </c>
      <c r="H1621" s="18">
        <v>45598</v>
      </c>
      <c r="I1621">
        <v>12</v>
      </c>
      <c r="J1621">
        <v>45837.24</v>
      </c>
      <c r="K1621">
        <f>IF(tblPO[[#This Row],[Actual_Delivery_Date]]&lt;=tblPO[[#This Row],[Expected_Delivery_Date]],1,0)</f>
        <v>1</v>
      </c>
      <c r="L1621">
        <f>IF(tblPO[[#This Row],[Actual_Delivery_Date]]&gt;tblPO[[#This Row],[Expected_Delivery_Date]],1,0)</f>
        <v>0</v>
      </c>
      <c r="M1621">
        <f>tblPO[[#This Row],[Actual_Delivery_Date]]-tblPO[[#This Row],[PO_Date]]</f>
        <v>12</v>
      </c>
    </row>
    <row r="1622" spans="1:13" x14ac:dyDescent="0.3">
      <c r="A1622" t="s">
        <v>636</v>
      </c>
      <c r="B1622" s="18">
        <v>45576</v>
      </c>
      <c r="C1622" t="s">
        <v>45</v>
      </c>
      <c r="D1622" t="s">
        <v>212</v>
      </c>
      <c r="E1622">
        <v>82</v>
      </c>
      <c r="F1622">
        <v>294.99</v>
      </c>
      <c r="G1622" s="18">
        <v>45590</v>
      </c>
      <c r="H1622" s="18">
        <v>45588</v>
      </c>
      <c r="I1622">
        <v>82</v>
      </c>
      <c r="J1622">
        <v>24189.18</v>
      </c>
      <c r="K1622">
        <f>IF(tblPO[[#This Row],[Actual_Delivery_Date]]&lt;=tblPO[[#This Row],[Expected_Delivery_Date]],1,0)</f>
        <v>1</v>
      </c>
      <c r="L1622">
        <f>IF(tblPO[[#This Row],[Actual_Delivery_Date]]&gt;tblPO[[#This Row],[Expected_Delivery_Date]],1,0)</f>
        <v>0</v>
      </c>
      <c r="M1622">
        <f>tblPO[[#This Row],[Actual_Delivery_Date]]-tblPO[[#This Row],[PO_Date]]</f>
        <v>12</v>
      </c>
    </row>
    <row r="1623" spans="1:13" x14ac:dyDescent="0.3">
      <c r="A1623" t="s">
        <v>635</v>
      </c>
      <c r="B1623" s="18">
        <v>45577</v>
      </c>
      <c r="C1623" t="s">
        <v>47</v>
      </c>
      <c r="D1623" t="s">
        <v>221</v>
      </c>
      <c r="E1623">
        <v>16</v>
      </c>
      <c r="F1623">
        <v>1505.48</v>
      </c>
      <c r="G1623" s="18">
        <v>45593</v>
      </c>
      <c r="H1623" s="18">
        <v>45592</v>
      </c>
      <c r="I1623">
        <v>16</v>
      </c>
      <c r="J1623">
        <v>24087.68</v>
      </c>
      <c r="K1623">
        <f>IF(tblPO[[#This Row],[Actual_Delivery_Date]]&lt;=tblPO[[#This Row],[Expected_Delivery_Date]],1,0)</f>
        <v>1</v>
      </c>
      <c r="L1623">
        <f>IF(tblPO[[#This Row],[Actual_Delivery_Date]]&gt;tblPO[[#This Row],[Expected_Delivery_Date]],1,0)</f>
        <v>0</v>
      </c>
      <c r="M1623">
        <f>tblPO[[#This Row],[Actual_Delivery_Date]]-tblPO[[#This Row],[PO_Date]]</f>
        <v>15</v>
      </c>
    </row>
    <row r="1624" spans="1:13" x14ac:dyDescent="0.3">
      <c r="A1624" t="s">
        <v>634</v>
      </c>
      <c r="B1624" s="18">
        <v>45586</v>
      </c>
      <c r="C1624" t="s">
        <v>50</v>
      </c>
      <c r="D1624" t="s">
        <v>113</v>
      </c>
      <c r="E1624">
        <v>90</v>
      </c>
      <c r="F1624">
        <v>504.17</v>
      </c>
      <c r="G1624" s="18">
        <v>45604</v>
      </c>
      <c r="H1624" s="18">
        <v>45603</v>
      </c>
      <c r="I1624">
        <v>90</v>
      </c>
      <c r="J1624">
        <v>45375.3</v>
      </c>
      <c r="K1624">
        <f>IF(tblPO[[#This Row],[Actual_Delivery_Date]]&lt;=tblPO[[#This Row],[Expected_Delivery_Date]],1,0)</f>
        <v>1</v>
      </c>
      <c r="L1624">
        <f>IF(tblPO[[#This Row],[Actual_Delivery_Date]]&gt;tblPO[[#This Row],[Expected_Delivery_Date]],1,0)</f>
        <v>0</v>
      </c>
      <c r="M1624">
        <f>tblPO[[#This Row],[Actual_Delivery_Date]]-tblPO[[#This Row],[PO_Date]]</f>
        <v>17</v>
      </c>
    </row>
    <row r="1625" spans="1:13" x14ac:dyDescent="0.3">
      <c r="A1625" t="s">
        <v>633</v>
      </c>
      <c r="B1625" s="18">
        <v>45596</v>
      </c>
      <c r="C1625" t="s">
        <v>50</v>
      </c>
      <c r="D1625" t="s">
        <v>132</v>
      </c>
      <c r="E1625">
        <v>6</v>
      </c>
      <c r="F1625">
        <v>2901.31</v>
      </c>
      <c r="G1625" s="18">
        <v>45609</v>
      </c>
      <c r="H1625" s="18">
        <v>45607</v>
      </c>
      <c r="I1625">
        <v>6</v>
      </c>
      <c r="J1625">
        <v>17407.86</v>
      </c>
      <c r="K1625">
        <f>IF(tblPO[[#This Row],[Actual_Delivery_Date]]&lt;=tblPO[[#This Row],[Expected_Delivery_Date]],1,0)</f>
        <v>1</v>
      </c>
      <c r="L1625">
        <f>IF(tblPO[[#This Row],[Actual_Delivery_Date]]&gt;tblPO[[#This Row],[Expected_Delivery_Date]],1,0)</f>
        <v>0</v>
      </c>
      <c r="M1625">
        <f>tblPO[[#This Row],[Actual_Delivery_Date]]-tblPO[[#This Row],[PO_Date]]</f>
        <v>11</v>
      </c>
    </row>
    <row r="1626" spans="1:13" x14ac:dyDescent="0.3">
      <c r="A1626" t="s">
        <v>632</v>
      </c>
      <c r="B1626" s="18">
        <v>45581</v>
      </c>
      <c r="C1626" t="s">
        <v>42</v>
      </c>
      <c r="D1626" t="s">
        <v>92</v>
      </c>
      <c r="E1626">
        <v>9</v>
      </c>
      <c r="F1626">
        <v>4538.47</v>
      </c>
      <c r="G1626" s="18">
        <v>45611</v>
      </c>
      <c r="H1626" s="18">
        <v>45608</v>
      </c>
      <c r="I1626">
        <v>9</v>
      </c>
      <c r="J1626">
        <v>40846.230000000003</v>
      </c>
      <c r="K1626">
        <f>IF(tblPO[[#This Row],[Actual_Delivery_Date]]&lt;=tblPO[[#This Row],[Expected_Delivery_Date]],1,0)</f>
        <v>1</v>
      </c>
      <c r="L1626">
        <f>IF(tblPO[[#This Row],[Actual_Delivery_Date]]&gt;tblPO[[#This Row],[Expected_Delivery_Date]],1,0)</f>
        <v>0</v>
      </c>
      <c r="M1626">
        <f>tblPO[[#This Row],[Actual_Delivery_Date]]-tblPO[[#This Row],[PO_Date]]</f>
        <v>27</v>
      </c>
    </row>
    <row r="1627" spans="1:13" x14ac:dyDescent="0.3">
      <c r="A1627" t="s">
        <v>631</v>
      </c>
      <c r="B1627" s="18">
        <v>45585</v>
      </c>
      <c r="C1627" t="s">
        <v>46</v>
      </c>
      <c r="D1627" t="s">
        <v>81</v>
      </c>
      <c r="E1627">
        <v>3</v>
      </c>
      <c r="F1627">
        <v>26610.28</v>
      </c>
      <c r="G1627" s="18">
        <v>45607</v>
      </c>
      <c r="H1627" s="18">
        <v>45607</v>
      </c>
      <c r="I1627">
        <v>3</v>
      </c>
      <c r="J1627">
        <v>79830.84</v>
      </c>
      <c r="K1627">
        <f>IF(tblPO[[#This Row],[Actual_Delivery_Date]]&lt;=tblPO[[#This Row],[Expected_Delivery_Date]],1,0)</f>
        <v>1</v>
      </c>
      <c r="L1627">
        <f>IF(tblPO[[#This Row],[Actual_Delivery_Date]]&gt;tblPO[[#This Row],[Expected_Delivery_Date]],1,0)</f>
        <v>0</v>
      </c>
      <c r="M1627">
        <f>tblPO[[#This Row],[Actual_Delivery_Date]]-tblPO[[#This Row],[PO_Date]]</f>
        <v>22</v>
      </c>
    </row>
    <row r="1628" spans="1:13" x14ac:dyDescent="0.3">
      <c r="A1628" t="s">
        <v>630</v>
      </c>
      <c r="B1628" s="18">
        <v>45590</v>
      </c>
      <c r="C1628" t="s">
        <v>38</v>
      </c>
      <c r="D1628" t="s">
        <v>235</v>
      </c>
      <c r="E1628">
        <v>448</v>
      </c>
      <c r="F1628">
        <v>73.37</v>
      </c>
      <c r="G1628" s="18">
        <v>45599</v>
      </c>
      <c r="H1628" s="18">
        <v>45598</v>
      </c>
      <c r="I1628">
        <v>448</v>
      </c>
      <c r="J1628">
        <v>32869.760000000002</v>
      </c>
      <c r="K1628">
        <f>IF(tblPO[[#This Row],[Actual_Delivery_Date]]&lt;=tblPO[[#This Row],[Expected_Delivery_Date]],1,0)</f>
        <v>1</v>
      </c>
      <c r="L1628">
        <f>IF(tblPO[[#This Row],[Actual_Delivery_Date]]&gt;tblPO[[#This Row],[Expected_Delivery_Date]],1,0)</f>
        <v>0</v>
      </c>
      <c r="M1628">
        <f>tblPO[[#This Row],[Actual_Delivery_Date]]-tblPO[[#This Row],[PO_Date]]</f>
        <v>8</v>
      </c>
    </row>
    <row r="1629" spans="1:13" x14ac:dyDescent="0.3">
      <c r="A1629" t="s">
        <v>629</v>
      </c>
      <c r="B1629" s="18">
        <v>45581</v>
      </c>
      <c r="C1629" t="s">
        <v>43</v>
      </c>
      <c r="D1629" t="s">
        <v>166</v>
      </c>
      <c r="E1629">
        <v>110</v>
      </c>
      <c r="F1629">
        <v>75.849999999999994</v>
      </c>
      <c r="G1629" s="18">
        <v>45591</v>
      </c>
      <c r="H1629" s="18">
        <v>45588</v>
      </c>
      <c r="I1629">
        <v>110</v>
      </c>
      <c r="J1629">
        <v>8343.5</v>
      </c>
      <c r="K1629">
        <f>IF(tblPO[[#This Row],[Actual_Delivery_Date]]&lt;=tblPO[[#This Row],[Expected_Delivery_Date]],1,0)</f>
        <v>1</v>
      </c>
      <c r="L1629">
        <f>IF(tblPO[[#This Row],[Actual_Delivery_Date]]&gt;tblPO[[#This Row],[Expected_Delivery_Date]],1,0)</f>
        <v>0</v>
      </c>
      <c r="M1629">
        <f>tblPO[[#This Row],[Actual_Delivery_Date]]-tblPO[[#This Row],[PO_Date]]</f>
        <v>7</v>
      </c>
    </row>
    <row r="1630" spans="1:13" x14ac:dyDescent="0.3">
      <c r="A1630" t="s">
        <v>628</v>
      </c>
      <c r="B1630" s="18">
        <v>45570</v>
      </c>
      <c r="C1630" t="s">
        <v>49</v>
      </c>
      <c r="D1630" t="s">
        <v>181</v>
      </c>
      <c r="E1630">
        <v>1250</v>
      </c>
      <c r="F1630">
        <v>4</v>
      </c>
      <c r="G1630" s="18">
        <v>45581</v>
      </c>
      <c r="H1630" s="18">
        <v>45594</v>
      </c>
      <c r="I1630">
        <v>1250</v>
      </c>
      <c r="J1630">
        <v>5000</v>
      </c>
      <c r="K1630">
        <f>IF(tblPO[[#This Row],[Actual_Delivery_Date]]&lt;=tblPO[[#This Row],[Expected_Delivery_Date]],1,0)</f>
        <v>0</v>
      </c>
      <c r="L1630">
        <f>IF(tblPO[[#This Row],[Actual_Delivery_Date]]&gt;tblPO[[#This Row],[Expected_Delivery_Date]],1,0)</f>
        <v>1</v>
      </c>
      <c r="M1630">
        <f>tblPO[[#This Row],[Actual_Delivery_Date]]-tblPO[[#This Row],[PO_Date]]</f>
        <v>24</v>
      </c>
    </row>
    <row r="1631" spans="1:13" x14ac:dyDescent="0.3">
      <c r="A1631" t="s">
        <v>627</v>
      </c>
      <c r="B1631" s="18">
        <v>45592</v>
      </c>
      <c r="C1631" t="s">
        <v>67</v>
      </c>
      <c r="D1631" t="s">
        <v>92</v>
      </c>
      <c r="E1631">
        <v>8</v>
      </c>
      <c r="F1631">
        <v>4308.1499999999996</v>
      </c>
      <c r="G1631" s="18">
        <v>45610</v>
      </c>
      <c r="H1631" s="18">
        <v>45615</v>
      </c>
      <c r="I1631">
        <v>8</v>
      </c>
      <c r="J1631">
        <v>34465.199999999997</v>
      </c>
      <c r="K1631">
        <f>IF(tblPO[[#This Row],[Actual_Delivery_Date]]&lt;=tblPO[[#This Row],[Expected_Delivery_Date]],1,0)</f>
        <v>0</v>
      </c>
      <c r="L1631">
        <f>IF(tblPO[[#This Row],[Actual_Delivery_Date]]&gt;tblPO[[#This Row],[Expected_Delivery_Date]],1,0)</f>
        <v>1</v>
      </c>
      <c r="M1631">
        <f>tblPO[[#This Row],[Actual_Delivery_Date]]-tblPO[[#This Row],[PO_Date]]</f>
        <v>23</v>
      </c>
    </row>
    <row r="1632" spans="1:13" x14ac:dyDescent="0.3">
      <c r="A1632" t="s">
        <v>626</v>
      </c>
      <c r="B1632" s="18">
        <v>45582</v>
      </c>
      <c r="C1632" t="s">
        <v>39</v>
      </c>
      <c r="D1632" t="s">
        <v>168</v>
      </c>
      <c r="E1632">
        <v>249</v>
      </c>
      <c r="F1632">
        <v>78.13</v>
      </c>
      <c r="G1632" s="18">
        <v>45610</v>
      </c>
      <c r="H1632" s="18">
        <v>45610</v>
      </c>
      <c r="I1632">
        <v>249</v>
      </c>
      <c r="J1632">
        <v>19454.37</v>
      </c>
      <c r="K1632">
        <f>IF(tblPO[[#This Row],[Actual_Delivery_Date]]&lt;=tblPO[[#This Row],[Expected_Delivery_Date]],1,0)</f>
        <v>1</v>
      </c>
      <c r="L1632">
        <f>IF(tblPO[[#This Row],[Actual_Delivery_Date]]&gt;tblPO[[#This Row],[Expected_Delivery_Date]],1,0)</f>
        <v>0</v>
      </c>
      <c r="M1632">
        <f>tblPO[[#This Row],[Actual_Delivery_Date]]-tblPO[[#This Row],[PO_Date]]</f>
        <v>28</v>
      </c>
    </row>
    <row r="1633" spans="1:13" x14ac:dyDescent="0.3">
      <c r="A1633" t="s">
        <v>625</v>
      </c>
      <c r="B1633" s="18">
        <v>45574</v>
      </c>
      <c r="C1633" t="s">
        <v>40</v>
      </c>
      <c r="D1633" t="s">
        <v>115</v>
      </c>
      <c r="E1633">
        <v>11</v>
      </c>
      <c r="F1633">
        <v>3454.81</v>
      </c>
      <c r="G1633" s="18">
        <v>45583</v>
      </c>
      <c r="H1633" s="18">
        <v>45580</v>
      </c>
      <c r="I1633">
        <v>10</v>
      </c>
      <c r="J1633">
        <v>38002.910000000003</v>
      </c>
      <c r="K1633">
        <f>IF(tblPO[[#This Row],[Actual_Delivery_Date]]&lt;=tblPO[[#This Row],[Expected_Delivery_Date]],1,0)</f>
        <v>1</v>
      </c>
      <c r="L1633">
        <f>IF(tblPO[[#This Row],[Actual_Delivery_Date]]&gt;tblPO[[#This Row],[Expected_Delivery_Date]],1,0)</f>
        <v>0</v>
      </c>
      <c r="M1633">
        <f>tblPO[[#This Row],[Actual_Delivery_Date]]-tblPO[[#This Row],[PO_Date]]</f>
        <v>6</v>
      </c>
    </row>
    <row r="1634" spans="1:13" x14ac:dyDescent="0.3">
      <c r="A1634" t="s">
        <v>624</v>
      </c>
      <c r="B1634" s="18">
        <v>45590</v>
      </c>
      <c r="C1634" t="s">
        <v>45</v>
      </c>
      <c r="D1634" t="s">
        <v>225</v>
      </c>
      <c r="E1634">
        <v>129</v>
      </c>
      <c r="F1634">
        <v>201.96</v>
      </c>
      <c r="G1634" s="18">
        <v>45597</v>
      </c>
      <c r="H1634" s="18">
        <v>45597</v>
      </c>
      <c r="I1634">
        <v>129</v>
      </c>
      <c r="J1634">
        <v>26052.84</v>
      </c>
      <c r="K1634">
        <f>IF(tblPO[[#This Row],[Actual_Delivery_Date]]&lt;=tblPO[[#This Row],[Expected_Delivery_Date]],1,0)</f>
        <v>1</v>
      </c>
      <c r="L1634">
        <f>IF(tblPO[[#This Row],[Actual_Delivery_Date]]&gt;tblPO[[#This Row],[Expected_Delivery_Date]],1,0)</f>
        <v>0</v>
      </c>
      <c r="M1634">
        <f>tblPO[[#This Row],[Actual_Delivery_Date]]-tblPO[[#This Row],[PO_Date]]</f>
        <v>7</v>
      </c>
    </row>
    <row r="1635" spans="1:13" x14ac:dyDescent="0.3">
      <c r="A1635" t="s">
        <v>623</v>
      </c>
      <c r="B1635" s="18">
        <v>45569</v>
      </c>
      <c r="C1635" t="s">
        <v>39</v>
      </c>
      <c r="D1635" t="s">
        <v>158</v>
      </c>
      <c r="E1635">
        <v>90</v>
      </c>
      <c r="F1635">
        <v>129.22</v>
      </c>
      <c r="G1635" s="18">
        <v>45589</v>
      </c>
      <c r="H1635" s="18">
        <v>45587</v>
      </c>
      <c r="I1635">
        <v>90</v>
      </c>
      <c r="J1635">
        <v>11629.8</v>
      </c>
      <c r="K1635">
        <f>IF(tblPO[[#This Row],[Actual_Delivery_Date]]&lt;=tblPO[[#This Row],[Expected_Delivery_Date]],1,0)</f>
        <v>1</v>
      </c>
      <c r="L1635">
        <f>IF(tblPO[[#This Row],[Actual_Delivery_Date]]&gt;tblPO[[#This Row],[Expected_Delivery_Date]],1,0)</f>
        <v>0</v>
      </c>
      <c r="M1635">
        <f>tblPO[[#This Row],[Actual_Delivery_Date]]-tblPO[[#This Row],[PO_Date]]</f>
        <v>18</v>
      </c>
    </row>
    <row r="1636" spans="1:13" x14ac:dyDescent="0.3">
      <c r="A1636" t="s">
        <v>622</v>
      </c>
      <c r="B1636" s="18">
        <v>45570</v>
      </c>
      <c r="C1636" t="s">
        <v>47</v>
      </c>
      <c r="D1636" t="s">
        <v>223</v>
      </c>
      <c r="E1636">
        <v>160</v>
      </c>
      <c r="F1636">
        <v>129.72999999999999</v>
      </c>
      <c r="G1636" s="18">
        <v>45583</v>
      </c>
      <c r="H1636" s="18">
        <v>45590</v>
      </c>
      <c r="I1636">
        <v>146</v>
      </c>
      <c r="J1636">
        <v>20756.8</v>
      </c>
      <c r="K1636">
        <f>IF(tblPO[[#This Row],[Actual_Delivery_Date]]&lt;=tblPO[[#This Row],[Expected_Delivery_Date]],1,0)</f>
        <v>0</v>
      </c>
      <c r="L1636">
        <f>IF(tblPO[[#This Row],[Actual_Delivery_Date]]&gt;tblPO[[#This Row],[Expected_Delivery_Date]],1,0)</f>
        <v>1</v>
      </c>
      <c r="M1636">
        <f>tblPO[[#This Row],[Actual_Delivery_Date]]-tblPO[[#This Row],[PO_Date]]</f>
        <v>20</v>
      </c>
    </row>
    <row r="1637" spans="1:13" x14ac:dyDescent="0.3">
      <c r="A1637" t="s">
        <v>621</v>
      </c>
      <c r="B1637" s="18">
        <v>45592</v>
      </c>
      <c r="C1637" t="s">
        <v>42</v>
      </c>
      <c r="D1637" t="s">
        <v>96</v>
      </c>
      <c r="E1637">
        <v>90</v>
      </c>
      <c r="F1637">
        <v>784.68</v>
      </c>
      <c r="G1637" s="18">
        <v>45616</v>
      </c>
      <c r="H1637" s="18">
        <v>45616</v>
      </c>
      <c r="I1637">
        <v>90</v>
      </c>
      <c r="J1637">
        <v>70621.2</v>
      </c>
      <c r="K1637">
        <f>IF(tblPO[[#This Row],[Actual_Delivery_Date]]&lt;=tblPO[[#This Row],[Expected_Delivery_Date]],1,0)</f>
        <v>1</v>
      </c>
      <c r="L1637">
        <f>IF(tblPO[[#This Row],[Actual_Delivery_Date]]&gt;tblPO[[#This Row],[Expected_Delivery_Date]],1,0)</f>
        <v>0</v>
      </c>
      <c r="M1637">
        <f>tblPO[[#This Row],[Actual_Delivery_Date]]-tblPO[[#This Row],[PO_Date]]</f>
        <v>24</v>
      </c>
    </row>
    <row r="1638" spans="1:13" x14ac:dyDescent="0.3">
      <c r="A1638" t="s">
        <v>620</v>
      </c>
      <c r="B1638" s="18">
        <v>45592</v>
      </c>
      <c r="C1638" t="s">
        <v>60</v>
      </c>
      <c r="D1638" t="s">
        <v>130</v>
      </c>
      <c r="E1638">
        <v>166</v>
      </c>
      <c r="F1638">
        <v>266.55</v>
      </c>
      <c r="G1638" s="18">
        <v>45596</v>
      </c>
      <c r="H1638" s="18">
        <v>45595</v>
      </c>
      <c r="I1638">
        <v>166</v>
      </c>
      <c r="J1638">
        <v>44247.3</v>
      </c>
      <c r="K1638">
        <f>IF(tblPO[[#This Row],[Actual_Delivery_Date]]&lt;=tblPO[[#This Row],[Expected_Delivery_Date]],1,0)</f>
        <v>1</v>
      </c>
      <c r="L1638">
        <f>IF(tblPO[[#This Row],[Actual_Delivery_Date]]&gt;tblPO[[#This Row],[Expected_Delivery_Date]],1,0)</f>
        <v>0</v>
      </c>
      <c r="M1638">
        <f>tblPO[[#This Row],[Actual_Delivery_Date]]-tblPO[[#This Row],[PO_Date]]</f>
        <v>3</v>
      </c>
    </row>
    <row r="1639" spans="1:13" x14ac:dyDescent="0.3">
      <c r="A1639" t="s">
        <v>619</v>
      </c>
      <c r="B1639" s="18">
        <v>45567</v>
      </c>
      <c r="C1639" t="s">
        <v>42</v>
      </c>
      <c r="D1639" t="s">
        <v>92</v>
      </c>
      <c r="E1639">
        <v>18</v>
      </c>
      <c r="F1639">
        <v>4465.17</v>
      </c>
      <c r="G1639" s="18">
        <v>45583</v>
      </c>
      <c r="H1639" s="18">
        <v>45580</v>
      </c>
      <c r="I1639">
        <v>18</v>
      </c>
      <c r="J1639">
        <v>80373.06</v>
      </c>
      <c r="K1639">
        <f>IF(tblPO[[#This Row],[Actual_Delivery_Date]]&lt;=tblPO[[#This Row],[Expected_Delivery_Date]],1,0)</f>
        <v>1</v>
      </c>
      <c r="L1639">
        <f>IF(tblPO[[#This Row],[Actual_Delivery_Date]]&gt;tblPO[[#This Row],[Expected_Delivery_Date]],1,0)</f>
        <v>0</v>
      </c>
      <c r="M1639">
        <f>tblPO[[#This Row],[Actual_Delivery_Date]]-tblPO[[#This Row],[PO_Date]]</f>
        <v>13</v>
      </c>
    </row>
    <row r="1640" spans="1:13" x14ac:dyDescent="0.3">
      <c r="A1640" t="s">
        <v>618</v>
      </c>
      <c r="B1640" s="18">
        <v>45573</v>
      </c>
      <c r="C1640" t="s">
        <v>44</v>
      </c>
      <c r="D1640" t="s">
        <v>207</v>
      </c>
      <c r="E1640">
        <v>780</v>
      </c>
      <c r="F1640">
        <v>9.86</v>
      </c>
      <c r="G1640" s="18">
        <v>45587</v>
      </c>
      <c r="H1640" s="18">
        <v>45586</v>
      </c>
      <c r="I1640">
        <v>780</v>
      </c>
      <c r="J1640">
        <v>7690.8</v>
      </c>
      <c r="K1640">
        <f>IF(tblPO[[#This Row],[Actual_Delivery_Date]]&lt;=tblPO[[#This Row],[Expected_Delivery_Date]],1,0)</f>
        <v>1</v>
      </c>
      <c r="L1640">
        <f>IF(tblPO[[#This Row],[Actual_Delivery_Date]]&gt;tblPO[[#This Row],[Expected_Delivery_Date]],1,0)</f>
        <v>0</v>
      </c>
      <c r="M1640">
        <f>tblPO[[#This Row],[Actual_Delivery_Date]]-tblPO[[#This Row],[PO_Date]]</f>
        <v>13</v>
      </c>
    </row>
    <row r="1641" spans="1:13" x14ac:dyDescent="0.3">
      <c r="A1641" t="s">
        <v>617</v>
      </c>
      <c r="B1641" s="18">
        <v>45581</v>
      </c>
      <c r="C1641" t="s">
        <v>70</v>
      </c>
      <c r="D1641" t="s">
        <v>197</v>
      </c>
      <c r="E1641">
        <v>27</v>
      </c>
      <c r="F1641">
        <v>246.08</v>
      </c>
      <c r="G1641" s="18">
        <v>45596</v>
      </c>
      <c r="H1641" s="18">
        <v>45596</v>
      </c>
      <c r="I1641">
        <v>27</v>
      </c>
      <c r="J1641">
        <v>6644.16</v>
      </c>
      <c r="K1641">
        <f>IF(tblPO[[#This Row],[Actual_Delivery_Date]]&lt;=tblPO[[#This Row],[Expected_Delivery_Date]],1,0)</f>
        <v>1</v>
      </c>
      <c r="L1641">
        <f>IF(tblPO[[#This Row],[Actual_Delivery_Date]]&gt;tblPO[[#This Row],[Expected_Delivery_Date]],1,0)</f>
        <v>0</v>
      </c>
      <c r="M1641">
        <f>tblPO[[#This Row],[Actual_Delivery_Date]]-tblPO[[#This Row],[PO_Date]]</f>
        <v>15</v>
      </c>
    </row>
    <row r="1642" spans="1:13" x14ac:dyDescent="0.3">
      <c r="A1642" t="s">
        <v>616</v>
      </c>
      <c r="B1642" s="18">
        <v>45592</v>
      </c>
      <c r="C1642" t="s">
        <v>38</v>
      </c>
      <c r="D1642" t="s">
        <v>227</v>
      </c>
      <c r="E1642">
        <v>19</v>
      </c>
      <c r="F1642">
        <v>1269.46</v>
      </c>
      <c r="G1642" s="18">
        <v>45597</v>
      </c>
      <c r="H1642" s="18">
        <v>45597</v>
      </c>
      <c r="I1642">
        <v>19</v>
      </c>
      <c r="J1642">
        <v>24119.74</v>
      </c>
      <c r="K1642">
        <f>IF(tblPO[[#This Row],[Actual_Delivery_Date]]&lt;=tblPO[[#This Row],[Expected_Delivery_Date]],1,0)</f>
        <v>1</v>
      </c>
      <c r="L1642">
        <f>IF(tblPO[[#This Row],[Actual_Delivery_Date]]&gt;tblPO[[#This Row],[Expected_Delivery_Date]],1,0)</f>
        <v>0</v>
      </c>
      <c r="M1642">
        <f>tblPO[[#This Row],[Actual_Delivery_Date]]-tblPO[[#This Row],[PO_Date]]</f>
        <v>5</v>
      </c>
    </row>
    <row r="1643" spans="1:13" x14ac:dyDescent="0.3">
      <c r="A1643" t="s">
        <v>615</v>
      </c>
      <c r="B1643" s="18">
        <v>45573</v>
      </c>
      <c r="C1643" t="s">
        <v>59</v>
      </c>
      <c r="D1643" t="s">
        <v>86</v>
      </c>
      <c r="E1643">
        <v>76</v>
      </c>
      <c r="F1643">
        <v>216.91</v>
      </c>
      <c r="G1643" s="18">
        <v>45583</v>
      </c>
      <c r="H1643" s="18">
        <v>45580</v>
      </c>
      <c r="I1643">
        <v>73</v>
      </c>
      <c r="J1643">
        <v>16485.16</v>
      </c>
      <c r="K1643">
        <f>IF(tblPO[[#This Row],[Actual_Delivery_Date]]&lt;=tblPO[[#This Row],[Expected_Delivery_Date]],1,0)</f>
        <v>1</v>
      </c>
      <c r="L1643">
        <f>IF(tblPO[[#This Row],[Actual_Delivery_Date]]&gt;tblPO[[#This Row],[Expected_Delivery_Date]],1,0)</f>
        <v>0</v>
      </c>
      <c r="M1643">
        <f>tblPO[[#This Row],[Actual_Delivery_Date]]-tblPO[[#This Row],[PO_Date]]</f>
        <v>7</v>
      </c>
    </row>
    <row r="1644" spans="1:13" x14ac:dyDescent="0.3">
      <c r="A1644" t="s">
        <v>614</v>
      </c>
      <c r="B1644" s="18">
        <v>45573</v>
      </c>
      <c r="C1644" t="s">
        <v>46</v>
      </c>
      <c r="D1644" t="s">
        <v>104</v>
      </c>
      <c r="E1644">
        <v>20</v>
      </c>
      <c r="F1644">
        <v>474.19</v>
      </c>
      <c r="G1644" s="18">
        <v>45592</v>
      </c>
      <c r="H1644" s="18">
        <v>45590</v>
      </c>
      <c r="I1644">
        <v>20</v>
      </c>
      <c r="J1644">
        <v>9483.7999999999993</v>
      </c>
      <c r="K1644">
        <f>IF(tblPO[[#This Row],[Actual_Delivery_Date]]&lt;=tblPO[[#This Row],[Expected_Delivery_Date]],1,0)</f>
        <v>1</v>
      </c>
      <c r="L1644">
        <f>IF(tblPO[[#This Row],[Actual_Delivery_Date]]&gt;tblPO[[#This Row],[Expected_Delivery_Date]],1,0)</f>
        <v>0</v>
      </c>
      <c r="M1644">
        <f>tblPO[[#This Row],[Actual_Delivery_Date]]-tblPO[[#This Row],[PO_Date]]</f>
        <v>17</v>
      </c>
    </row>
    <row r="1645" spans="1:13" x14ac:dyDescent="0.3">
      <c r="A1645" t="s">
        <v>613</v>
      </c>
      <c r="B1645" s="18">
        <v>45587</v>
      </c>
      <c r="C1645" t="s">
        <v>43</v>
      </c>
      <c r="D1645" t="s">
        <v>166</v>
      </c>
      <c r="E1645">
        <v>699</v>
      </c>
      <c r="F1645">
        <v>73.14</v>
      </c>
      <c r="G1645" s="18">
        <v>45602</v>
      </c>
      <c r="H1645" s="18">
        <v>45601</v>
      </c>
      <c r="I1645">
        <v>699</v>
      </c>
      <c r="J1645">
        <v>51124.86</v>
      </c>
      <c r="K1645">
        <f>IF(tblPO[[#This Row],[Actual_Delivery_Date]]&lt;=tblPO[[#This Row],[Expected_Delivery_Date]],1,0)</f>
        <v>1</v>
      </c>
      <c r="L1645">
        <f>IF(tblPO[[#This Row],[Actual_Delivery_Date]]&gt;tblPO[[#This Row],[Expected_Delivery_Date]],1,0)</f>
        <v>0</v>
      </c>
      <c r="M1645">
        <f>tblPO[[#This Row],[Actual_Delivery_Date]]-tblPO[[#This Row],[PO_Date]]</f>
        <v>14</v>
      </c>
    </row>
    <row r="1646" spans="1:13" x14ac:dyDescent="0.3">
      <c r="A1646" t="s">
        <v>612</v>
      </c>
      <c r="B1646" s="18">
        <v>45583</v>
      </c>
      <c r="C1646" t="s">
        <v>65</v>
      </c>
      <c r="D1646" t="s">
        <v>188</v>
      </c>
      <c r="E1646">
        <v>474</v>
      </c>
      <c r="F1646">
        <v>35.17</v>
      </c>
      <c r="G1646" s="18">
        <v>45588</v>
      </c>
      <c r="H1646" s="18">
        <v>45585</v>
      </c>
      <c r="I1646">
        <v>474</v>
      </c>
      <c r="J1646">
        <v>16670.580000000002</v>
      </c>
      <c r="K1646">
        <f>IF(tblPO[[#This Row],[Actual_Delivery_Date]]&lt;=tblPO[[#This Row],[Expected_Delivery_Date]],1,0)</f>
        <v>1</v>
      </c>
      <c r="L1646">
        <f>IF(tblPO[[#This Row],[Actual_Delivery_Date]]&gt;tblPO[[#This Row],[Expected_Delivery_Date]],1,0)</f>
        <v>0</v>
      </c>
      <c r="M1646">
        <f>tblPO[[#This Row],[Actual_Delivery_Date]]-tblPO[[#This Row],[PO_Date]]</f>
        <v>2</v>
      </c>
    </row>
    <row r="1647" spans="1:13" x14ac:dyDescent="0.3">
      <c r="A1647" t="s">
        <v>611</v>
      </c>
      <c r="B1647" s="18">
        <v>45588</v>
      </c>
      <c r="C1647" t="s">
        <v>72</v>
      </c>
      <c r="D1647" t="s">
        <v>215</v>
      </c>
      <c r="E1647">
        <v>13</v>
      </c>
      <c r="F1647">
        <v>2582.2399999999998</v>
      </c>
      <c r="G1647" s="18">
        <v>45593</v>
      </c>
      <c r="H1647" s="18">
        <v>45592</v>
      </c>
      <c r="I1647">
        <v>13</v>
      </c>
      <c r="J1647">
        <v>33569.120000000003</v>
      </c>
      <c r="K1647">
        <f>IF(tblPO[[#This Row],[Actual_Delivery_Date]]&lt;=tblPO[[#This Row],[Expected_Delivery_Date]],1,0)</f>
        <v>1</v>
      </c>
      <c r="L1647">
        <f>IF(tblPO[[#This Row],[Actual_Delivery_Date]]&gt;tblPO[[#This Row],[Expected_Delivery_Date]],1,0)</f>
        <v>0</v>
      </c>
      <c r="M1647">
        <f>tblPO[[#This Row],[Actual_Delivery_Date]]-tblPO[[#This Row],[PO_Date]]</f>
        <v>4</v>
      </c>
    </row>
    <row r="1648" spans="1:13" x14ac:dyDescent="0.3">
      <c r="A1648" t="s">
        <v>610</v>
      </c>
      <c r="B1648" s="18">
        <v>45570</v>
      </c>
      <c r="C1648" t="s">
        <v>40</v>
      </c>
      <c r="D1648" t="s">
        <v>115</v>
      </c>
      <c r="E1648">
        <v>8</v>
      </c>
      <c r="F1648">
        <v>3269.73</v>
      </c>
      <c r="G1648" s="18">
        <v>45573</v>
      </c>
      <c r="H1648" s="18">
        <v>45572</v>
      </c>
      <c r="I1648">
        <v>8</v>
      </c>
      <c r="J1648">
        <v>26157.84</v>
      </c>
      <c r="K1648">
        <f>IF(tblPO[[#This Row],[Actual_Delivery_Date]]&lt;=tblPO[[#This Row],[Expected_Delivery_Date]],1,0)</f>
        <v>1</v>
      </c>
      <c r="L1648">
        <f>IF(tblPO[[#This Row],[Actual_Delivery_Date]]&gt;tblPO[[#This Row],[Expected_Delivery_Date]],1,0)</f>
        <v>0</v>
      </c>
      <c r="M1648">
        <f>tblPO[[#This Row],[Actual_Delivery_Date]]-tblPO[[#This Row],[PO_Date]]</f>
        <v>2</v>
      </c>
    </row>
    <row r="1649" spans="1:13" x14ac:dyDescent="0.3">
      <c r="A1649" t="s">
        <v>609</v>
      </c>
      <c r="B1649" s="18">
        <v>45592</v>
      </c>
      <c r="C1649" t="s">
        <v>58</v>
      </c>
      <c r="D1649" t="s">
        <v>166</v>
      </c>
      <c r="E1649">
        <v>213</v>
      </c>
      <c r="F1649">
        <v>98.49</v>
      </c>
      <c r="G1649" s="18">
        <v>45610</v>
      </c>
      <c r="H1649" s="18">
        <v>45609</v>
      </c>
      <c r="I1649">
        <v>213</v>
      </c>
      <c r="J1649">
        <v>20978.37</v>
      </c>
      <c r="K1649">
        <f>IF(tblPO[[#This Row],[Actual_Delivery_Date]]&lt;=tblPO[[#This Row],[Expected_Delivery_Date]],1,0)</f>
        <v>1</v>
      </c>
      <c r="L1649">
        <f>IF(tblPO[[#This Row],[Actual_Delivery_Date]]&gt;tblPO[[#This Row],[Expected_Delivery_Date]],1,0)</f>
        <v>0</v>
      </c>
      <c r="M1649">
        <f>tblPO[[#This Row],[Actual_Delivery_Date]]-tblPO[[#This Row],[PO_Date]]</f>
        <v>17</v>
      </c>
    </row>
    <row r="1650" spans="1:13" x14ac:dyDescent="0.3">
      <c r="A1650" t="s">
        <v>608</v>
      </c>
      <c r="B1650" s="18">
        <v>45569</v>
      </c>
      <c r="C1650" t="s">
        <v>40</v>
      </c>
      <c r="D1650" t="s">
        <v>132</v>
      </c>
      <c r="E1650">
        <v>14</v>
      </c>
      <c r="F1650">
        <v>3033.59</v>
      </c>
      <c r="G1650" s="18">
        <v>45581</v>
      </c>
      <c r="H1650" s="18">
        <v>45581</v>
      </c>
      <c r="I1650">
        <v>14</v>
      </c>
      <c r="J1650">
        <v>42470.26</v>
      </c>
      <c r="K1650">
        <f>IF(tblPO[[#This Row],[Actual_Delivery_Date]]&lt;=tblPO[[#This Row],[Expected_Delivery_Date]],1,0)</f>
        <v>1</v>
      </c>
      <c r="L1650">
        <f>IF(tblPO[[#This Row],[Actual_Delivery_Date]]&gt;tblPO[[#This Row],[Expected_Delivery_Date]],1,0)</f>
        <v>0</v>
      </c>
      <c r="M1650">
        <f>tblPO[[#This Row],[Actual_Delivery_Date]]-tblPO[[#This Row],[PO_Date]]</f>
        <v>12</v>
      </c>
    </row>
    <row r="1651" spans="1:13" x14ac:dyDescent="0.3">
      <c r="A1651" t="s">
        <v>607</v>
      </c>
      <c r="B1651" s="18">
        <v>45571</v>
      </c>
      <c r="C1651" t="s">
        <v>38</v>
      </c>
      <c r="D1651" t="s">
        <v>219</v>
      </c>
      <c r="E1651">
        <v>259</v>
      </c>
      <c r="F1651">
        <v>97.05</v>
      </c>
      <c r="G1651" s="18">
        <v>45577</v>
      </c>
      <c r="H1651" s="18">
        <v>45574</v>
      </c>
      <c r="I1651">
        <v>259</v>
      </c>
      <c r="J1651">
        <v>25135.95</v>
      </c>
      <c r="K1651">
        <f>IF(tblPO[[#This Row],[Actual_Delivery_Date]]&lt;=tblPO[[#This Row],[Expected_Delivery_Date]],1,0)</f>
        <v>1</v>
      </c>
      <c r="L1651">
        <f>IF(tblPO[[#This Row],[Actual_Delivery_Date]]&gt;tblPO[[#This Row],[Expected_Delivery_Date]],1,0)</f>
        <v>0</v>
      </c>
      <c r="M1651">
        <f>tblPO[[#This Row],[Actual_Delivery_Date]]-tblPO[[#This Row],[PO_Date]]</f>
        <v>3</v>
      </c>
    </row>
    <row r="1652" spans="1:13" x14ac:dyDescent="0.3">
      <c r="A1652" t="s">
        <v>606</v>
      </c>
      <c r="B1652" s="18">
        <v>45589</v>
      </c>
      <c r="C1652" t="s">
        <v>53</v>
      </c>
      <c r="D1652" t="s">
        <v>84</v>
      </c>
      <c r="E1652">
        <v>155</v>
      </c>
      <c r="F1652">
        <v>207.74</v>
      </c>
      <c r="G1652" s="18">
        <v>45610</v>
      </c>
      <c r="H1652" s="18">
        <v>45608</v>
      </c>
      <c r="I1652">
        <v>155</v>
      </c>
      <c r="J1652">
        <v>32199.7</v>
      </c>
      <c r="K1652">
        <f>IF(tblPO[[#This Row],[Actual_Delivery_Date]]&lt;=tblPO[[#This Row],[Expected_Delivery_Date]],1,0)</f>
        <v>1</v>
      </c>
      <c r="L1652">
        <f>IF(tblPO[[#This Row],[Actual_Delivery_Date]]&gt;tblPO[[#This Row],[Expected_Delivery_Date]],1,0)</f>
        <v>0</v>
      </c>
      <c r="M1652">
        <f>tblPO[[#This Row],[Actual_Delivery_Date]]-tblPO[[#This Row],[PO_Date]]</f>
        <v>19</v>
      </c>
    </row>
    <row r="1653" spans="1:13" x14ac:dyDescent="0.3">
      <c r="A1653" t="s">
        <v>605</v>
      </c>
      <c r="B1653" s="18">
        <v>45567</v>
      </c>
      <c r="C1653" t="s">
        <v>43</v>
      </c>
      <c r="D1653" t="s">
        <v>149</v>
      </c>
      <c r="E1653">
        <v>524</v>
      </c>
      <c r="F1653">
        <v>63.78</v>
      </c>
      <c r="G1653" s="18">
        <v>45577</v>
      </c>
      <c r="H1653" s="18">
        <v>45576</v>
      </c>
      <c r="I1653">
        <v>524</v>
      </c>
      <c r="J1653">
        <v>33420.720000000001</v>
      </c>
      <c r="K1653">
        <f>IF(tblPO[[#This Row],[Actual_Delivery_Date]]&lt;=tblPO[[#This Row],[Expected_Delivery_Date]],1,0)</f>
        <v>1</v>
      </c>
      <c r="L1653">
        <f>IF(tblPO[[#This Row],[Actual_Delivery_Date]]&gt;tblPO[[#This Row],[Expected_Delivery_Date]],1,0)</f>
        <v>0</v>
      </c>
      <c r="M1653">
        <f>tblPO[[#This Row],[Actual_Delivery_Date]]-tblPO[[#This Row],[PO_Date]]</f>
        <v>9</v>
      </c>
    </row>
    <row r="1654" spans="1:13" x14ac:dyDescent="0.3">
      <c r="A1654" t="s">
        <v>604</v>
      </c>
      <c r="B1654" s="18">
        <v>45592</v>
      </c>
      <c r="C1654" t="s">
        <v>48</v>
      </c>
      <c r="D1654" t="s">
        <v>176</v>
      </c>
      <c r="E1654">
        <v>271</v>
      </c>
      <c r="F1654">
        <v>53.77</v>
      </c>
      <c r="G1654" s="18">
        <v>45609</v>
      </c>
      <c r="H1654" s="18">
        <v>45607</v>
      </c>
      <c r="I1654">
        <v>271</v>
      </c>
      <c r="J1654">
        <v>14571.67</v>
      </c>
      <c r="K1654">
        <f>IF(tblPO[[#This Row],[Actual_Delivery_Date]]&lt;=tblPO[[#This Row],[Expected_Delivery_Date]],1,0)</f>
        <v>1</v>
      </c>
      <c r="L1654">
        <f>IF(tblPO[[#This Row],[Actual_Delivery_Date]]&gt;tblPO[[#This Row],[Expected_Delivery_Date]],1,0)</f>
        <v>0</v>
      </c>
      <c r="M1654">
        <f>tblPO[[#This Row],[Actual_Delivery_Date]]-tblPO[[#This Row],[PO_Date]]</f>
        <v>15</v>
      </c>
    </row>
    <row r="1655" spans="1:13" x14ac:dyDescent="0.3">
      <c r="A1655" t="s">
        <v>603</v>
      </c>
      <c r="B1655" s="18">
        <v>45580</v>
      </c>
      <c r="C1655" t="s">
        <v>39</v>
      </c>
      <c r="D1655" t="s">
        <v>154</v>
      </c>
      <c r="E1655">
        <v>385</v>
      </c>
      <c r="F1655">
        <v>79.52</v>
      </c>
      <c r="G1655" s="18">
        <v>45604</v>
      </c>
      <c r="H1655" s="18">
        <v>45602</v>
      </c>
      <c r="I1655">
        <v>385</v>
      </c>
      <c r="J1655">
        <v>30615.200000000001</v>
      </c>
      <c r="K1655">
        <f>IF(tblPO[[#This Row],[Actual_Delivery_Date]]&lt;=tblPO[[#This Row],[Expected_Delivery_Date]],1,0)</f>
        <v>1</v>
      </c>
      <c r="L1655">
        <f>IF(tblPO[[#This Row],[Actual_Delivery_Date]]&gt;tblPO[[#This Row],[Expected_Delivery_Date]],1,0)</f>
        <v>0</v>
      </c>
      <c r="M1655">
        <f>tblPO[[#This Row],[Actual_Delivery_Date]]-tblPO[[#This Row],[PO_Date]]</f>
        <v>22</v>
      </c>
    </row>
    <row r="1656" spans="1:13" x14ac:dyDescent="0.3">
      <c r="A1656" t="s">
        <v>602</v>
      </c>
      <c r="B1656" s="18">
        <v>45591</v>
      </c>
      <c r="C1656" t="s">
        <v>59</v>
      </c>
      <c r="D1656" t="s">
        <v>96</v>
      </c>
      <c r="E1656">
        <v>83</v>
      </c>
      <c r="F1656">
        <v>489.87</v>
      </c>
      <c r="G1656" s="18">
        <v>45601</v>
      </c>
      <c r="H1656" s="18">
        <v>45598</v>
      </c>
      <c r="I1656">
        <v>83</v>
      </c>
      <c r="J1656">
        <v>40659.21</v>
      </c>
      <c r="K1656">
        <f>IF(tblPO[[#This Row],[Actual_Delivery_Date]]&lt;=tblPO[[#This Row],[Expected_Delivery_Date]],1,0)</f>
        <v>1</v>
      </c>
      <c r="L1656">
        <f>IF(tblPO[[#This Row],[Actual_Delivery_Date]]&gt;tblPO[[#This Row],[Expected_Delivery_Date]],1,0)</f>
        <v>0</v>
      </c>
      <c r="M1656">
        <f>tblPO[[#This Row],[Actual_Delivery_Date]]-tblPO[[#This Row],[PO_Date]]</f>
        <v>7</v>
      </c>
    </row>
    <row r="1657" spans="1:13" x14ac:dyDescent="0.3">
      <c r="A1657" t="s">
        <v>601</v>
      </c>
      <c r="B1657" s="18">
        <v>45593</v>
      </c>
      <c r="C1657" t="s">
        <v>46</v>
      </c>
      <c r="D1657" t="s">
        <v>84</v>
      </c>
      <c r="E1657">
        <v>22</v>
      </c>
      <c r="F1657">
        <v>222.58</v>
      </c>
      <c r="G1657" s="18">
        <v>45605</v>
      </c>
      <c r="H1657" s="18">
        <v>45602</v>
      </c>
      <c r="I1657">
        <v>22</v>
      </c>
      <c r="J1657">
        <v>4896.76</v>
      </c>
      <c r="K1657">
        <f>IF(tblPO[[#This Row],[Actual_Delivery_Date]]&lt;=tblPO[[#This Row],[Expected_Delivery_Date]],1,0)</f>
        <v>1</v>
      </c>
      <c r="L1657">
        <f>IF(tblPO[[#This Row],[Actual_Delivery_Date]]&gt;tblPO[[#This Row],[Expected_Delivery_Date]],1,0)</f>
        <v>0</v>
      </c>
      <c r="M1657">
        <f>tblPO[[#This Row],[Actual_Delivery_Date]]-tblPO[[#This Row],[PO_Date]]</f>
        <v>9</v>
      </c>
    </row>
    <row r="1658" spans="1:13" x14ac:dyDescent="0.3">
      <c r="A1658" t="s">
        <v>600</v>
      </c>
      <c r="B1658" s="18">
        <v>45569</v>
      </c>
      <c r="C1658" t="s">
        <v>56</v>
      </c>
      <c r="D1658" t="s">
        <v>130</v>
      </c>
      <c r="E1658">
        <v>50</v>
      </c>
      <c r="F1658">
        <v>348.26</v>
      </c>
      <c r="G1658" s="18">
        <v>45573</v>
      </c>
      <c r="H1658" s="18">
        <v>45571</v>
      </c>
      <c r="I1658">
        <v>50</v>
      </c>
      <c r="J1658">
        <v>17413</v>
      </c>
      <c r="K1658">
        <f>IF(tblPO[[#This Row],[Actual_Delivery_Date]]&lt;=tblPO[[#This Row],[Expected_Delivery_Date]],1,0)</f>
        <v>1</v>
      </c>
      <c r="L1658">
        <f>IF(tblPO[[#This Row],[Actual_Delivery_Date]]&gt;tblPO[[#This Row],[Expected_Delivery_Date]],1,0)</f>
        <v>0</v>
      </c>
      <c r="M1658">
        <f>tblPO[[#This Row],[Actual_Delivery_Date]]-tblPO[[#This Row],[PO_Date]]</f>
        <v>2</v>
      </c>
    </row>
    <row r="1659" spans="1:13" x14ac:dyDescent="0.3">
      <c r="A1659" t="s">
        <v>599</v>
      </c>
      <c r="B1659" s="18">
        <v>45574</v>
      </c>
      <c r="C1659" t="s">
        <v>43</v>
      </c>
      <c r="D1659" t="s">
        <v>154</v>
      </c>
      <c r="E1659">
        <v>127</v>
      </c>
      <c r="F1659">
        <v>63.04</v>
      </c>
      <c r="G1659" s="18">
        <v>45590</v>
      </c>
      <c r="H1659" s="18">
        <v>45589</v>
      </c>
      <c r="I1659">
        <v>127</v>
      </c>
      <c r="J1659">
        <v>8006.08</v>
      </c>
      <c r="K1659">
        <f>IF(tblPO[[#This Row],[Actual_Delivery_Date]]&lt;=tblPO[[#This Row],[Expected_Delivery_Date]],1,0)</f>
        <v>1</v>
      </c>
      <c r="L1659">
        <f>IF(tblPO[[#This Row],[Actual_Delivery_Date]]&gt;tblPO[[#This Row],[Expected_Delivery_Date]],1,0)</f>
        <v>0</v>
      </c>
      <c r="M1659">
        <f>tblPO[[#This Row],[Actual_Delivery_Date]]-tblPO[[#This Row],[PO_Date]]</f>
        <v>15</v>
      </c>
    </row>
    <row r="1660" spans="1:13" x14ac:dyDescent="0.3">
      <c r="A1660" t="s">
        <v>598</v>
      </c>
      <c r="B1660" s="18">
        <v>45574</v>
      </c>
      <c r="C1660" t="s">
        <v>40</v>
      </c>
      <c r="D1660" t="s">
        <v>113</v>
      </c>
      <c r="E1660">
        <v>46</v>
      </c>
      <c r="F1660">
        <v>488.68</v>
      </c>
      <c r="G1660" s="18">
        <v>45591</v>
      </c>
      <c r="H1660" s="18">
        <v>45589</v>
      </c>
      <c r="I1660">
        <v>46</v>
      </c>
      <c r="J1660">
        <v>22479.279999999999</v>
      </c>
      <c r="K1660">
        <f>IF(tblPO[[#This Row],[Actual_Delivery_Date]]&lt;=tblPO[[#This Row],[Expected_Delivery_Date]],1,0)</f>
        <v>1</v>
      </c>
      <c r="L1660">
        <f>IF(tblPO[[#This Row],[Actual_Delivery_Date]]&gt;tblPO[[#This Row],[Expected_Delivery_Date]],1,0)</f>
        <v>0</v>
      </c>
      <c r="M1660">
        <f>tblPO[[#This Row],[Actual_Delivery_Date]]-tblPO[[#This Row],[PO_Date]]</f>
        <v>15</v>
      </c>
    </row>
    <row r="1661" spans="1:13" x14ac:dyDescent="0.3">
      <c r="A1661" t="s">
        <v>597</v>
      </c>
      <c r="B1661" s="18">
        <v>45591</v>
      </c>
      <c r="C1661" t="s">
        <v>65</v>
      </c>
      <c r="D1661" t="s">
        <v>188</v>
      </c>
      <c r="E1661">
        <v>748</v>
      </c>
      <c r="F1661">
        <v>35.26</v>
      </c>
      <c r="G1661" s="18">
        <v>45594</v>
      </c>
      <c r="H1661" s="18">
        <v>45594</v>
      </c>
      <c r="I1661">
        <v>748</v>
      </c>
      <c r="J1661">
        <v>26374.48</v>
      </c>
      <c r="K1661">
        <f>IF(tblPO[[#This Row],[Actual_Delivery_Date]]&lt;=tblPO[[#This Row],[Expected_Delivery_Date]],1,0)</f>
        <v>1</v>
      </c>
      <c r="L1661">
        <f>IF(tblPO[[#This Row],[Actual_Delivery_Date]]&gt;tblPO[[#This Row],[Expected_Delivery_Date]],1,0)</f>
        <v>0</v>
      </c>
      <c r="M1661">
        <f>tblPO[[#This Row],[Actual_Delivery_Date]]-tblPO[[#This Row],[PO_Date]]</f>
        <v>3</v>
      </c>
    </row>
    <row r="1662" spans="1:13" x14ac:dyDescent="0.3">
      <c r="A1662" t="s">
        <v>596</v>
      </c>
      <c r="B1662" s="18">
        <v>45601</v>
      </c>
      <c r="C1662" t="s">
        <v>39</v>
      </c>
      <c r="D1662" t="s">
        <v>166</v>
      </c>
      <c r="E1662">
        <v>753</v>
      </c>
      <c r="F1662">
        <v>96.19</v>
      </c>
      <c r="G1662" s="18">
        <v>45615</v>
      </c>
      <c r="H1662" s="18">
        <v>45615</v>
      </c>
      <c r="I1662">
        <v>753</v>
      </c>
      <c r="J1662">
        <v>72431.070000000007</v>
      </c>
      <c r="K1662">
        <f>IF(tblPO[[#This Row],[Actual_Delivery_Date]]&lt;=tblPO[[#This Row],[Expected_Delivery_Date]],1,0)</f>
        <v>1</v>
      </c>
      <c r="L1662">
        <f>IF(tblPO[[#This Row],[Actual_Delivery_Date]]&gt;tblPO[[#This Row],[Expected_Delivery_Date]],1,0)</f>
        <v>0</v>
      </c>
      <c r="M1662">
        <f>tblPO[[#This Row],[Actual_Delivery_Date]]-tblPO[[#This Row],[PO_Date]]</f>
        <v>14</v>
      </c>
    </row>
    <row r="1663" spans="1:13" x14ac:dyDescent="0.3">
      <c r="A1663" t="s">
        <v>595</v>
      </c>
      <c r="B1663" s="18">
        <v>45625</v>
      </c>
      <c r="C1663" t="s">
        <v>52</v>
      </c>
      <c r="D1663" t="s">
        <v>227</v>
      </c>
      <c r="E1663">
        <v>22</v>
      </c>
      <c r="F1663">
        <v>1239.25</v>
      </c>
      <c r="G1663" s="18">
        <v>45633</v>
      </c>
      <c r="H1663" s="18">
        <v>45630</v>
      </c>
      <c r="I1663">
        <v>22</v>
      </c>
      <c r="J1663">
        <v>27263.5</v>
      </c>
      <c r="K1663">
        <f>IF(tblPO[[#This Row],[Actual_Delivery_Date]]&lt;=tblPO[[#This Row],[Expected_Delivery_Date]],1,0)</f>
        <v>1</v>
      </c>
      <c r="L1663">
        <f>IF(tblPO[[#This Row],[Actual_Delivery_Date]]&gt;tblPO[[#This Row],[Expected_Delivery_Date]],1,0)</f>
        <v>0</v>
      </c>
      <c r="M1663">
        <f>tblPO[[#This Row],[Actual_Delivery_Date]]-tblPO[[#This Row],[PO_Date]]</f>
        <v>5</v>
      </c>
    </row>
    <row r="1664" spans="1:13" x14ac:dyDescent="0.3">
      <c r="A1664" t="s">
        <v>594</v>
      </c>
      <c r="B1664" s="18">
        <v>45615</v>
      </c>
      <c r="C1664" t="s">
        <v>45</v>
      </c>
      <c r="D1664" t="s">
        <v>237</v>
      </c>
      <c r="E1664">
        <v>749</v>
      </c>
      <c r="F1664">
        <v>82.53</v>
      </c>
      <c r="G1664" s="18">
        <v>45633</v>
      </c>
      <c r="H1664" s="18">
        <v>45633</v>
      </c>
      <c r="I1664">
        <v>749</v>
      </c>
      <c r="J1664">
        <v>61814.97</v>
      </c>
      <c r="K1664">
        <f>IF(tblPO[[#This Row],[Actual_Delivery_Date]]&lt;=tblPO[[#This Row],[Expected_Delivery_Date]],1,0)</f>
        <v>1</v>
      </c>
      <c r="L1664">
        <f>IF(tblPO[[#This Row],[Actual_Delivery_Date]]&gt;tblPO[[#This Row],[Expected_Delivery_Date]],1,0)</f>
        <v>0</v>
      </c>
      <c r="M1664">
        <f>tblPO[[#This Row],[Actual_Delivery_Date]]-tblPO[[#This Row],[PO_Date]]</f>
        <v>18</v>
      </c>
    </row>
    <row r="1665" spans="1:13" x14ac:dyDescent="0.3">
      <c r="A1665" t="s">
        <v>593</v>
      </c>
      <c r="B1665" s="18">
        <v>45601</v>
      </c>
      <c r="C1665" t="s">
        <v>61</v>
      </c>
      <c r="D1665" t="s">
        <v>245</v>
      </c>
      <c r="E1665">
        <v>6</v>
      </c>
      <c r="F1665">
        <v>3578.18</v>
      </c>
      <c r="G1665" s="18">
        <v>45604</v>
      </c>
      <c r="H1665" s="18">
        <v>45603</v>
      </c>
      <c r="I1665">
        <v>6</v>
      </c>
      <c r="J1665">
        <v>21469.08</v>
      </c>
      <c r="K1665">
        <f>IF(tblPO[[#This Row],[Actual_Delivery_Date]]&lt;=tblPO[[#This Row],[Expected_Delivery_Date]],1,0)</f>
        <v>1</v>
      </c>
      <c r="L1665">
        <f>IF(tblPO[[#This Row],[Actual_Delivery_Date]]&gt;tblPO[[#This Row],[Expected_Delivery_Date]],1,0)</f>
        <v>0</v>
      </c>
      <c r="M1665">
        <f>tblPO[[#This Row],[Actual_Delivery_Date]]-tblPO[[#This Row],[PO_Date]]</f>
        <v>2</v>
      </c>
    </row>
    <row r="1666" spans="1:13" x14ac:dyDescent="0.3">
      <c r="A1666" t="s">
        <v>592</v>
      </c>
      <c r="B1666" s="18">
        <v>45625</v>
      </c>
      <c r="C1666" t="s">
        <v>51</v>
      </c>
      <c r="D1666" t="s">
        <v>164</v>
      </c>
      <c r="E1666">
        <v>144</v>
      </c>
      <c r="F1666">
        <v>102.17</v>
      </c>
      <c r="G1666" s="18">
        <v>45639</v>
      </c>
      <c r="H1666" s="18">
        <v>45636</v>
      </c>
      <c r="I1666">
        <v>144</v>
      </c>
      <c r="J1666">
        <v>14712.48</v>
      </c>
      <c r="K1666">
        <f>IF(tblPO[[#This Row],[Actual_Delivery_Date]]&lt;=tblPO[[#This Row],[Expected_Delivery_Date]],1,0)</f>
        <v>1</v>
      </c>
      <c r="L1666">
        <f>IF(tblPO[[#This Row],[Actual_Delivery_Date]]&gt;tblPO[[#This Row],[Expected_Delivery_Date]],1,0)</f>
        <v>0</v>
      </c>
      <c r="M1666">
        <f>tblPO[[#This Row],[Actual_Delivery_Date]]-tblPO[[#This Row],[PO_Date]]</f>
        <v>11</v>
      </c>
    </row>
    <row r="1667" spans="1:13" x14ac:dyDescent="0.3">
      <c r="A1667" t="s">
        <v>591</v>
      </c>
      <c r="B1667" s="18">
        <v>45619</v>
      </c>
      <c r="C1667" t="s">
        <v>41</v>
      </c>
      <c r="D1667" t="s">
        <v>209</v>
      </c>
      <c r="E1667">
        <v>620</v>
      </c>
      <c r="F1667">
        <v>16.72</v>
      </c>
      <c r="G1667" s="18">
        <v>45635</v>
      </c>
      <c r="H1667" s="18">
        <v>45632</v>
      </c>
      <c r="I1667">
        <v>620</v>
      </c>
      <c r="J1667">
        <v>10366.4</v>
      </c>
      <c r="K1667">
        <f>IF(tblPO[[#This Row],[Actual_Delivery_Date]]&lt;=tblPO[[#This Row],[Expected_Delivery_Date]],1,0)</f>
        <v>1</v>
      </c>
      <c r="L1667">
        <f>IF(tblPO[[#This Row],[Actual_Delivery_Date]]&gt;tblPO[[#This Row],[Expected_Delivery_Date]],1,0)</f>
        <v>0</v>
      </c>
      <c r="M1667">
        <f>tblPO[[#This Row],[Actual_Delivery_Date]]-tblPO[[#This Row],[PO_Date]]</f>
        <v>13</v>
      </c>
    </row>
    <row r="1668" spans="1:13" x14ac:dyDescent="0.3">
      <c r="A1668" t="s">
        <v>590</v>
      </c>
      <c r="B1668" s="18">
        <v>45626</v>
      </c>
      <c r="C1668" t="s">
        <v>38</v>
      </c>
      <c r="D1668" t="s">
        <v>229</v>
      </c>
      <c r="E1668">
        <v>18</v>
      </c>
      <c r="F1668">
        <v>1796.35</v>
      </c>
      <c r="G1668" s="18">
        <v>45636</v>
      </c>
      <c r="H1668" s="18">
        <v>45634</v>
      </c>
      <c r="I1668">
        <v>18</v>
      </c>
      <c r="J1668">
        <v>32334.3</v>
      </c>
      <c r="K1668">
        <f>IF(tblPO[[#This Row],[Actual_Delivery_Date]]&lt;=tblPO[[#This Row],[Expected_Delivery_Date]],1,0)</f>
        <v>1</v>
      </c>
      <c r="L1668">
        <f>IF(tblPO[[#This Row],[Actual_Delivery_Date]]&gt;tblPO[[#This Row],[Expected_Delivery_Date]],1,0)</f>
        <v>0</v>
      </c>
      <c r="M1668">
        <f>tblPO[[#This Row],[Actual_Delivery_Date]]-tblPO[[#This Row],[PO_Date]]</f>
        <v>8</v>
      </c>
    </row>
    <row r="1669" spans="1:13" x14ac:dyDescent="0.3">
      <c r="A1669" t="s">
        <v>589</v>
      </c>
      <c r="B1669" s="18">
        <v>45618</v>
      </c>
      <c r="C1669" t="s">
        <v>47</v>
      </c>
      <c r="D1669" t="s">
        <v>241</v>
      </c>
      <c r="E1669">
        <v>7</v>
      </c>
      <c r="F1669">
        <v>2475.29</v>
      </c>
      <c r="G1669" s="18">
        <v>45627</v>
      </c>
      <c r="H1669" s="18">
        <v>45626</v>
      </c>
      <c r="I1669">
        <v>7</v>
      </c>
      <c r="J1669">
        <v>17327.03</v>
      </c>
      <c r="K1669">
        <f>IF(tblPO[[#This Row],[Actual_Delivery_Date]]&lt;=tblPO[[#This Row],[Expected_Delivery_Date]],1,0)</f>
        <v>1</v>
      </c>
      <c r="L1669">
        <f>IF(tblPO[[#This Row],[Actual_Delivery_Date]]&gt;tblPO[[#This Row],[Expected_Delivery_Date]],1,0)</f>
        <v>0</v>
      </c>
      <c r="M1669">
        <f>tblPO[[#This Row],[Actual_Delivery_Date]]-tblPO[[#This Row],[PO_Date]]</f>
        <v>8</v>
      </c>
    </row>
    <row r="1670" spans="1:13" x14ac:dyDescent="0.3">
      <c r="A1670" t="s">
        <v>588</v>
      </c>
      <c r="B1670" s="18">
        <v>45602</v>
      </c>
      <c r="C1670" t="s">
        <v>38</v>
      </c>
      <c r="D1670" t="s">
        <v>221</v>
      </c>
      <c r="E1670">
        <v>23</v>
      </c>
      <c r="F1670">
        <v>1882.42</v>
      </c>
      <c r="G1670" s="18">
        <v>45618</v>
      </c>
      <c r="H1670" s="18">
        <v>45615</v>
      </c>
      <c r="I1670">
        <v>23</v>
      </c>
      <c r="J1670">
        <v>43295.66</v>
      </c>
      <c r="K1670">
        <f>IF(tblPO[[#This Row],[Actual_Delivery_Date]]&lt;=tblPO[[#This Row],[Expected_Delivery_Date]],1,0)</f>
        <v>1</v>
      </c>
      <c r="L1670">
        <f>IF(tblPO[[#This Row],[Actual_Delivery_Date]]&gt;tblPO[[#This Row],[Expected_Delivery_Date]],1,0)</f>
        <v>0</v>
      </c>
      <c r="M1670">
        <f>tblPO[[#This Row],[Actual_Delivery_Date]]-tblPO[[#This Row],[PO_Date]]</f>
        <v>13</v>
      </c>
    </row>
    <row r="1671" spans="1:13" x14ac:dyDescent="0.3">
      <c r="A1671" t="s">
        <v>587</v>
      </c>
      <c r="B1671" s="18">
        <v>45609</v>
      </c>
      <c r="C1671" t="s">
        <v>51</v>
      </c>
      <c r="D1671" t="s">
        <v>172</v>
      </c>
      <c r="E1671">
        <v>768</v>
      </c>
      <c r="F1671">
        <v>26.77</v>
      </c>
      <c r="G1671" s="18">
        <v>45612</v>
      </c>
      <c r="H1671" s="18">
        <v>45609</v>
      </c>
      <c r="I1671">
        <v>768</v>
      </c>
      <c r="J1671">
        <v>20559.36</v>
      </c>
      <c r="K1671">
        <f>IF(tblPO[[#This Row],[Actual_Delivery_Date]]&lt;=tblPO[[#This Row],[Expected_Delivery_Date]],1,0)</f>
        <v>1</v>
      </c>
      <c r="L1671">
        <f>IF(tblPO[[#This Row],[Actual_Delivery_Date]]&gt;tblPO[[#This Row],[Expected_Delivery_Date]],1,0)</f>
        <v>0</v>
      </c>
      <c r="M1671">
        <f>tblPO[[#This Row],[Actual_Delivery_Date]]-tblPO[[#This Row],[PO_Date]]</f>
        <v>0</v>
      </c>
    </row>
    <row r="1672" spans="1:13" x14ac:dyDescent="0.3">
      <c r="A1672" t="s">
        <v>586</v>
      </c>
      <c r="B1672" s="18">
        <v>45597</v>
      </c>
      <c r="C1672" t="s">
        <v>40</v>
      </c>
      <c r="D1672" t="s">
        <v>121</v>
      </c>
      <c r="E1672">
        <v>145</v>
      </c>
      <c r="F1672">
        <v>700.63</v>
      </c>
      <c r="G1672" s="18">
        <v>45609</v>
      </c>
      <c r="H1672" s="18">
        <v>45607</v>
      </c>
      <c r="I1672">
        <v>145</v>
      </c>
      <c r="J1672">
        <v>101591.35</v>
      </c>
      <c r="K1672">
        <f>IF(tblPO[[#This Row],[Actual_Delivery_Date]]&lt;=tblPO[[#This Row],[Expected_Delivery_Date]],1,0)</f>
        <v>1</v>
      </c>
      <c r="L1672">
        <f>IF(tblPO[[#This Row],[Actual_Delivery_Date]]&gt;tblPO[[#This Row],[Expected_Delivery_Date]],1,0)</f>
        <v>0</v>
      </c>
      <c r="M1672">
        <f>tblPO[[#This Row],[Actual_Delivery_Date]]-tblPO[[#This Row],[PO_Date]]</f>
        <v>10</v>
      </c>
    </row>
    <row r="1673" spans="1:13" x14ac:dyDescent="0.3">
      <c r="A1673" t="s">
        <v>585</v>
      </c>
      <c r="B1673" s="18">
        <v>45603</v>
      </c>
      <c r="C1673" t="s">
        <v>43</v>
      </c>
      <c r="D1673" t="s">
        <v>170</v>
      </c>
      <c r="E1673">
        <v>268</v>
      </c>
      <c r="F1673">
        <v>72.23</v>
      </c>
      <c r="G1673" s="18">
        <v>45621</v>
      </c>
      <c r="H1673" s="18">
        <v>45619</v>
      </c>
      <c r="I1673">
        <v>268</v>
      </c>
      <c r="J1673">
        <v>19357.64</v>
      </c>
      <c r="K1673">
        <f>IF(tblPO[[#This Row],[Actual_Delivery_Date]]&lt;=tblPO[[#This Row],[Expected_Delivery_Date]],1,0)</f>
        <v>1</v>
      </c>
      <c r="L1673">
        <f>IF(tblPO[[#This Row],[Actual_Delivery_Date]]&gt;tblPO[[#This Row],[Expected_Delivery_Date]],1,0)</f>
        <v>0</v>
      </c>
      <c r="M1673">
        <f>tblPO[[#This Row],[Actual_Delivery_Date]]-tblPO[[#This Row],[PO_Date]]</f>
        <v>16</v>
      </c>
    </row>
    <row r="1674" spans="1:13" x14ac:dyDescent="0.3">
      <c r="A1674" t="s">
        <v>584</v>
      </c>
      <c r="B1674" s="18">
        <v>45614</v>
      </c>
      <c r="C1674" t="s">
        <v>43</v>
      </c>
      <c r="D1674" t="s">
        <v>164</v>
      </c>
      <c r="E1674">
        <v>170</v>
      </c>
      <c r="F1674">
        <v>112.98</v>
      </c>
      <c r="G1674" s="18">
        <v>45619</v>
      </c>
      <c r="H1674" s="18">
        <v>45617</v>
      </c>
      <c r="I1674">
        <v>170</v>
      </c>
      <c r="J1674">
        <v>19206.599999999999</v>
      </c>
      <c r="K1674">
        <f>IF(tblPO[[#This Row],[Actual_Delivery_Date]]&lt;=tblPO[[#This Row],[Expected_Delivery_Date]],1,0)</f>
        <v>1</v>
      </c>
      <c r="L1674">
        <f>IF(tblPO[[#This Row],[Actual_Delivery_Date]]&gt;tblPO[[#This Row],[Expected_Delivery_Date]],1,0)</f>
        <v>0</v>
      </c>
      <c r="M1674">
        <f>tblPO[[#This Row],[Actual_Delivery_Date]]-tblPO[[#This Row],[PO_Date]]</f>
        <v>3</v>
      </c>
    </row>
    <row r="1675" spans="1:13" x14ac:dyDescent="0.3">
      <c r="A1675" t="s">
        <v>583</v>
      </c>
      <c r="B1675" s="18">
        <v>45612</v>
      </c>
      <c r="C1675" t="s">
        <v>38</v>
      </c>
      <c r="D1675" t="s">
        <v>243</v>
      </c>
      <c r="E1675">
        <v>27</v>
      </c>
      <c r="F1675">
        <v>185.2</v>
      </c>
      <c r="G1675" s="18">
        <v>45617</v>
      </c>
      <c r="H1675" s="18">
        <v>45615</v>
      </c>
      <c r="I1675">
        <v>27</v>
      </c>
      <c r="J1675">
        <v>5000.3999999999996</v>
      </c>
      <c r="K1675">
        <f>IF(tblPO[[#This Row],[Actual_Delivery_Date]]&lt;=tblPO[[#This Row],[Expected_Delivery_Date]],1,0)</f>
        <v>1</v>
      </c>
      <c r="L1675">
        <f>IF(tblPO[[#This Row],[Actual_Delivery_Date]]&gt;tblPO[[#This Row],[Expected_Delivery_Date]],1,0)</f>
        <v>0</v>
      </c>
      <c r="M1675">
        <f>tblPO[[#This Row],[Actual_Delivery_Date]]-tblPO[[#This Row],[PO_Date]]</f>
        <v>3</v>
      </c>
    </row>
    <row r="1676" spans="1:13" x14ac:dyDescent="0.3">
      <c r="A1676" t="s">
        <v>582</v>
      </c>
      <c r="B1676" s="18">
        <v>45604</v>
      </c>
      <c r="C1676" t="s">
        <v>44</v>
      </c>
      <c r="D1676" t="s">
        <v>197</v>
      </c>
      <c r="E1676">
        <v>102</v>
      </c>
      <c r="F1676">
        <v>235.84</v>
      </c>
      <c r="G1676" s="18">
        <v>45624</v>
      </c>
      <c r="H1676" s="18">
        <v>45624</v>
      </c>
      <c r="I1676">
        <v>93</v>
      </c>
      <c r="J1676">
        <v>24055.68</v>
      </c>
      <c r="K1676">
        <f>IF(tblPO[[#This Row],[Actual_Delivery_Date]]&lt;=tblPO[[#This Row],[Expected_Delivery_Date]],1,0)</f>
        <v>1</v>
      </c>
      <c r="L1676">
        <f>IF(tblPO[[#This Row],[Actual_Delivery_Date]]&gt;tblPO[[#This Row],[Expected_Delivery_Date]],1,0)</f>
        <v>0</v>
      </c>
      <c r="M1676">
        <f>tblPO[[#This Row],[Actual_Delivery_Date]]-tblPO[[#This Row],[PO_Date]]</f>
        <v>20</v>
      </c>
    </row>
    <row r="1677" spans="1:13" x14ac:dyDescent="0.3">
      <c r="A1677" t="s">
        <v>581</v>
      </c>
      <c r="B1677" s="18">
        <v>45620</v>
      </c>
      <c r="C1677" t="s">
        <v>45</v>
      </c>
      <c r="D1677" t="s">
        <v>227</v>
      </c>
      <c r="E1677">
        <v>23</v>
      </c>
      <c r="F1677">
        <v>1142.6300000000001</v>
      </c>
      <c r="G1677" s="18">
        <v>45634</v>
      </c>
      <c r="H1677" s="18">
        <v>45632</v>
      </c>
      <c r="I1677">
        <v>23</v>
      </c>
      <c r="J1677">
        <v>26280.49</v>
      </c>
      <c r="K1677">
        <f>IF(tblPO[[#This Row],[Actual_Delivery_Date]]&lt;=tblPO[[#This Row],[Expected_Delivery_Date]],1,0)</f>
        <v>1</v>
      </c>
      <c r="L1677">
        <f>IF(tblPO[[#This Row],[Actual_Delivery_Date]]&gt;tblPO[[#This Row],[Expected_Delivery_Date]],1,0)</f>
        <v>0</v>
      </c>
      <c r="M1677">
        <f>tblPO[[#This Row],[Actual_Delivery_Date]]-tblPO[[#This Row],[PO_Date]]</f>
        <v>12</v>
      </c>
    </row>
    <row r="1678" spans="1:13" x14ac:dyDescent="0.3">
      <c r="A1678" t="s">
        <v>580</v>
      </c>
      <c r="B1678" s="18">
        <v>45625</v>
      </c>
      <c r="C1678" t="s">
        <v>40</v>
      </c>
      <c r="D1678" t="s">
        <v>138</v>
      </c>
      <c r="E1678">
        <v>18</v>
      </c>
      <c r="F1678">
        <v>3983.41</v>
      </c>
      <c r="G1678" s="18">
        <v>45641</v>
      </c>
      <c r="H1678" s="18">
        <v>45639</v>
      </c>
      <c r="I1678">
        <v>18</v>
      </c>
      <c r="J1678">
        <v>71701.38</v>
      </c>
      <c r="K1678">
        <f>IF(tblPO[[#This Row],[Actual_Delivery_Date]]&lt;=tblPO[[#This Row],[Expected_Delivery_Date]],1,0)</f>
        <v>1</v>
      </c>
      <c r="L1678">
        <f>IF(tblPO[[#This Row],[Actual_Delivery_Date]]&gt;tblPO[[#This Row],[Expected_Delivery_Date]],1,0)</f>
        <v>0</v>
      </c>
      <c r="M1678">
        <f>tblPO[[#This Row],[Actual_Delivery_Date]]-tblPO[[#This Row],[PO_Date]]</f>
        <v>14</v>
      </c>
    </row>
    <row r="1679" spans="1:13" x14ac:dyDescent="0.3">
      <c r="A1679" t="s">
        <v>579</v>
      </c>
      <c r="B1679" s="18">
        <v>45610</v>
      </c>
      <c r="C1679" t="s">
        <v>38</v>
      </c>
      <c r="D1679" t="s">
        <v>219</v>
      </c>
      <c r="E1679">
        <v>126</v>
      </c>
      <c r="F1679">
        <v>93.39</v>
      </c>
      <c r="G1679" s="18">
        <v>45613</v>
      </c>
      <c r="H1679" s="18">
        <v>45610</v>
      </c>
      <c r="I1679">
        <v>126</v>
      </c>
      <c r="J1679">
        <v>11767.14</v>
      </c>
      <c r="K1679">
        <f>IF(tblPO[[#This Row],[Actual_Delivery_Date]]&lt;=tblPO[[#This Row],[Expected_Delivery_Date]],1,0)</f>
        <v>1</v>
      </c>
      <c r="L1679">
        <f>IF(tblPO[[#This Row],[Actual_Delivery_Date]]&gt;tblPO[[#This Row],[Expected_Delivery_Date]],1,0)</f>
        <v>0</v>
      </c>
      <c r="M1679">
        <f>tblPO[[#This Row],[Actual_Delivery_Date]]-tblPO[[#This Row],[PO_Date]]</f>
        <v>0</v>
      </c>
    </row>
    <row r="1680" spans="1:13" x14ac:dyDescent="0.3">
      <c r="A1680" t="s">
        <v>578</v>
      </c>
      <c r="B1680" s="18">
        <v>45608</v>
      </c>
      <c r="C1680" t="s">
        <v>61</v>
      </c>
      <c r="D1680" t="s">
        <v>243</v>
      </c>
      <c r="E1680">
        <v>20</v>
      </c>
      <c r="F1680">
        <v>161.86000000000001</v>
      </c>
      <c r="G1680" s="18">
        <v>45619</v>
      </c>
      <c r="H1680" s="18">
        <v>45619</v>
      </c>
      <c r="I1680">
        <v>20</v>
      </c>
      <c r="J1680">
        <v>3237.2</v>
      </c>
      <c r="K1680">
        <f>IF(tblPO[[#This Row],[Actual_Delivery_Date]]&lt;=tblPO[[#This Row],[Expected_Delivery_Date]],1,0)</f>
        <v>1</v>
      </c>
      <c r="L1680">
        <f>IF(tblPO[[#This Row],[Actual_Delivery_Date]]&gt;tblPO[[#This Row],[Expected_Delivery_Date]],1,0)</f>
        <v>0</v>
      </c>
      <c r="M1680">
        <f>tblPO[[#This Row],[Actual_Delivery_Date]]-tblPO[[#This Row],[PO_Date]]</f>
        <v>11</v>
      </c>
    </row>
    <row r="1681" spans="1:13" x14ac:dyDescent="0.3">
      <c r="A1681" t="s">
        <v>577</v>
      </c>
      <c r="B1681" s="18">
        <v>45616</v>
      </c>
      <c r="C1681" t="s">
        <v>50</v>
      </c>
      <c r="D1681" t="s">
        <v>113</v>
      </c>
      <c r="E1681">
        <v>147</v>
      </c>
      <c r="F1681">
        <v>483.39</v>
      </c>
      <c r="G1681" s="18">
        <v>45629</v>
      </c>
      <c r="H1681" s="18">
        <v>45629</v>
      </c>
      <c r="I1681">
        <v>147</v>
      </c>
      <c r="J1681">
        <v>71058.33</v>
      </c>
      <c r="K1681">
        <f>IF(tblPO[[#This Row],[Actual_Delivery_Date]]&lt;=tblPO[[#This Row],[Expected_Delivery_Date]],1,0)</f>
        <v>1</v>
      </c>
      <c r="L1681">
        <f>IF(tblPO[[#This Row],[Actual_Delivery_Date]]&gt;tblPO[[#This Row],[Expected_Delivery_Date]],1,0)</f>
        <v>0</v>
      </c>
      <c r="M1681">
        <f>tblPO[[#This Row],[Actual_Delivery_Date]]-tblPO[[#This Row],[PO_Date]]</f>
        <v>13</v>
      </c>
    </row>
    <row r="1682" spans="1:13" x14ac:dyDescent="0.3">
      <c r="A1682" t="s">
        <v>576</v>
      </c>
      <c r="B1682" s="18">
        <v>45615</v>
      </c>
      <c r="C1682" t="s">
        <v>67</v>
      </c>
      <c r="D1682" t="s">
        <v>98</v>
      </c>
      <c r="E1682">
        <v>24</v>
      </c>
      <c r="F1682">
        <v>9205.75</v>
      </c>
      <c r="G1682" s="18">
        <v>45644</v>
      </c>
      <c r="H1682" s="18">
        <v>45642</v>
      </c>
      <c r="I1682">
        <v>24</v>
      </c>
      <c r="J1682">
        <v>220938</v>
      </c>
      <c r="K1682">
        <f>IF(tblPO[[#This Row],[Actual_Delivery_Date]]&lt;=tblPO[[#This Row],[Expected_Delivery_Date]],1,0)</f>
        <v>1</v>
      </c>
      <c r="L1682">
        <f>IF(tblPO[[#This Row],[Actual_Delivery_Date]]&gt;tblPO[[#This Row],[Expected_Delivery_Date]],1,0)</f>
        <v>0</v>
      </c>
      <c r="M1682">
        <f>tblPO[[#This Row],[Actual_Delivery_Date]]-tblPO[[#This Row],[PO_Date]]</f>
        <v>27</v>
      </c>
    </row>
    <row r="1683" spans="1:13" x14ac:dyDescent="0.3">
      <c r="A1683" t="s">
        <v>575</v>
      </c>
      <c r="B1683" s="18">
        <v>45614</v>
      </c>
      <c r="C1683" t="s">
        <v>60</v>
      </c>
      <c r="D1683" t="s">
        <v>140</v>
      </c>
      <c r="E1683">
        <v>97</v>
      </c>
      <c r="F1683">
        <v>307.02999999999997</v>
      </c>
      <c r="G1683" s="18">
        <v>45619</v>
      </c>
      <c r="H1683" s="18">
        <v>45618</v>
      </c>
      <c r="I1683">
        <v>97</v>
      </c>
      <c r="J1683">
        <v>29781.91</v>
      </c>
      <c r="K1683">
        <f>IF(tblPO[[#This Row],[Actual_Delivery_Date]]&lt;=tblPO[[#This Row],[Expected_Delivery_Date]],1,0)</f>
        <v>1</v>
      </c>
      <c r="L1683">
        <f>IF(tblPO[[#This Row],[Actual_Delivery_Date]]&gt;tblPO[[#This Row],[Expected_Delivery_Date]],1,0)</f>
        <v>0</v>
      </c>
      <c r="M1683">
        <f>tblPO[[#This Row],[Actual_Delivery_Date]]-tblPO[[#This Row],[PO_Date]]</f>
        <v>4</v>
      </c>
    </row>
    <row r="1684" spans="1:13" x14ac:dyDescent="0.3">
      <c r="A1684" t="s">
        <v>574</v>
      </c>
      <c r="B1684" s="18">
        <v>45607</v>
      </c>
      <c r="C1684" t="s">
        <v>52</v>
      </c>
      <c r="D1684" t="s">
        <v>233</v>
      </c>
      <c r="E1684">
        <v>68</v>
      </c>
      <c r="F1684">
        <v>205.24</v>
      </c>
      <c r="G1684" s="18">
        <v>45620</v>
      </c>
      <c r="H1684" s="18">
        <v>45618</v>
      </c>
      <c r="I1684">
        <v>68</v>
      </c>
      <c r="J1684">
        <v>13956.32</v>
      </c>
      <c r="K1684">
        <f>IF(tblPO[[#This Row],[Actual_Delivery_Date]]&lt;=tblPO[[#This Row],[Expected_Delivery_Date]],1,0)</f>
        <v>1</v>
      </c>
      <c r="L1684">
        <f>IF(tblPO[[#This Row],[Actual_Delivery_Date]]&gt;tblPO[[#This Row],[Expected_Delivery_Date]],1,0)</f>
        <v>0</v>
      </c>
      <c r="M1684">
        <f>tblPO[[#This Row],[Actual_Delivery_Date]]-tblPO[[#This Row],[PO_Date]]</f>
        <v>11</v>
      </c>
    </row>
    <row r="1685" spans="1:13" x14ac:dyDescent="0.3">
      <c r="A1685" t="s">
        <v>573</v>
      </c>
      <c r="B1685" s="18">
        <v>45613</v>
      </c>
      <c r="C1685" t="s">
        <v>52</v>
      </c>
      <c r="D1685" t="s">
        <v>233</v>
      </c>
      <c r="E1685">
        <v>95</v>
      </c>
      <c r="F1685">
        <v>198.68</v>
      </c>
      <c r="G1685" s="18">
        <v>45629</v>
      </c>
      <c r="H1685" s="18">
        <v>45629</v>
      </c>
      <c r="I1685">
        <v>95</v>
      </c>
      <c r="J1685">
        <v>18874.599999999999</v>
      </c>
      <c r="K1685">
        <f>IF(tblPO[[#This Row],[Actual_Delivery_Date]]&lt;=tblPO[[#This Row],[Expected_Delivery_Date]],1,0)</f>
        <v>1</v>
      </c>
      <c r="L1685">
        <f>IF(tblPO[[#This Row],[Actual_Delivery_Date]]&gt;tblPO[[#This Row],[Expected_Delivery_Date]],1,0)</f>
        <v>0</v>
      </c>
      <c r="M1685">
        <f>tblPO[[#This Row],[Actual_Delivery_Date]]-tblPO[[#This Row],[PO_Date]]</f>
        <v>16</v>
      </c>
    </row>
    <row r="1686" spans="1:13" x14ac:dyDescent="0.3">
      <c r="A1686" t="s">
        <v>572</v>
      </c>
      <c r="B1686" s="18">
        <v>45622</v>
      </c>
      <c r="C1686" t="s">
        <v>40</v>
      </c>
      <c r="D1686" t="s">
        <v>136</v>
      </c>
      <c r="E1686">
        <v>45</v>
      </c>
      <c r="F1686">
        <v>697.15</v>
      </c>
      <c r="G1686" s="18">
        <v>45634</v>
      </c>
      <c r="H1686" s="18">
        <v>45633</v>
      </c>
      <c r="I1686">
        <v>45</v>
      </c>
      <c r="J1686">
        <v>31371.75</v>
      </c>
      <c r="K1686">
        <f>IF(tblPO[[#This Row],[Actual_Delivery_Date]]&lt;=tblPO[[#This Row],[Expected_Delivery_Date]],1,0)</f>
        <v>1</v>
      </c>
      <c r="L1686">
        <f>IF(tblPO[[#This Row],[Actual_Delivery_Date]]&gt;tblPO[[#This Row],[Expected_Delivery_Date]],1,0)</f>
        <v>0</v>
      </c>
      <c r="M1686">
        <f>tblPO[[#This Row],[Actual_Delivery_Date]]-tblPO[[#This Row],[PO_Date]]</f>
        <v>11</v>
      </c>
    </row>
    <row r="1687" spans="1:13" x14ac:dyDescent="0.3">
      <c r="A1687" t="s">
        <v>571</v>
      </c>
      <c r="B1687" s="18">
        <v>45615</v>
      </c>
      <c r="C1687" t="s">
        <v>41</v>
      </c>
      <c r="D1687" t="s">
        <v>193</v>
      </c>
      <c r="E1687">
        <v>523</v>
      </c>
      <c r="F1687">
        <v>31.74</v>
      </c>
      <c r="G1687" s="18">
        <v>45623</v>
      </c>
      <c r="H1687" s="18">
        <v>45622</v>
      </c>
      <c r="I1687">
        <v>523</v>
      </c>
      <c r="J1687">
        <v>16600.02</v>
      </c>
      <c r="K1687">
        <f>IF(tblPO[[#This Row],[Actual_Delivery_Date]]&lt;=tblPO[[#This Row],[Expected_Delivery_Date]],1,0)</f>
        <v>1</v>
      </c>
      <c r="L1687">
        <f>IF(tblPO[[#This Row],[Actual_Delivery_Date]]&gt;tblPO[[#This Row],[Expected_Delivery_Date]],1,0)</f>
        <v>0</v>
      </c>
      <c r="M1687">
        <f>tblPO[[#This Row],[Actual_Delivery_Date]]-tblPO[[#This Row],[PO_Date]]</f>
        <v>7</v>
      </c>
    </row>
    <row r="1688" spans="1:13" x14ac:dyDescent="0.3">
      <c r="A1688" t="s">
        <v>570</v>
      </c>
      <c r="B1688" s="18">
        <v>45623</v>
      </c>
      <c r="C1688" t="s">
        <v>50</v>
      </c>
      <c r="D1688" t="s">
        <v>136</v>
      </c>
      <c r="E1688">
        <v>172</v>
      </c>
      <c r="F1688">
        <v>668.2</v>
      </c>
      <c r="G1688" s="18">
        <v>45636</v>
      </c>
      <c r="H1688" s="18">
        <v>45636</v>
      </c>
      <c r="I1688">
        <v>172</v>
      </c>
      <c r="J1688">
        <v>114930.4</v>
      </c>
      <c r="K1688">
        <f>IF(tblPO[[#This Row],[Actual_Delivery_Date]]&lt;=tblPO[[#This Row],[Expected_Delivery_Date]],1,0)</f>
        <v>1</v>
      </c>
      <c r="L1688">
        <f>IF(tblPO[[#This Row],[Actual_Delivery_Date]]&gt;tblPO[[#This Row],[Expected_Delivery_Date]],1,0)</f>
        <v>0</v>
      </c>
      <c r="M1688">
        <f>tblPO[[#This Row],[Actual_Delivery_Date]]-tblPO[[#This Row],[PO_Date]]</f>
        <v>13</v>
      </c>
    </row>
    <row r="1689" spans="1:13" x14ac:dyDescent="0.3">
      <c r="A1689" t="s">
        <v>569</v>
      </c>
      <c r="B1689" s="18">
        <v>45626</v>
      </c>
      <c r="C1689" t="s">
        <v>67</v>
      </c>
      <c r="D1689" t="s">
        <v>98</v>
      </c>
      <c r="E1689">
        <v>10</v>
      </c>
      <c r="F1689">
        <v>9008.7000000000007</v>
      </c>
      <c r="G1689" s="18">
        <v>45656</v>
      </c>
      <c r="H1689" s="18">
        <v>45655</v>
      </c>
      <c r="I1689">
        <v>10</v>
      </c>
      <c r="J1689">
        <v>90087</v>
      </c>
      <c r="K1689">
        <f>IF(tblPO[[#This Row],[Actual_Delivery_Date]]&lt;=tblPO[[#This Row],[Expected_Delivery_Date]],1,0)</f>
        <v>1</v>
      </c>
      <c r="L1689">
        <f>IF(tblPO[[#This Row],[Actual_Delivery_Date]]&gt;tblPO[[#This Row],[Expected_Delivery_Date]],1,0)</f>
        <v>0</v>
      </c>
      <c r="M1689">
        <f>tblPO[[#This Row],[Actual_Delivery_Date]]-tblPO[[#This Row],[PO_Date]]</f>
        <v>29</v>
      </c>
    </row>
    <row r="1690" spans="1:13" x14ac:dyDescent="0.3">
      <c r="A1690" t="s">
        <v>568</v>
      </c>
      <c r="B1690" s="18">
        <v>45609</v>
      </c>
      <c r="C1690" t="s">
        <v>40</v>
      </c>
      <c r="D1690" t="s">
        <v>123</v>
      </c>
      <c r="E1690">
        <v>5</v>
      </c>
      <c r="F1690">
        <v>1216.8599999999999</v>
      </c>
      <c r="G1690" s="18">
        <v>45624</v>
      </c>
      <c r="H1690" s="18">
        <v>45622</v>
      </c>
      <c r="I1690">
        <v>5</v>
      </c>
      <c r="J1690">
        <v>6084.3</v>
      </c>
      <c r="K1690">
        <f>IF(tblPO[[#This Row],[Actual_Delivery_Date]]&lt;=tblPO[[#This Row],[Expected_Delivery_Date]],1,0)</f>
        <v>1</v>
      </c>
      <c r="L1690">
        <f>IF(tblPO[[#This Row],[Actual_Delivery_Date]]&gt;tblPO[[#This Row],[Expected_Delivery_Date]],1,0)</f>
        <v>0</v>
      </c>
      <c r="M1690">
        <f>tblPO[[#This Row],[Actual_Delivery_Date]]-tblPO[[#This Row],[PO_Date]]</f>
        <v>13</v>
      </c>
    </row>
    <row r="1691" spans="1:13" x14ac:dyDescent="0.3">
      <c r="A1691" t="s">
        <v>567</v>
      </c>
      <c r="B1691" s="18">
        <v>45626</v>
      </c>
      <c r="C1691" t="s">
        <v>51</v>
      </c>
      <c r="D1691" t="s">
        <v>168</v>
      </c>
      <c r="E1691">
        <v>515</v>
      </c>
      <c r="F1691">
        <v>57.14</v>
      </c>
      <c r="G1691" s="18">
        <v>45637</v>
      </c>
      <c r="H1691" s="18">
        <v>45637</v>
      </c>
      <c r="I1691">
        <v>515</v>
      </c>
      <c r="J1691">
        <v>29427.1</v>
      </c>
      <c r="K1691">
        <f>IF(tblPO[[#This Row],[Actual_Delivery_Date]]&lt;=tblPO[[#This Row],[Expected_Delivery_Date]],1,0)</f>
        <v>1</v>
      </c>
      <c r="L1691">
        <f>IF(tblPO[[#This Row],[Actual_Delivery_Date]]&gt;tblPO[[#This Row],[Expected_Delivery_Date]],1,0)</f>
        <v>0</v>
      </c>
      <c r="M1691">
        <f>tblPO[[#This Row],[Actual_Delivery_Date]]-tblPO[[#This Row],[PO_Date]]</f>
        <v>11</v>
      </c>
    </row>
    <row r="1692" spans="1:13" x14ac:dyDescent="0.3">
      <c r="A1692" t="s">
        <v>566</v>
      </c>
      <c r="B1692" s="18">
        <v>45612</v>
      </c>
      <c r="C1692" t="s">
        <v>56</v>
      </c>
      <c r="D1692" t="s">
        <v>142</v>
      </c>
      <c r="E1692">
        <v>170</v>
      </c>
      <c r="F1692">
        <v>168.24</v>
      </c>
      <c r="G1692" s="18">
        <v>45618</v>
      </c>
      <c r="H1692" s="18">
        <v>45618</v>
      </c>
      <c r="I1692">
        <v>170</v>
      </c>
      <c r="J1692">
        <v>28600.799999999999</v>
      </c>
      <c r="K1692">
        <f>IF(tblPO[[#This Row],[Actual_Delivery_Date]]&lt;=tblPO[[#This Row],[Expected_Delivery_Date]],1,0)</f>
        <v>1</v>
      </c>
      <c r="L1692">
        <f>IF(tblPO[[#This Row],[Actual_Delivery_Date]]&gt;tblPO[[#This Row],[Expected_Delivery_Date]],1,0)</f>
        <v>0</v>
      </c>
      <c r="M1692">
        <f>tblPO[[#This Row],[Actual_Delivery_Date]]-tblPO[[#This Row],[PO_Date]]</f>
        <v>6</v>
      </c>
    </row>
    <row r="1693" spans="1:13" x14ac:dyDescent="0.3">
      <c r="A1693" t="s">
        <v>565</v>
      </c>
      <c r="B1693" s="18">
        <v>45621</v>
      </c>
      <c r="C1693" t="s">
        <v>72</v>
      </c>
      <c r="D1693" t="s">
        <v>243</v>
      </c>
      <c r="E1693">
        <v>102</v>
      </c>
      <c r="F1693">
        <v>119.28</v>
      </c>
      <c r="G1693" s="18">
        <v>45625</v>
      </c>
      <c r="H1693" s="18">
        <v>45622</v>
      </c>
      <c r="I1693">
        <v>102</v>
      </c>
      <c r="J1693">
        <v>12166.56</v>
      </c>
      <c r="K1693">
        <f>IF(tblPO[[#This Row],[Actual_Delivery_Date]]&lt;=tblPO[[#This Row],[Expected_Delivery_Date]],1,0)</f>
        <v>1</v>
      </c>
      <c r="L1693">
        <f>IF(tblPO[[#This Row],[Actual_Delivery_Date]]&gt;tblPO[[#This Row],[Expected_Delivery_Date]],1,0)</f>
        <v>0</v>
      </c>
      <c r="M1693">
        <f>tblPO[[#This Row],[Actual_Delivery_Date]]-tblPO[[#This Row],[PO_Date]]</f>
        <v>1</v>
      </c>
    </row>
    <row r="1694" spans="1:13" x14ac:dyDescent="0.3">
      <c r="A1694" t="s">
        <v>564</v>
      </c>
      <c r="B1694" s="18">
        <v>45622</v>
      </c>
      <c r="C1694" t="s">
        <v>38</v>
      </c>
      <c r="D1694" t="s">
        <v>217</v>
      </c>
      <c r="E1694">
        <v>180</v>
      </c>
      <c r="F1694">
        <v>28.08</v>
      </c>
      <c r="G1694" s="18">
        <v>45628</v>
      </c>
      <c r="H1694" s="18">
        <v>45628</v>
      </c>
      <c r="I1694">
        <v>180</v>
      </c>
      <c r="J1694">
        <v>5054.3999999999996</v>
      </c>
      <c r="K1694">
        <f>IF(tblPO[[#This Row],[Actual_Delivery_Date]]&lt;=tblPO[[#This Row],[Expected_Delivery_Date]],1,0)</f>
        <v>1</v>
      </c>
      <c r="L1694">
        <f>IF(tblPO[[#This Row],[Actual_Delivery_Date]]&gt;tblPO[[#This Row],[Expected_Delivery_Date]],1,0)</f>
        <v>0</v>
      </c>
      <c r="M1694">
        <f>tblPO[[#This Row],[Actual_Delivery_Date]]-tblPO[[#This Row],[PO_Date]]</f>
        <v>6</v>
      </c>
    </row>
    <row r="1695" spans="1:13" x14ac:dyDescent="0.3">
      <c r="A1695" t="s">
        <v>563</v>
      </c>
      <c r="B1695" s="18">
        <v>45607</v>
      </c>
      <c r="C1695" t="s">
        <v>47</v>
      </c>
      <c r="D1695" t="s">
        <v>215</v>
      </c>
      <c r="E1695">
        <v>5</v>
      </c>
      <c r="F1695">
        <v>2932.96</v>
      </c>
      <c r="G1695" s="18">
        <v>45618</v>
      </c>
      <c r="H1695" s="18">
        <v>45616</v>
      </c>
      <c r="I1695">
        <v>5</v>
      </c>
      <c r="J1695">
        <v>14664.8</v>
      </c>
      <c r="K1695">
        <f>IF(tblPO[[#This Row],[Actual_Delivery_Date]]&lt;=tblPO[[#This Row],[Expected_Delivery_Date]],1,0)</f>
        <v>1</v>
      </c>
      <c r="L1695">
        <f>IF(tblPO[[#This Row],[Actual_Delivery_Date]]&gt;tblPO[[#This Row],[Expected_Delivery_Date]],1,0)</f>
        <v>0</v>
      </c>
      <c r="M1695">
        <f>tblPO[[#This Row],[Actual_Delivery_Date]]-tblPO[[#This Row],[PO_Date]]</f>
        <v>9</v>
      </c>
    </row>
    <row r="1696" spans="1:13" x14ac:dyDescent="0.3">
      <c r="A1696" t="s">
        <v>562</v>
      </c>
      <c r="B1696" s="18">
        <v>45626</v>
      </c>
      <c r="C1696" t="s">
        <v>59</v>
      </c>
      <c r="D1696" t="s">
        <v>92</v>
      </c>
      <c r="E1696">
        <v>10</v>
      </c>
      <c r="F1696">
        <v>2873.63</v>
      </c>
      <c r="G1696" s="18">
        <v>45640</v>
      </c>
      <c r="H1696" s="18">
        <v>45648</v>
      </c>
      <c r="I1696">
        <v>9</v>
      </c>
      <c r="J1696">
        <v>28736.3</v>
      </c>
      <c r="K1696">
        <f>IF(tblPO[[#This Row],[Actual_Delivery_Date]]&lt;=tblPO[[#This Row],[Expected_Delivery_Date]],1,0)</f>
        <v>0</v>
      </c>
      <c r="L1696">
        <f>IF(tblPO[[#This Row],[Actual_Delivery_Date]]&gt;tblPO[[#This Row],[Expected_Delivery_Date]],1,0)</f>
        <v>1</v>
      </c>
      <c r="M1696">
        <f>tblPO[[#This Row],[Actual_Delivery_Date]]-tblPO[[#This Row],[PO_Date]]</f>
        <v>22</v>
      </c>
    </row>
    <row r="1697" spans="1:13" x14ac:dyDescent="0.3">
      <c r="A1697" t="s">
        <v>561</v>
      </c>
      <c r="B1697" s="18">
        <v>45603</v>
      </c>
      <c r="C1697" t="s">
        <v>47</v>
      </c>
      <c r="D1697" t="s">
        <v>237</v>
      </c>
      <c r="E1697">
        <v>442</v>
      </c>
      <c r="F1697">
        <v>68.55</v>
      </c>
      <c r="G1697" s="18">
        <v>45606</v>
      </c>
      <c r="H1697" s="18">
        <v>45613</v>
      </c>
      <c r="I1697">
        <v>442</v>
      </c>
      <c r="J1697">
        <v>30299.1</v>
      </c>
      <c r="K1697">
        <f>IF(tblPO[[#This Row],[Actual_Delivery_Date]]&lt;=tblPO[[#This Row],[Expected_Delivery_Date]],1,0)</f>
        <v>0</v>
      </c>
      <c r="L1697">
        <f>IF(tblPO[[#This Row],[Actual_Delivery_Date]]&gt;tblPO[[#This Row],[Expected_Delivery_Date]],1,0)</f>
        <v>1</v>
      </c>
      <c r="M1697">
        <f>tblPO[[#This Row],[Actual_Delivery_Date]]-tblPO[[#This Row],[PO_Date]]</f>
        <v>10</v>
      </c>
    </row>
    <row r="1698" spans="1:13" x14ac:dyDescent="0.3">
      <c r="A1698" t="s">
        <v>560</v>
      </c>
      <c r="B1698" s="18">
        <v>45622</v>
      </c>
      <c r="C1698" t="s">
        <v>52</v>
      </c>
      <c r="D1698" t="s">
        <v>212</v>
      </c>
      <c r="E1698">
        <v>79</v>
      </c>
      <c r="F1698">
        <v>322.29000000000002</v>
      </c>
      <c r="G1698" s="18">
        <v>45640</v>
      </c>
      <c r="H1698" s="18">
        <v>45638</v>
      </c>
      <c r="I1698">
        <v>79</v>
      </c>
      <c r="J1698">
        <v>25460.91</v>
      </c>
      <c r="K1698">
        <f>IF(tblPO[[#This Row],[Actual_Delivery_Date]]&lt;=tblPO[[#This Row],[Expected_Delivery_Date]],1,0)</f>
        <v>1</v>
      </c>
      <c r="L1698">
        <f>IF(tblPO[[#This Row],[Actual_Delivery_Date]]&gt;tblPO[[#This Row],[Expected_Delivery_Date]],1,0)</f>
        <v>0</v>
      </c>
      <c r="M1698">
        <f>tblPO[[#This Row],[Actual_Delivery_Date]]-tblPO[[#This Row],[PO_Date]]</f>
        <v>16</v>
      </c>
    </row>
    <row r="1699" spans="1:13" x14ac:dyDescent="0.3">
      <c r="A1699" t="s">
        <v>559</v>
      </c>
      <c r="B1699" s="18">
        <v>45602</v>
      </c>
      <c r="C1699" t="s">
        <v>55</v>
      </c>
      <c r="D1699" t="s">
        <v>237</v>
      </c>
      <c r="E1699">
        <v>674</v>
      </c>
      <c r="F1699">
        <v>96.53</v>
      </c>
      <c r="G1699" s="18">
        <v>45619</v>
      </c>
      <c r="H1699" s="18">
        <v>45618</v>
      </c>
      <c r="I1699">
        <v>674</v>
      </c>
      <c r="J1699">
        <v>65061.22</v>
      </c>
      <c r="K1699">
        <f>IF(tblPO[[#This Row],[Actual_Delivery_Date]]&lt;=tblPO[[#This Row],[Expected_Delivery_Date]],1,0)</f>
        <v>1</v>
      </c>
      <c r="L1699">
        <f>IF(tblPO[[#This Row],[Actual_Delivery_Date]]&gt;tblPO[[#This Row],[Expected_Delivery_Date]],1,0)</f>
        <v>0</v>
      </c>
      <c r="M1699">
        <f>tblPO[[#This Row],[Actual_Delivery_Date]]-tblPO[[#This Row],[PO_Date]]</f>
        <v>16</v>
      </c>
    </row>
    <row r="1700" spans="1:13" x14ac:dyDescent="0.3">
      <c r="A1700" t="s">
        <v>558</v>
      </c>
      <c r="B1700" s="18">
        <v>45615</v>
      </c>
      <c r="C1700" t="s">
        <v>52</v>
      </c>
      <c r="D1700" t="s">
        <v>237</v>
      </c>
      <c r="E1700">
        <v>495</v>
      </c>
      <c r="F1700">
        <v>86.53</v>
      </c>
      <c r="G1700" s="18">
        <v>45630</v>
      </c>
      <c r="H1700" s="18">
        <v>45628</v>
      </c>
      <c r="I1700">
        <v>495</v>
      </c>
      <c r="J1700">
        <v>42832.35</v>
      </c>
      <c r="K1700">
        <f>IF(tblPO[[#This Row],[Actual_Delivery_Date]]&lt;=tblPO[[#This Row],[Expected_Delivery_Date]],1,0)</f>
        <v>1</v>
      </c>
      <c r="L1700">
        <f>IF(tblPO[[#This Row],[Actual_Delivery_Date]]&gt;tblPO[[#This Row],[Expected_Delivery_Date]],1,0)</f>
        <v>0</v>
      </c>
      <c r="M1700">
        <f>tblPO[[#This Row],[Actual_Delivery_Date]]-tblPO[[#This Row],[PO_Date]]</f>
        <v>13</v>
      </c>
    </row>
    <row r="1701" spans="1:13" x14ac:dyDescent="0.3">
      <c r="A1701" t="s">
        <v>557</v>
      </c>
      <c r="B1701" s="18">
        <v>45611</v>
      </c>
      <c r="C1701" t="s">
        <v>53</v>
      </c>
      <c r="D1701" t="s">
        <v>108</v>
      </c>
      <c r="E1701">
        <v>8</v>
      </c>
      <c r="F1701">
        <v>13699.02</v>
      </c>
      <c r="G1701" s="18">
        <v>45627</v>
      </c>
      <c r="H1701" s="18">
        <v>45627</v>
      </c>
      <c r="I1701">
        <v>8</v>
      </c>
      <c r="J1701">
        <v>109592.16</v>
      </c>
      <c r="K1701">
        <f>IF(tblPO[[#This Row],[Actual_Delivery_Date]]&lt;=tblPO[[#This Row],[Expected_Delivery_Date]],1,0)</f>
        <v>1</v>
      </c>
      <c r="L1701">
        <f>IF(tblPO[[#This Row],[Actual_Delivery_Date]]&gt;tblPO[[#This Row],[Expected_Delivery_Date]],1,0)</f>
        <v>0</v>
      </c>
      <c r="M1701">
        <f>tblPO[[#This Row],[Actual_Delivery_Date]]-tblPO[[#This Row],[PO_Date]]</f>
        <v>16</v>
      </c>
    </row>
    <row r="1702" spans="1:13" x14ac:dyDescent="0.3">
      <c r="A1702" t="s">
        <v>556</v>
      </c>
      <c r="B1702" s="18">
        <v>45621</v>
      </c>
      <c r="C1702" t="s">
        <v>41</v>
      </c>
      <c r="D1702" t="s">
        <v>183</v>
      </c>
      <c r="E1702">
        <v>604</v>
      </c>
      <c r="F1702">
        <v>10.93</v>
      </c>
      <c r="G1702" s="18">
        <v>45632</v>
      </c>
      <c r="H1702" s="18">
        <v>45632</v>
      </c>
      <c r="I1702">
        <v>604</v>
      </c>
      <c r="J1702">
        <v>6601.72</v>
      </c>
      <c r="K1702">
        <f>IF(tblPO[[#This Row],[Actual_Delivery_Date]]&lt;=tblPO[[#This Row],[Expected_Delivery_Date]],1,0)</f>
        <v>1</v>
      </c>
      <c r="L1702">
        <f>IF(tblPO[[#This Row],[Actual_Delivery_Date]]&gt;tblPO[[#This Row],[Expected_Delivery_Date]],1,0)</f>
        <v>0</v>
      </c>
      <c r="M1702">
        <f>tblPO[[#This Row],[Actual_Delivery_Date]]-tblPO[[#This Row],[PO_Date]]</f>
        <v>11</v>
      </c>
    </row>
    <row r="1703" spans="1:13" x14ac:dyDescent="0.3">
      <c r="A1703" t="s">
        <v>555</v>
      </c>
      <c r="B1703" s="18">
        <v>45597</v>
      </c>
      <c r="C1703" t="s">
        <v>39</v>
      </c>
      <c r="D1703" t="s">
        <v>146</v>
      </c>
      <c r="E1703">
        <v>12</v>
      </c>
      <c r="F1703">
        <v>3310.33</v>
      </c>
      <c r="G1703" s="18">
        <v>45624</v>
      </c>
      <c r="H1703" s="18">
        <v>45624</v>
      </c>
      <c r="I1703">
        <v>12</v>
      </c>
      <c r="J1703">
        <v>39723.96</v>
      </c>
      <c r="K1703">
        <f>IF(tblPO[[#This Row],[Actual_Delivery_Date]]&lt;=tblPO[[#This Row],[Expected_Delivery_Date]],1,0)</f>
        <v>1</v>
      </c>
      <c r="L1703">
        <f>IF(tblPO[[#This Row],[Actual_Delivery_Date]]&gt;tblPO[[#This Row],[Expected_Delivery_Date]],1,0)</f>
        <v>0</v>
      </c>
      <c r="M1703">
        <f>tblPO[[#This Row],[Actual_Delivery_Date]]-tblPO[[#This Row],[PO_Date]]</f>
        <v>27</v>
      </c>
    </row>
    <row r="1704" spans="1:13" x14ac:dyDescent="0.3">
      <c r="A1704" t="s">
        <v>554</v>
      </c>
      <c r="B1704" s="18">
        <v>45619</v>
      </c>
      <c r="C1704" t="s">
        <v>43</v>
      </c>
      <c r="D1704" t="s">
        <v>158</v>
      </c>
      <c r="E1704">
        <v>46</v>
      </c>
      <c r="F1704">
        <v>96.67</v>
      </c>
      <c r="G1704" s="18">
        <v>45624</v>
      </c>
      <c r="H1704" s="18">
        <v>45624</v>
      </c>
      <c r="I1704">
        <v>46</v>
      </c>
      <c r="J1704">
        <v>4446.82</v>
      </c>
      <c r="K1704">
        <f>IF(tblPO[[#This Row],[Actual_Delivery_Date]]&lt;=tblPO[[#This Row],[Expected_Delivery_Date]],1,0)</f>
        <v>1</v>
      </c>
      <c r="L1704">
        <f>IF(tblPO[[#This Row],[Actual_Delivery_Date]]&gt;tblPO[[#This Row],[Expected_Delivery_Date]],1,0)</f>
        <v>0</v>
      </c>
      <c r="M1704">
        <f>tblPO[[#This Row],[Actual_Delivery_Date]]-tblPO[[#This Row],[PO_Date]]</f>
        <v>5</v>
      </c>
    </row>
    <row r="1705" spans="1:13" x14ac:dyDescent="0.3">
      <c r="A1705" t="s">
        <v>553</v>
      </c>
      <c r="B1705" s="18">
        <v>45608</v>
      </c>
      <c r="C1705" t="s">
        <v>57</v>
      </c>
      <c r="D1705" t="s">
        <v>197</v>
      </c>
      <c r="E1705">
        <v>90</v>
      </c>
      <c r="F1705">
        <v>262.5</v>
      </c>
      <c r="G1705" s="18">
        <v>45632</v>
      </c>
      <c r="H1705" s="18">
        <v>45631</v>
      </c>
      <c r="I1705">
        <v>90</v>
      </c>
      <c r="J1705">
        <v>23625</v>
      </c>
      <c r="K1705">
        <f>IF(tblPO[[#This Row],[Actual_Delivery_Date]]&lt;=tblPO[[#This Row],[Expected_Delivery_Date]],1,0)</f>
        <v>1</v>
      </c>
      <c r="L1705">
        <f>IF(tblPO[[#This Row],[Actual_Delivery_Date]]&gt;tblPO[[#This Row],[Expected_Delivery_Date]],1,0)</f>
        <v>0</v>
      </c>
      <c r="M1705">
        <f>tblPO[[#This Row],[Actual_Delivery_Date]]-tblPO[[#This Row],[PO_Date]]</f>
        <v>23</v>
      </c>
    </row>
    <row r="1706" spans="1:13" x14ac:dyDescent="0.3">
      <c r="A1706" t="s">
        <v>552</v>
      </c>
      <c r="B1706" s="18">
        <v>45597</v>
      </c>
      <c r="C1706" t="s">
        <v>47</v>
      </c>
      <c r="D1706" t="s">
        <v>227</v>
      </c>
      <c r="E1706">
        <v>17</v>
      </c>
      <c r="F1706">
        <v>1008.03</v>
      </c>
      <c r="G1706" s="18">
        <v>45607</v>
      </c>
      <c r="H1706" s="18">
        <v>45604</v>
      </c>
      <c r="I1706">
        <v>17</v>
      </c>
      <c r="J1706">
        <v>17136.509999999998</v>
      </c>
      <c r="K1706">
        <f>IF(tblPO[[#This Row],[Actual_Delivery_Date]]&lt;=tblPO[[#This Row],[Expected_Delivery_Date]],1,0)</f>
        <v>1</v>
      </c>
      <c r="L1706">
        <f>IF(tblPO[[#This Row],[Actual_Delivery_Date]]&gt;tblPO[[#This Row],[Expected_Delivery_Date]],1,0)</f>
        <v>0</v>
      </c>
      <c r="M1706">
        <f>tblPO[[#This Row],[Actual_Delivery_Date]]-tblPO[[#This Row],[PO_Date]]</f>
        <v>7</v>
      </c>
    </row>
    <row r="1707" spans="1:13" x14ac:dyDescent="0.3">
      <c r="A1707" t="s">
        <v>551</v>
      </c>
      <c r="B1707" s="18">
        <v>45608</v>
      </c>
      <c r="C1707" t="s">
        <v>43</v>
      </c>
      <c r="D1707" t="s">
        <v>152</v>
      </c>
      <c r="E1707">
        <v>635</v>
      </c>
      <c r="F1707">
        <v>76.17</v>
      </c>
      <c r="G1707" s="18">
        <v>45622</v>
      </c>
      <c r="H1707" s="18">
        <v>45622</v>
      </c>
      <c r="I1707">
        <v>635</v>
      </c>
      <c r="J1707">
        <v>48367.95</v>
      </c>
      <c r="K1707">
        <f>IF(tblPO[[#This Row],[Actual_Delivery_Date]]&lt;=tblPO[[#This Row],[Expected_Delivery_Date]],1,0)</f>
        <v>1</v>
      </c>
      <c r="L1707">
        <f>IF(tblPO[[#This Row],[Actual_Delivery_Date]]&gt;tblPO[[#This Row],[Expected_Delivery_Date]],1,0)</f>
        <v>0</v>
      </c>
      <c r="M1707">
        <f>tblPO[[#This Row],[Actual_Delivery_Date]]-tblPO[[#This Row],[PO_Date]]</f>
        <v>14</v>
      </c>
    </row>
    <row r="1708" spans="1:13" x14ac:dyDescent="0.3">
      <c r="A1708" t="s">
        <v>550</v>
      </c>
      <c r="B1708" s="18">
        <v>45610</v>
      </c>
      <c r="C1708" t="s">
        <v>62</v>
      </c>
      <c r="D1708" t="s">
        <v>195</v>
      </c>
      <c r="E1708">
        <v>32</v>
      </c>
      <c r="F1708">
        <v>624.29</v>
      </c>
      <c r="G1708" s="18">
        <v>45621</v>
      </c>
      <c r="H1708" s="18">
        <v>45620</v>
      </c>
      <c r="I1708">
        <v>32</v>
      </c>
      <c r="J1708">
        <v>19977.28</v>
      </c>
      <c r="K1708">
        <f>IF(tblPO[[#This Row],[Actual_Delivery_Date]]&lt;=tblPO[[#This Row],[Expected_Delivery_Date]],1,0)</f>
        <v>1</v>
      </c>
      <c r="L1708">
        <f>IF(tblPO[[#This Row],[Actual_Delivery_Date]]&gt;tblPO[[#This Row],[Expected_Delivery_Date]],1,0)</f>
        <v>0</v>
      </c>
      <c r="M1708">
        <f>tblPO[[#This Row],[Actual_Delivery_Date]]-tblPO[[#This Row],[PO_Date]]</f>
        <v>10</v>
      </c>
    </row>
    <row r="1709" spans="1:13" x14ac:dyDescent="0.3">
      <c r="A1709" t="s">
        <v>549</v>
      </c>
      <c r="B1709" s="18">
        <v>45604</v>
      </c>
      <c r="C1709" t="s">
        <v>53</v>
      </c>
      <c r="D1709" t="s">
        <v>102</v>
      </c>
      <c r="E1709">
        <v>53</v>
      </c>
      <c r="F1709">
        <v>596.97</v>
      </c>
      <c r="G1709" s="18">
        <v>45634</v>
      </c>
      <c r="H1709" s="18">
        <v>45632</v>
      </c>
      <c r="I1709">
        <v>53</v>
      </c>
      <c r="J1709">
        <v>31639.41</v>
      </c>
      <c r="K1709">
        <f>IF(tblPO[[#This Row],[Actual_Delivery_Date]]&lt;=tblPO[[#This Row],[Expected_Delivery_Date]],1,0)</f>
        <v>1</v>
      </c>
      <c r="L1709">
        <f>IF(tblPO[[#This Row],[Actual_Delivery_Date]]&gt;tblPO[[#This Row],[Expected_Delivery_Date]],1,0)</f>
        <v>0</v>
      </c>
      <c r="M1709">
        <f>tblPO[[#This Row],[Actual_Delivery_Date]]-tblPO[[#This Row],[PO_Date]]</f>
        <v>28</v>
      </c>
    </row>
    <row r="1710" spans="1:13" x14ac:dyDescent="0.3">
      <c r="A1710" t="s">
        <v>548</v>
      </c>
      <c r="B1710" s="18">
        <v>45599</v>
      </c>
      <c r="C1710" t="s">
        <v>47</v>
      </c>
      <c r="D1710" t="s">
        <v>227</v>
      </c>
      <c r="E1710">
        <v>9</v>
      </c>
      <c r="F1710">
        <v>989.17</v>
      </c>
      <c r="G1710" s="18">
        <v>45607</v>
      </c>
      <c r="H1710" s="18">
        <v>45604</v>
      </c>
      <c r="I1710">
        <v>9</v>
      </c>
      <c r="J1710">
        <v>8902.5300000000007</v>
      </c>
      <c r="K1710">
        <f>IF(tblPO[[#This Row],[Actual_Delivery_Date]]&lt;=tblPO[[#This Row],[Expected_Delivery_Date]],1,0)</f>
        <v>1</v>
      </c>
      <c r="L1710">
        <f>IF(tblPO[[#This Row],[Actual_Delivery_Date]]&gt;tblPO[[#This Row],[Expected_Delivery_Date]],1,0)</f>
        <v>0</v>
      </c>
      <c r="M1710">
        <f>tblPO[[#This Row],[Actual_Delivery_Date]]-tblPO[[#This Row],[PO_Date]]</f>
        <v>5</v>
      </c>
    </row>
    <row r="1711" spans="1:13" x14ac:dyDescent="0.3">
      <c r="A1711" t="s">
        <v>547</v>
      </c>
      <c r="B1711" s="18">
        <v>45601</v>
      </c>
      <c r="C1711" t="s">
        <v>42</v>
      </c>
      <c r="D1711" t="s">
        <v>94</v>
      </c>
      <c r="E1711">
        <v>125</v>
      </c>
      <c r="F1711">
        <v>530.11</v>
      </c>
      <c r="G1711" s="18">
        <v>45622</v>
      </c>
      <c r="H1711" s="18">
        <v>45622</v>
      </c>
      <c r="I1711">
        <v>125</v>
      </c>
      <c r="J1711">
        <v>66263.75</v>
      </c>
      <c r="K1711">
        <f>IF(tblPO[[#This Row],[Actual_Delivery_Date]]&lt;=tblPO[[#This Row],[Expected_Delivery_Date]],1,0)</f>
        <v>1</v>
      </c>
      <c r="L1711">
        <f>IF(tblPO[[#This Row],[Actual_Delivery_Date]]&gt;tblPO[[#This Row],[Expected_Delivery_Date]],1,0)</f>
        <v>0</v>
      </c>
      <c r="M1711">
        <f>tblPO[[#This Row],[Actual_Delivery_Date]]-tblPO[[#This Row],[PO_Date]]</f>
        <v>21</v>
      </c>
    </row>
    <row r="1712" spans="1:13" x14ac:dyDescent="0.3">
      <c r="A1712" t="s">
        <v>546</v>
      </c>
      <c r="B1712" s="18">
        <v>45606</v>
      </c>
      <c r="C1712" t="s">
        <v>49</v>
      </c>
      <c r="D1712" t="s">
        <v>179</v>
      </c>
      <c r="E1712">
        <v>469</v>
      </c>
      <c r="F1712">
        <v>18.87</v>
      </c>
      <c r="G1712" s="18">
        <v>45614</v>
      </c>
      <c r="H1712" s="18">
        <v>45612</v>
      </c>
      <c r="I1712">
        <v>469</v>
      </c>
      <c r="J1712">
        <v>8850.0300000000007</v>
      </c>
      <c r="K1712">
        <f>IF(tblPO[[#This Row],[Actual_Delivery_Date]]&lt;=tblPO[[#This Row],[Expected_Delivery_Date]],1,0)</f>
        <v>1</v>
      </c>
      <c r="L1712">
        <f>IF(tblPO[[#This Row],[Actual_Delivery_Date]]&gt;tblPO[[#This Row],[Expected_Delivery_Date]],1,0)</f>
        <v>0</v>
      </c>
      <c r="M1712">
        <f>tblPO[[#This Row],[Actual_Delivery_Date]]-tblPO[[#This Row],[PO_Date]]</f>
        <v>6</v>
      </c>
    </row>
    <row r="1713" spans="1:13" x14ac:dyDescent="0.3">
      <c r="A1713" t="s">
        <v>545</v>
      </c>
      <c r="B1713" s="18">
        <v>45622</v>
      </c>
      <c r="C1713" t="s">
        <v>44</v>
      </c>
      <c r="D1713" t="s">
        <v>190</v>
      </c>
      <c r="E1713">
        <v>177</v>
      </c>
      <c r="F1713">
        <v>94.87</v>
      </c>
      <c r="G1713" s="18">
        <v>45639</v>
      </c>
      <c r="H1713" s="18">
        <v>45639</v>
      </c>
      <c r="I1713">
        <v>177</v>
      </c>
      <c r="J1713">
        <v>16791.990000000002</v>
      </c>
      <c r="K1713">
        <f>IF(tblPO[[#This Row],[Actual_Delivery_Date]]&lt;=tblPO[[#This Row],[Expected_Delivery_Date]],1,0)</f>
        <v>1</v>
      </c>
      <c r="L1713">
        <f>IF(tblPO[[#This Row],[Actual_Delivery_Date]]&gt;tblPO[[#This Row],[Expected_Delivery_Date]],1,0)</f>
        <v>0</v>
      </c>
      <c r="M1713">
        <f>tblPO[[#This Row],[Actual_Delivery_Date]]-tblPO[[#This Row],[PO_Date]]</f>
        <v>17</v>
      </c>
    </row>
    <row r="1714" spans="1:13" x14ac:dyDescent="0.3">
      <c r="A1714" t="s">
        <v>544</v>
      </c>
      <c r="B1714" s="18">
        <v>45622</v>
      </c>
      <c r="C1714" t="s">
        <v>48</v>
      </c>
      <c r="D1714" t="s">
        <v>146</v>
      </c>
      <c r="E1714">
        <v>2</v>
      </c>
      <c r="F1714">
        <v>3543.3</v>
      </c>
      <c r="G1714" s="18">
        <v>45640</v>
      </c>
      <c r="H1714" s="18">
        <v>45637</v>
      </c>
      <c r="I1714">
        <v>1</v>
      </c>
      <c r="J1714">
        <v>7086.6</v>
      </c>
      <c r="K1714">
        <f>IF(tblPO[[#This Row],[Actual_Delivery_Date]]&lt;=tblPO[[#This Row],[Expected_Delivery_Date]],1,0)</f>
        <v>1</v>
      </c>
      <c r="L1714">
        <f>IF(tblPO[[#This Row],[Actual_Delivery_Date]]&gt;tblPO[[#This Row],[Expected_Delivery_Date]],1,0)</f>
        <v>0</v>
      </c>
      <c r="M1714">
        <f>tblPO[[#This Row],[Actual_Delivery_Date]]-tblPO[[#This Row],[PO_Date]]</f>
        <v>15</v>
      </c>
    </row>
    <row r="1715" spans="1:13" x14ac:dyDescent="0.3">
      <c r="A1715" t="s">
        <v>543</v>
      </c>
      <c r="B1715" s="18">
        <v>45600</v>
      </c>
      <c r="C1715" t="s">
        <v>43</v>
      </c>
      <c r="D1715" t="s">
        <v>149</v>
      </c>
      <c r="E1715">
        <v>596</v>
      </c>
      <c r="F1715">
        <v>66.27</v>
      </c>
      <c r="G1715" s="18">
        <v>45617</v>
      </c>
      <c r="H1715" s="18">
        <v>45616</v>
      </c>
      <c r="I1715">
        <v>596</v>
      </c>
      <c r="J1715">
        <v>39496.92</v>
      </c>
      <c r="K1715">
        <f>IF(tblPO[[#This Row],[Actual_Delivery_Date]]&lt;=tblPO[[#This Row],[Expected_Delivery_Date]],1,0)</f>
        <v>1</v>
      </c>
      <c r="L1715">
        <f>IF(tblPO[[#This Row],[Actual_Delivery_Date]]&gt;tblPO[[#This Row],[Expected_Delivery_Date]],1,0)</f>
        <v>0</v>
      </c>
      <c r="M1715">
        <f>tblPO[[#This Row],[Actual_Delivery_Date]]-tblPO[[#This Row],[PO_Date]]</f>
        <v>16</v>
      </c>
    </row>
    <row r="1716" spans="1:13" x14ac:dyDescent="0.3">
      <c r="A1716" t="s">
        <v>542</v>
      </c>
      <c r="B1716" s="18">
        <v>45604</v>
      </c>
      <c r="C1716" t="s">
        <v>70</v>
      </c>
      <c r="D1716" t="s">
        <v>205</v>
      </c>
      <c r="E1716">
        <v>57</v>
      </c>
      <c r="F1716">
        <v>401.58</v>
      </c>
      <c r="G1716" s="18">
        <v>45607</v>
      </c>
      <c r="H1716" s="18">
        <v>45605</v>
      </c>
      <c r="I1716">
        <v>57</v>
      </c>
      <c r="J1716">
        <v>22890.06</v>
      </c>
      <c r="K1716">
        <f>IF(tblPO[[#This Row],[Actual_Delivery_Date]]&lt;=tblPO[[#This Row],[Expected_Delivery_Date]],1,0)</f>
        <v>1</v>
      </c>
      <c r="L1716">
        <f>IF(tblPO[[#This Row],[Actual_Delivery_Date]]&gt;tblPO[[#This Row],[Expected_Delivery_Date]],1,0)</f>
        <v>0</v>
      </c>
      <c r="M1716">
        <f>tblPO[[#This Row],[Actual_Delivery_Date]]-tblPO[[#This Row],[PO_Date]]</f>
        <v>1</v>
      </c>
    </row>
    <row r="1717" spans="1:13" x14ac:dyDescent="0.3">
      <c r="A1717" t="s">
        <v>541</v>
      </c>
      <c r="B1717" s="18">
        <v>45613</v>
      </c>
      <c r="C1717" t="s">
        <v>54</v>
      </c>
      <c r="D1717" t="s">
        <v>193</v>
      </c>
      <c r="E1717">
        <v>562</v>
      </c>
      <c r="F1717">
        <v>27.98</v>
      </c>
      <c r="G1717" s="18">
        <v>45617</v>
      </c>
      <c r="H1717" s="18">
        <v>45615</v>
      </c>
      <c r="I1717">
        <v>504</v>
      </c>
      <c r="J1717">
        <v>15724.76</v>
      </c>
      <c r="K1717">
        <f>IF(tblPO[[#This Row],[Actual_Delivery_Date]]&lt;=tblPO[[#This Row],[Expected_Delivery_Date]],1,0)</f>
        <v>1</v>
      </c>
      <c r="L1717">
        <f>IF(tblPO[[#This Row],[Actual_Delivery_Date]]&gt;tblPO[[#This Row],[Expected_Delivery_Date]],1,0)</f>
        <v>0</v>
      </c>
      <c r="M1717">
        <f>tblPO[[#This Row],[Actual_Delivery_Date]]-tblPO[[#This Row],[PO_Date]]</f>
        <v>2</v>
      </c>
    </row>
    <row r="1718" spans="1:13" x14ac:dyDescent="0.3">
      <c r="A1718" t="s">
        <v>540</v>
      </c>
      <c r="B1718" s="18">
        <v>45623</v>
      </c>
      <c r="C1718" t="s">
        <v>39</v>
      </c>
      <c r="D1718" t="s">
        <v>172</v>
      </c>
      <c r="E1718">
        <v>673</v>
      </c>
      <c r="F1718">
        <v>36.979999999999997</v>
      </c>
      <c r="G1718" s="18">
        <v>45646</v>
      </c>
      <c r="H1718" s="18">
        <v>45645</v>
      </c>
      <c r="I1718">
        <v>673</v>
      </c>
      <c r="J1718">
        <v>24887.54</v>
      </c>
      <c r="K1718">
        <f>IF(tblPO[[#This Row],[Actual_Delivery_Date]]&lt;=tblPO[[#This Row],[Expected_Delivery_Date]],1,0)</f>
        <v>1</v>
      </c>
      <c r="L1718">
        <f>IF(tblPO[[#This Row],[Actual_Delivery_Date]]&gt;tblPO[[#This Row],[Expected_Delivery_Date]],1,0)</f>
        <v>0</v>
      </c>
      <c r="M1718">
        <f>tblPO[[#This Row],[Actual_Delivery_Date]]-tblPO[[#This Row],[PO_Date]]</f>
        <v>22</v>
      </c>
    </row>
    <row r="1719" spans="1:13" x14ac:dyDescent="0.3">
      <c r="A1719" t="s">
        <v>539</v>
      </c>
      <c r="B1719" s="18">
        <v>45619</v>
      </c>
      <c r="C1719" t="s">
        <v>51</v>
      </c>
      <c r="D1719" t="s">
        <v>162</v>
      </c>
      <c r="E1719">
        <v>162</v>
      </c>
      <c r="F1719">
        <v>31.46</v>
      </c>
      <c r="G1719" s="18">
        <v>45629</v>
      </c>
      <c r="H1719" s="18">
        <v>45626</v>
      </c>
      <c r="I1719">
        <v>149</v>
      </c>
      <c r="J1719">
        <v>5096.5200000000004</v>
      </c>
      <c r="K1719">
        <f>IF(tblPO[[#This Row],[Actual_Delivery_Date]]&lt;=tblPO[[#This Row],[Expected_Delivery_Date]],1,0)</f>
        <v>1</v>
      </c>
      <c r="L1719">
        <f>IF(tblPO[[#This Row],[Actual_Delivery_Date]]&gt;tblPO[[#This Row],[Expected_Delivery_Date]],1,0)</f>
        <v>0</v>
      </c>
      <c r="M1719">
        <f>tblPO[[#This Row],[Actual_Delivery_Date]]-tblPO[[#This Row],[PO_Date]]</f>
        <v>7</v>
      </c>
    </row>
    <row r="1720" spans="1:13" x14ac:dyDescent="0.3">
      <c r="A1720" t="s">
        <v>538</v>
      </c>
      <c r="B1720" s="18">
        <v>45622</v>
      </c>
      <c r="C1720" t="s">
        <v>61</v>
      </c>
      <c r="D1720" t="s">
        <v>251</v>
      </c>
      <c r="E1720">
        <v>591</v>
      </c>
      <c r="F1720">
        <v>73.53</v>
      </c>
      <c r="G1720" s="18">
        <v>45640</v>
      </c>
      <c r="H1720" s="18">
        <v>45640</v>
      </c>
      <c r="I1720">
        <v>591</v>
      </c>
      <c r="J1720">
        <v>43456.23</v>
      </c>
      <c r="K1720">
        <f>IF(tblPO[[#This Row],[Actual_Delivery_Date]]&lt;=tblPO[[#This Row],[Expected_Delivery_Date]],1,0)</f>
        <v>1</v>
      </c>
      <c r="L1720">
        <f>IF(tblPO[[#This Row],[Actual_Delivery_Date]]&gt;tblPO[[#This Row],[Expected_Delivery_Date]],1,0)</f>
        <v>0</v>
      </c>
      <c r="M1720">
        <f>tblPO[[#This Row],[Actual_Delivery_Date]]-tblPO[[#This Row],[PO_Date]]</f>
        <v>18</v>
      </c>
    </row>
    <row r="1721" spans="1:13" x14ac:dyDescent="0.3">
      <c r="A1721" t="s">
        <v>537</v>
      </c>
      <c r="B1721" s="18">
        <v>45611</v>
      </c>
      <c r="C1721" t="s">
        <v>51</v>
      </c>
      <c r="D1721" t="s">
        <v>154</v>
      </c>
      <c r="E1721">
        <v>587</v>
      </c>
      <c r="F1721">
        <v>57.36</v>
      </c>
      <c r="G1721" s="18">
        <v>45625</v>
      </c>
      <c r="H1721" s="18">
        <v>45625</v>
      </c>
      <c r="I1721">
        <v>587</v>
      </c>
      <c r="J1721">
        <v>33670.32</v>
      </c>
      <c r="K1721">
        <f>IF(tblPO[[#This Row],[Actual_Delivery_Date]]&lt;=tblPO[[#This Row],[Expected_Delivery_Date]],1,0)</f>
        <v>1</v>
      </c>
      <c r="L1721">
        <f>IF(tblPO[[#This Row],[Actual_Delivery_Date]]&gt;tblPO[[#This Row],[Expected_Delivery_Date]],1,0)</f>
        <v>0</v>
      </c>
      <c r="M1721">
        <f>tblPO[[#This Row],[Actual_Delivery_Date]]-tblPO[[#This Row],[PO_Date]]</f>
        <v>14</v>
      </c>
    </row>
    <row r="1722" spans="1:13" x14ac:dyDescent="0.3">
      <c r="A1722" t="s">
        <v>536</v>
      </c>
      <c r="B1722" s="18">
        <v>45613</v>
      </c>
      <c r="C1722" t="s">
        <v>44</v>
      </c>
      <c r="D1722" t="s">
        <v>193</v>
      </c>
      <c r="E1722">
        <v>220</v>
      </c>
      <c r="F1722">
        <v>29.7</v>
      </c>
      <c r="G1722" s="18">
        <v>45640</v>
      </c>
      <c r="H1722" s="18">
        <v>45637</v>
      </c>
      <c r="I1722">
        <v>220</v>
      </c>
      <c r="J1722">
        <v>6534</v>
      </c>
      <c r="K1722">
        <f>IF(tblPO[[#This Row],[Actual_Delivery_Date]]&lt;=tblPO[[#This Row],[Expected_Delivery_Date]],1,0)</f>
        <v>1</v>
      </c>
      <c r="L1722">
        <f>IF(tblPO[[#This Row],[Actual_Delivery_Date]]&gt;tblPO[[#This Row],[Expected_Delivery_Date]],1,0)</f>
        <v>0</v>
      </c>
      <c r="M1722">
        <f>tblPO[[#This Row],[Actual_Delivery_Date]]-tblPO[[#This Row],[PO_Date]]</f>
        <v>24</v>
      </c>
    </row>
    <row r="1723" spans="1:13" x14ac:dyDescent="0.3">
      <c r="A1723" t="s">
        <v>535</v>
      </c>
      <c r="B1723" s="18">
        <v>45600</v>
      </c>
      <c r="C1723" t="s">
        <v>67</v>
      </c>
      <c r="D1723" t="s">
        <v>92</v>
      </c>
      <c r="E1723">
        <v>11</v>
      </c>
      <c r="F1723">
        <v>4345.43</v>
      </c>
      <c r="G1723" s="18">
        <v>45625</v>
      </c>
      <c r="H1723" s="18">
        <v>45624</v>
      </c>
      <c r="I1723">
        <v>11</v>
      </c>
      <c r="J1723">
        <v>47799.73</v>
      </c>
      <c r="K1723">
        <f>IF(tblPO[[#This Row],[Actual_Delivery_Date]]&lt;=tblPO[[#This Row],[Expected_Delivery_Date]],1,0)</f>
        <v>1</v>
      </c>
      <c r="L1723">
        <f>IF(tblPO[[#This Row],[Actual_Delivery_Date]]&gt;tblPO[[#This Row],[Expected_Delivery_Date]],1,0)</f>
        <v>0</v>
      </c>
      <c r="M1723">
        <f>tblPO[[#This Row],[Actual_Delivery_Date]]-tblPO[[#This Row],[PO_Date]]</f>
        <v>24</v>
      </c>
    </row>
    <row r="1724" spans="1:13" x14ac:dyDescent="0.3">
      <c r="A1724" t="s">
        <v>534</v>
      </c>
      <c r="B1724" s="18">
        <v>45603</v>
      </c>
      <c r="C1724" t="s">
        <v>38</v>
      </c>
      <c r="D1724" t="s">
        <v>231</v>
      </c>
      <c r="E1724">
        <v>14</v>
      </c>
      <c r="F1724">
        <v>144.85</v>
      </c>
      <c r="G1724" s="18">
        <v>45619</v>
      </c>
      <c r="H1724" s="18">
        <v>45617</v>
      </c>
      <c r="I1724">
        <v>14</v>
      </c>
      <c r="J1724">
        <v>2027.9</v>
      </c>
      <c r="K1724">
        <f>IF(tblPO[[#This Row],[Actual_Delivery_Date]]&lt;=tblPO[[#This Row],[Expected_Delivery_Date]],1,0)</f>
        <v>1</v>
      </c>
      <c r="L1724">
        <f>IF(tblPO[[#This Row],[Actual_Delivery_Date]]&gt;tblPO[[#This Row],[Expected_Delivery_Date]],1,0)</f>
        <v>0</v>
      </c>
      <c r="M1724">
        <f>tblPO[[#This Row],[Actual_Delivery_Date]]-tblPO[[#This Row],[PO_Date]]</f>
        <v>14</v>
      </c>
    </row>
    <row r="1725" spans="1:13" x14ac:dyDescent="0.3">
      <c r="A1725" t="s">
        <v>533</v>
      </c>
      <c r="B1725" s="18">
        <v>45617</v>
      </c>
      <c r="C1725" t="s">
        <v>41</v>
      </c>
      <c r="D1725" t="s">
        <v>190</v>
      </c>
      <c r="E1725">
        <v>45</v>
      </c>
      <c r="F1725">
        <v>112.97</v>
      </c>
      <c r="G1725" s="18">
        <v>45629</v>
      </c>
      <c r="H1725" s="18">
        <v>45627</v>
      </c>
      <c r="I1725">
        <v>40</v>
      </c>
      <c r="J1725">
        <v>5083.6499999999996</v>
      </c>
      <c r="K1725">
        <f>IF(tblPO[[#This Row],[Actual_Delivery_Date]]&lt;=tblPO[[#This Row],[Expected_Delivery_Date]],1,0)</f>
        <v>1</v>
      </c>
      <c r="L1725">
        <f>IF(tblPO[[#This Row],[Actual_Delivery_Date]]&gt;tblPO[[#This Row],[Expected_Delivery_Date]],1,0)</f>
        <v>0</v>
      </c>
      <c r="M1725">
        <f>tblPO[[#This Row],[Actual_Delivery_Date]]-tblPO[[#This Row],[PO_Date]]</f>
        <v>10</v>
      </c>
    </row>
    <row r="1726" spans="1:13" x14ac:dyDescent="0.3">
      <c r="A1726" t="s">
        <v>532</v>
      </c>
      <c r="B1726" s="18">
        <v>45611</v>
      </c>
      <c r="C1726" t="s">
        <v>39</v>
      </c>
      <c r="D1726" t="s">
        <v>162</v>
      </c>
      <c r="E1726">
        <v>458</v>
      </c>
      <c r="F1726">
        <v>43.95</v>
      </c>
      <c r="G1726" s="18">
        <v>45637</v>
      </c>
      <c r="H1726" s="18">
        <v>45635</v>
      </c>
      <c r="I1726">
        <v>458</v>
      </c>
      <c r="J1726">
        <v>20129.099999999999</v>
      </c>
      <c r="K1726">
        <f>IF(tblPO[[#This Row],[Actual_Delivery_Date]]&lt;=tblPO[[#This Row],[Expected_Delivery_Date]],1,0)</f>
        <v>1</v>
      </c>
      <c r="L1726">
        <f>IF(tblPO[[#This Row],[Actual_Delivery_Date]]&gt;tblPO[[#This Row],[Expected_Delivery_Date]],1,0)</f>
        <v>0</v>
      </c>
      <c r="M1726">
        <f>tblPO[[#This Row],[Actual_Delivery_Date]]-tblPO[[#This Row],[PO_Date]]</f>
        <v>24</v>
      </c>
    </row>
    <row r="1727" spans="1:13" x14ac:dyDescent="0.3">
      <c r="A1727" t="s">
        <v>531</v>
      </c>
      <c r="B1727" s="18">
        <v>45601</v>
      </c>
      <c r="C1727" t="s">
        <v>63</v>
      </c>
      <c r="D1727" t="s">
        <v>164</v>
      </c>
      <c r="E1727">
        <v>72</v>
      </c>
      <c r="F1727">
        <v>165.88</v>
      </c>
      <c r="G1727" s="18">
        <v>45616</v>
      </c>
      <c r="H1727" s="18">
        <v>45613</v>
      </c>
      <c r="I1727">
        <v>72</v>
      </c>
      <c r="J1727">
        <v>11943.36</v>
      </c>
      <c r="K1727">
        <f>IF(tblPO[[#This Row],[Actual_Delivery_Date]]&lt;=tblPO[[#This Row],[Expected_Delivery_Date]],1,0)</f>
        <v>1</v>
      </c>
      <c r="L1727">
        <f>IF(tblPO[[#This Row],[Actual_Delivery_Date]]&gt;tblPO[[#This Row],[Expected_Delivery_Date]],1,0)</f>
        <v>0</v>
      </c>
      <c r="M1727">
        <f>tblPO[[#This Row],[Actual_Delivery_Date]]-tblPO[[#This Row],[PO_Date]]</f>
        <v>12</v>
      </c>
    </row>
    <row r="1728" spans="1:13" x14ac:dyDescent="0.3">
      <c r="A1728" t="s">
        <v>530</v>
      </c>
      <c r="B1728" s="18">
        <v>45624</v>
      </c>
      <c r="C1728" t="s">
        <v>50</v>
      </c>
      <c r="D1728" t="s">
        <v>113</v>
      </c>
      <c r="E1728">
        <v>177</v>
      </c>
      <c r="F1728">
        <v>485.16</v>
      </c>
      <c r="G1728" s="18">
        <v>45640</v>
      </c>
      <c r="H1728" s="18">
        <v>45639</v>
      </c>
      <c r="I1728">
        <v>177</v>
      </c>
      <c r="J1728">
        <v>85873.32</v>
      </c>
      <c r="K1728">
        <f>IF(tblPO[[#This Row],[Actual_Delivery_Date]]&lt;=tblPO[[#This Row],[Expected_Delivery_Date]],1,0)</f>
        <v>1</v>
      </c>
      <c r="L1728">
        <f>IF(tblPO[[#This Row],[Actual_Delivery_Date]]&gt;tblPO[[#This Row],[Expected_Delivery_Date]],1,0)</f>
        <v>0</v>
      </c>
      <c r="M1728">
        <f>tblPO[[#This Row],[Actual_Delivery_Date]]-tblPO[[#This Row],[PO_Date]]</f>
        <v>15</v>
      </c>
    </row>
    <row r="1729" spans="1:13" x14ac:dyDescent="0.3">
      <c r="A1729" t="s">
        <v>529</v>
      </c>
      <c r="B1729" s="18">
        <v>45626</v>
      </c>
      <c r="C1729" t="s">
        <v>45</v>
      </c>
      <c r="D1729" t="s">
        <v>219</v>
      </c>
      <c r="E1729">
        <v>91</v>
      </c>
      <c r="F1729">
        <v>90.62</v>
      </c>
      <c r="G1729" s="18">
        <v>45644</v>
      </c>
      <c r="H1729" s="18">
        <v>45643</v>
      </c>
      <c r="I1729">
        <v>91</v>
      </c>
      <c r="J1729">
        <v>8246.42</v>
      </c>
      <c r="K1729">
        <f>IF(tblPO[[#This Row],[Actual_Delivery_Date]]&lt;=tblPO[[#This Row],[Expected_Delivery_Date]],1,0)</f>
        <v>1</v>
      </c>
      <c r="L1729">
        <f>IF(tblPO[[#This Row],[Actual_Delivery_Date]]&gt;tblPO[[#This Row],[Expected_Delivery_Date]],1,0)</f>
        <v>0</v>
      </c>
      <c r="M1729">
        <f>tblPO[[#This Row],[Actual_Delivery_Date]]-tblPO[[#This Row],[PO_Date]]</f>
        <v>17</v>
      </c>
    </row>
    <row r="1730" spans="1:13" x14ac:dyDescent="0.3">
      <c r="A1730" t="s">
        <v>528</v>
      </c>
      <c r="B1730" s="18">
        <v>45601</v>
      </c>
      <c r="C1730" t="s">
        <v>47</v>
      </c>
      <c r="D1730" t="s">
        <v>219</v>
      </c>
      <c r="E1730">
        <v>153</v>
      </c>
      <c r="F1730">
        <v>73.97</v>
      </c>
      <c r="G1730" s="18">
        <v>45612</v>
      </c>
      <c r="H1730" s="18">
        <v>45610</v>
      </c>
      <c r="I1730">
        <v>153</v>
      </c>
      <c r="J1730">
        <v>11317.41</v>
      </c>
      <c r="K1730">
        <f>IF(tblPO[[#This Row],[Actual_Delivery_Date]]&lt;=tblPO[[#This Row],[Expected_Delivery_Date]],1,0)</f>
        <v>1</v>
      </c>
      <c r="L1730">
        <f>IF(tblPO[[#This Row],[Actual_Delivery_Date]]&gt;tblPO[[#This Row],[Expected_Delivery_Date]],1,0)</f>
        <v>0</v>
      </c>
      <c r="M1730">
        <f>tblPO[[#This Row],[Actual_Delivery_Date]]-tblPO[[#This Row],[PO_Date]]</f>
        <v>9</v>
      </c>
    </row>
    <row r="1731" spans="1:13" x14ac:dyDescent="0.3">
      <c r="A1731" t="s">
        <v>527</v>
      </c>
      <c r="B1731" s="18">
        <v>45607</v>
      </c>
      <c r="C1731" t="s">
        <v>51</v>
      </c>
      <c r="D1731" t="s">
        <v>166</v>
      </c>
      <c r="E1731">
        <v>463</v>
      </c>
      <c r="F1731">
        <v>67.05</v>
      </c>
      <c r="G1731" s="18">
        <v>45624</v>
      </c>
      <c r="H1731" s="18">
        <v>45623</v>
      </c>
      <c r="I1731">
        <v>463</v>
      </c>
      <c r="J1731">
        <v>31044.15</v>
      </c>
      <c r="K1731">
        <f>IF(tblPO[[#This Row],[Actual_Delivery_Date]]&lt;=tblPO[[#This Row],[Expected_Delivery_Date]],1,0)</f>
        <v>1</v>
      </c>
      <c r="L1731">
        <f>IF(tblPO[[#This Row],[Actual_Delivery_Date]]&gt;tblPO[[#This Row],[Expected_Delivery_Date]],1,0)</f>
        <v>0</v>
      </c>
      <c r="M1731">
        <f>tblPO[[#This Row],[Actual_Delivery_Date]]-tblPO[[#This Row],[PO_Date]]</f>
        <v>16</v>
      </c>
    </row>
    <row r="1732" spans="1:13" x14ac:dyDescent="0.3">
      <c r="A1732" t="s">
        <v>526</v>
      </c>
      <c r="B1732" s="18">
        <v>45600</v>
      </c>
      <c r="C1732" t="s">
        <v>61</v>
      </c>
      <c r="D1732" t="s">
        <v>249</v>
      </c>
      <c r="E1732">
        <v>649</v>
      </c>
      <c r="F1732">
        <v>64.89</v>
      </c>
      <c r="G1732" s="18">
        <v>45617</v>
      </c>
      <c r="H1732" s="18">
        <v>45617</v>
      </c>
      <c r="I1732">
        <v>649</v>
      </c>
      <c r="J1732">
        <v>42113.61</v>
      </c>
      <c r="K1732">
        <f>IF(tblPO[[#This Row],[Actual_Delivery_Date]]&lt;=tblPO[[#This Row],[Expected_Delivery_Date]],1,0)</f>
        <v>1</v>
      </c>
      <c r="L1732">
        <f>IF(tblPO[[#This Row],[Actual_Delivery_Date]]&gt;tblPO[[#This Row],[Expected_Delivery_Date]],1,0)</f>
        <v>0</v>
      </c>
      <c r="M1732">
        <f>tblPO[[#This Row],[Actual_Delivery_Date]]-tblPO[[#This Row],[PO_Date]]</f>
        <v>17</v>
      </c>
    </row>
    <row r="1733" spans="1:13" x14ac:dyDescent="0.3">
      <c r="A1733" t="s">
        <v>525</v>
      </c>
      <c r="B1733" s="18">
        <v>45620</v>
      </c>
      <c r="C1733" t="s">
        <v>42</v>
      </c>
      <c r="D1733" t="s">
        <v>110</v>
      </c>
      <c r="E1733">
        <v>19</v>
      </c>
      <c r="F1733">
        <v>5563.05</v>
      </c>
      <c r="G1733" s="18">
        <v>45650</v>
      </c>
      <c r="H1733" s="18">
        <v>45648</v>
      </c>
      <c r="I1733">
        <v>19</v>
      </c>
      <c r="J1733">
        <v>105697.95</v>
      </c>
      <c r="K1733">
        <f>IF(tblPO[[#This Row],[Actual_Delivery_Date]]&lt;=tblPO[[#This Row],[Expected_Delivery_Date]],1,0)</f>
        <v>1</v>
      </c>
      <c r="L1733">
        <f>IF(tblPO[[#This Row],[Actual_Delivery_Date]]&gt;tblPO[[#This Row],[Expected_Delivery_Date]],1,0)</f>
        <v>0</v>
      </c>
      <c r="M1733">
        <f>tblPO[[#This Row],[Actual_Delivery_Date]]-tblPO[[#This Row],[PO_Date]]</f>
        <v>28</v>
      </c>
    </row>
    <row r="1734" spans="1:13" x14ac:dyDescent="0.3">
      <c r="A1734" t="s">
        <v>524</v>
      </c>
      <c r="B1734" s="18">
        <v>45611</v>
      </c>
      <c r="C1734" t="s">
        <v>63</v>
      </c>
      <c r="D1734" t="s">
        <v>164</v>
      </c>
      <c r="E1734">
        <v>192</v>
      </c>
      <c r="F1734">
        <v>157.83000000000001</v>
      </c>
      <c r="G1734" s="18">
        <v>45631</v>
      </c>
      <c r="H1734" s="18">
        <v>45629</v>
      </c>
      <c r="I1734">
        <v>192</v>
      </c>
      <c r="J1734">
        <v>30303.360000000001</v>
      </c>
      <c r="K1734">
        <f>IF(tblPO[[#This Row],[Actual_Delivery_Date]]&lt;=tblPO[[#This Row],[Expected_Delivery_Date]],1,0)</f>
        <v>1</v>
      </c>
      <c r="L1734">
        <f>IF(tblPO[[#This Row],[Actual_Delivery_Date]]&gt;tblPO[[#This Row],[Expected_Delivery_Date]],1,0)</f>
        <v>0</v>
      </c>
      <c r="M1734">
        <f>tblPO[[#This Row],[Actual_Delivery_Date]]-tblPO[[#This Row],[PO_Date]]</f>
        <v>18</v>
      </c>
    </row>
    <row r="1735" spans="1:13" x14ac:dyDescent="0.3">
      <c r="A1735" t="s">
        <v>523</v>
      </c>
      <c r="B1735" s="18">
        <v>45598</v>
      </c>
      <c r="C1735" t="s">
        <v>69</v>
      </c>
      <c r="D1735" t="s">
        <v>130</v>
      </c>
      <c r="E1735">
        <v>66</v>
      </c>
      <c r="F1735">
        <v>320.94</v>
      </c>
      <c r="G1735" s="18">
        <v>45602</v>
      </c>
      <c r="H1735" s="18">
        <v>45600</v>
      </c>
      <c r="I1735">
        <v>66</v>
      </c>
      <c r="J1735">
        <v>21182.04</v>
      </c>
      <c r="K1735">
        <f>IF(tblPO[[#This Row],[Actual_Delivery_Date]]&lt;=tblPO[[#This Row],[Expected_Delivery_Date]],1,0)</f>
        <v>1</v>
      </c>
      <c r="L1735">
        <f>IF(tblPO[[#This Row],[Actual_Delivery_Date]]&gt;tblPO[[#This Row],[Expected_Delivery_Date]],1,0)</f>
        <v>0</v>
      </c>
      <c r="M1735">
        <f>tblPO[[#This Row],[Actual_Delivery_Date]]-tblPO[[#This Row],[PO_Date]]</f>
        <v>2</v>
      </c>
    </row>
    <row r="1736" spans="1:13" x14ac:dyDescent="0.3">
      <c r="A1736" t="s">
        <v>522</v>
      </c>
      <c r="B1736" s="18">
        <v>45610</v>
      </c>
      <c r="C1736" t="s">
        <v>39</v>
      </c>
      <c r="D1736" t="s">
        <v>158</v>
      </c>
      <c r="E1736">
        <v>48</v>
      </c>
      <c r="F1736">
        <v>126.62</v>
      </c>
      <c r="G1736" s="18">
        <v>45639</v>
      </c>
      <c r="H1736" s="18">
        <v>45637</v>
      </c>
      <c r="I1736">
        <v>42</v>
      </c>
      <c r="J1736">
        <v>6077.76</v>
      </c>
      <c r="K1736">
        <f>IF(tblPO[[#This Row],[Actual_Delivery_Date]]&lt;=tblPO[[#This Row],[Expected_Delivery_Date]],1,0)</f>
        <v>1</v>
      </c>
      <c r="L1736">
        <f>IF(tblPO[[#This Row],[Actual_Delivery_Date]]&gt;tblPO[[#This Row],[Expected_Delivery_Date]],1,0)</f>
        <v>0</v>
      </c>
      <c r="M1736">
        <f>tblPO[[#This Row],[Actual_Delivery_Date]]-tblPO[[#This Row],[PO_Date]]</f>
        <v>27</v>
      </c>
    </row>
    <row r="1737" spans="1:13" x14ac:dyDescent="0.3">
      <c r="A1737" t="s">
        <v>521</v>
      </c>
      <c r="B1737" s="18">
        <v>45612</v>
      </c>
      <c r="C1737" t="s">
        <v>42</v>
      </c>
      <c r="D1737" t="s">
        <v>84</v>
      </c>
      <c r="E1737">
        <v>196</v>
      </c>
      <c r="F1737">
        <v>217.35</v>
      </c>
      <c r="G1737" s="18">
        <v>45626</v>
      </c>
      <c r="H1737" s="18">
        <v>45624</v>
      </c>
      <c r="I1737">
        <v>196</v>
      </c>
      <c r="J1737">
        <v>42600.6</v>
      </c>
      <c r="K1737">
        <f>IF(tblPO[[#This Row],[Actual_Delivery_Date]]&lt;=tblPO[[#This Row],[Expected_Delivery_Date]],1,0)</f>
        <v>1</v>
      </c>
      <c r="L1737">
        <f>IF(tblPO[[#This Row],[Actual_Delivery_Date]]&gt;tblPO[[#This Row],[Expected_Delivery_Date]],1,0)</f>
        <v>0</v>
      </c>
      <c r="M1737">
        <f>tblPO[[#This Row],[Actual_Delivery_Date]]-tblPO[[#This Row],[PO_Date]]</f>
        <v>12</v>
      </c>
    </row>
    <row r="1738" spans="1:13" x14ac:dyDescent="0.3">
      <c r="A1738" t="s">
        <v>520</v>
      </c>
      <c r="B1738" s="18">
        <v>45611</v>
      </c>
      <c r="C1738" t="s">
        <v>49</v>
      </c>
      <c r="D1738" t="s">
        <v>195</v>
      </c>
      <c r="E1738">
        <v>181</v>
      </c>
      <c r="F1738">
        <v>554.35</v>
      </c>
      <c r="G1738" s="18">
        <v>45624</v>
      </c>
      <c r="H1738" s="18">
        <v>45623</v>
      </c>
      <c r="I1738">
        <v>181</v>
      </c>
      <c r="J1738">
        <v>100337.35</v>
      </c>
      <c r="K1738">
        <f>IF(tblPO[[#This Row],[Actual_Delivery_Date]]&lt;=tblPO[[#This Row],[Expected_Delivery_Date]],1,0)</f>
        <v>1</v>
      </c>
      <c r="L1738">
        <f>IF(tblPO[[#This Row],[Actual_Delivery_Date]]&gt;tblPO[[#This Row],[Expected_Delivery_Date]],1,0)</f>
        <v>0</v>
      </c>
      <c r="M1738">
        <f>tblPO[[#This Row],[Actual_Delivery_Date]]-tblPO[[#This Row],[PO_Date]]</f>
        <v>12</v>
      </c>
    </row>
    <row r="1739" spans="1:13" x14ac:dyDescent="0.3">
      <c r="A1739" t="s">
        <v>519</v>
      </c>
      <c r="B1739" s="18">
        <v>45625</v>
      </c>
      <c r="C1739" t="s">
        <v>53</v>
      </c>
      <c r="D1739" t="s">
        <v>102</v>
      </c>
      <c r="E1739">
        <v>150</v>
      </c>
      <c r="F1739">
        <v>601.69000000000005</v>
      </c>
      <c r="G1739" s="18">
        <v>45647</v>
      </c>
      <c r="H1739" s="18">
        <v>45646</v>
      </c>
      <c r="I1739">
        <v>150</v>
      </c>
      <c r="J1739">
        <v>90253.5</v>
      </c>
      <c r="K1739">
        <f>IF(tblPO[[#This Row],[Actual_Delivery_Date]]&lt;=tblPO[[#This Row],[Expected_Delivery_Date]],1,0)</f>
        <v>1</v>
      </c>
      <c r="L1739">
        <f>IF(tblPO[[#This Row],[Actual_Delivery_Date]]&gt;tblPO[[#This Row],[Expected_Delivery_Date]],1,0)</f>
        <v>0</v>
      </c>
      <c r="M1739">
        <f>tblPO[[#This Row],[Actual_Delivery_Date]]-tblPO[[#This Row],[PO_Date]]</f>
        <v>21</v>
      </c>
    </row>
    <row r="1740" spans="1:13" x14ac:dyDescent="0.3">
      <c r="A1740" t="s">
        <v>518</v>
      </c>
      <c r="B1740" s="18">
        <v>45615</v>
      </c>
      <c r="C1740" t="s">
        <v>58</v>
      </c>
      <c r="D1740" t="s">
        <v>156</v>
      </c>
      <c r="E1740">
        <v>783</v>
      </c>
      <c r="F1740">
        <v>66.959999999999994</v>
      </c>
      <c r="G1740" s="18">
        <v>45643</v>
      </c>
      <c r="H1740" s="18">
        <v>45641</v>
      </c>
      <c r="I1740">
        <v>783</v>
      </c>
      <c r="J1740">
        <v>52429.68</v>
      </c>
      <c r="K1740">
        <f>IF(tblPO[[#This Row],[Actual_Delivery_Date]]&lt;=tblPO[[#This Row],[Expected_Delivery_Date]],1,0)</f>
        <v>1</v>
      </c>
      <c r="L1740">
        <f>IF(tblPO[[#This Row],[Actual_Delivery_Date]]&gt;tblPO[[#This Row],[Expected_Delivery_Date]],1,0)</f>
        <v>0</v>
      </c>
      <c r="M1740">
        <f>tblPO[[#This Row],[Actual_Delivery_Date]]-tblPO[[#This Row],[PO_Date]]</f>
        <v>26</v>
      </c>
    </row>
    <row r="1741" spans="1:13" x14ac:dyDescent="0.3">
      <c r="A1741" t="s">
        <v>517</v>
      </c>
      <c r="B1741" s="18">
        <v>45607</v>
      </c>
      <c r="C1741" t="s">
        <v>47</v>
      </c>
      <c r="D1741" t="s">
        <v>251</v>
      </c>
      <c r="E1741">
        <v>328</v>
      </c>
      <c r="F1741">
        <v>67.64</v>
      </c>
      <c r="G1741" s="18">
        <v>45619</v>
      </c>
      <c r="H1741" s="18">
        <v>45619</v>
      </c>
      <c r="I1741">
        <v>309</v>
      </c>
      <c r="J1741">
        <v>22185.919999999998</v>
      </c>
      <c r="K1741">
        <f>IF(tblPO[[#This Row],[Actual_Delivery_Date]]&lt;=tblPO[[#This Row],[Expected_Delivery_Date]],1,0)</f>
        <v>1</v>
      </c>
      <c r="L1741">
        <f>IF(tblPO[[#This Row],[Actual_Delivery_Date]]&gt;tblPO[[#This Row],[Expected_Delivery_Date]],1,0)</f>
        <v>0</v>
      </c>
      <c r="M1741">
        <f>tblPO[[#This Row],[Actual_Delivery_Date]]-tblPO[[#This Row],[PO_Date]]</f>
        <v>12</v>
      </c>
    </row>
    <row r="1742" spans="1:13" x14ac:dyDescent="0.3">
      <c r="A1742" t="s">
        <v>516</v>
      </c>
      <c r="B1742" s="18">
        <v>45623</v>
      </c>
      <c r="C1742" t="s">
        <v>69</v>
      </c>
      <c r="D1742" t="s">
        <v>117</v>
      </c>
      <c r="E1742">
        <v>37</v>
      </c>
      <c r="F1742">
        <v>283.19</v>
      </c>
      <c r="G1742" s="18">
        <v>45630</v>
      </c>
      <c r="H1742" s="18">
        <v>45628</v>
      </c>
      <c r="I1742">
        <v>37</v>
      </c>
      <c r="J1742">
        <v>10478.030000000001</v>
      </c>
      <c r="K1742">
        <f>IF(tblPO[[#This Row],[Actual_Delivery_Date]]&lt;=tblPO[[#This Row],[Expected_Delivery_Date]],1,0)</f>
        <v>1</v>
      </c>
      <c r="L1742">
        <f>IF(tblPO[[#This Row],[Actual_Delivery_Date]]&gt;tblPO[[#This Row],[Expected_Delivery_Date]],1,0)</f>
        <v>0</v>
      </c>
      <c r="M1742">
        <f>tblPO[[#This Row],[Actual_Delivery_Date]]-tblPO[[#This Row],[PO_Date]]</f>
        <v>5</v>
      </c>
    </row>
    <row r="1743" spans="1:13" x14ac:dyDescent="0.3">
      <c r="A1743" t="s">
        <v>515</v>
      </c>
      <c r="B1743" s="18">
        <v>45626</v>
      </c>
      <c r="C1743" t="s">
        <v>55</v>
      </c>
      <c r="D1743" t="s">
        <v>237</v>
      </c>
      <c r="E1743">
        <v>206</v>
      </c>
      <c r="F1743">
        <v>98.28</v>
      </c>
      <c r="G1743" s="18">
        <v>45641</v>
      </c>
      <c r="H1743" s="18">
        <v>45640</v>
      </c>
      <c r="I1743">
        <v>206</v>
      </c>
      <c r="J1743">
        <v>20245.68</v>
      </c>
      <c r="K1743">
        <f>IF(tblPO[[#This Row],[Actual_Delivery_Date]]&lt;=tblPO[[#This Row],[Expected_Delivery_Date]],1,0)</f>
        <v>1</v>
      </c>
      <c r="L1743">
        <f>IF(tblPO[[#This Row],[Actual_Delivery_Date]]&gt;tblPO[[#This Row],[Expected_Delivery_Date]],1,0)</f>
        <v>0</v>
      </c>
      <c r="M1743">
        <f>tblPO[[#This Row],[Actual_Delivery_Date]]-tblPO[[#This Row],[PO_Date]]</f>
        <v>14</v>
      </c>
    </row>
    <row r="1744" spans="1:13" x14ac:dyDescent="0.3">
      <c r="A1744" t="s">
        <v>514</v>
      </c>
      <c r="B1744" s="18">
        <v>45606</v>
      </c>
      <c r="C1744" t="s">
        <v>57</v>
      </c>
      <c r="D1744" t="s">
        <v>197</v>
      </c>
      <c r="E1744">
        <v>94</v>
      </c>
      <c r="F1744">
        <v>267.06</v>
      </c>
      <c r="G1744" s="18">
        <v>45620</v>
      </c>
      <c r="H1744" s="18">
        <v>45620</v>
      </c>
      <c r="I1744">
        <v>94</v>
      </c>
      <c r="J1744">
        <v>25103.64</v>
      </c>
      <c r="K1744">
        <f>IF(tblPO[[#This Row],[Actual_Delivery_Date]]&lt;=tblPO[[#This Row],[Expected_Delivery_Date]],1,0)</f>
        <v>1</v>
      </c>
      <c r="L1744">
        <f>IF(tblPO[[#This Row],[Actual_Delivery_Date]]&gt;tblPO[[#This Row],[Expected_Delivery_Date]],1,0)</f>
        <v>0</v>
      </c>
      <c r="M1744">
        <f>tblPO[[#This Row],[Actual_Delivery_Date]]-tblPO[[#This Row],[PO_Date]]</f>
        <v>14</v>
      </c>
    </row>
    <row r="1745" spans="1:13" x14ac:dyDescent="0.3">
      <c r="A1745" t="s">
        <v>513</v>
      </c>
      <c r="B1745" s="18">
        <v>45626</v>
      </c>
      <c r="C1745" t="s">
        <v>43</v>
      </c>
      <c r="D1745" t="s">
        <v>156</v>
      </c>
      <c r="E1745">
        <v>371</v>
      </c>
      <c r="F1745">
        <v>47.78</v>
      </c>
      <c r="G1745" s="18">
        <v>45630</v>
      </c>
      <c r="H1745" s="18">
        <v>45630</v>
      </c>
      <c r="I1745">
        <v>371</v>
      </c>
      <c r="J1745">
        <v>17726.38</v>
      </c>
      <c r="K1745">
        <f>IF(tblPO[[#This Row],[Actual_Delivery_Date]]&lt;=tblPO[[#This Row],[Expected_Delivery_Date]],1,0)</f>
        <v>1</v>
      </c>
      <c r="L1745">
        <f>IF(tblPO[[#This Row],[Actual_Delivery_Date]]&gt;tblPO[[#This Row],[Expected_Delivery_Date]],1,0)</f>
        <v>0</v>
      </c>
      <c r="M1745">
        <f>tblPO[[#This Row],[Actual_Delivery_Date]]-tblPO[[#This Row],[PO_Date]]</f>
        <v>4</v>
      </c>
    </row>
    <row r="1746" spans="1:13" x14ac:dyDescent="0.3">
      <c r="A1746" t="s">
        <v>512</v>
      </c>
      <c r="B1746" s="18">
        <v>45608</v>
      </c>
      <c r="C1746" t="s">
        <v>57</v>
      </c>
      <c r="D1746" t="s">
        <v>195</v>
      </c>
      <c r="E1746">
        <v>95</v>
      </c>
      <c r="F1746">
        <v>647.88</v>
      </c>
      <c r="G1746" s="18">
        <v>45623</v>
      </c>
      <c r="H1746" s="18">
        <v>45623</v>
      </c>
      <c r="I1746">
        <v>95</v>
      </c>
      <c r="J1746">
        <v>61548.6</v>
      </c>
      <c r="K1746">
        <f>IF(tblPO[[#This Row],[Actual_Delivery_Date]]&lt;=tblPO[[#This Row],[Expected_Delivery_Date]],1,0)</f>
        <v>1</v>
      </c>
      <c r="L1746">
        <f>IF(tblPO[[#This Row],[Actual_Delivery_Date]]&gt;tblPO[[#This Row],[Expected_Delivery_Date]],1,0)</f>
        <v>0</v>
      </c>
      <c r="M1746">
        <f>tblPO[[#This Row],[Actual_Delivery_Date]]-tblPO[[#This Row],[PO_Date]]</f>
        <v>15</v>
      </c>
    </row>
    <row r="1747" spans="1:13" x14ac:dyDescent="0.3">
      <c r="A1747" t="s">
        <v>511</v>
      </c>
      <c r="B1747" s="18">
        <v>45615</v>
      </c>
      <c r="C1747" t="s">
        <v>60</v>
      </c>
      <c r="D1747" t="s">
        <v>127</v>
      </c>
      <c r="E1747">
        <v>14</v>
      </c>
      <c r="F1747">
        <v>4095.54</v>
      </c>
      <c r="G1747" s="18">
        <v>45624</v>
      </c>
      <c r="H1747" s="18">
        <v>45622</v>
      </c>
      <c r="I1747">
        <v>14</v>
      </c>
      <c r="J1747">
        <v>57337.56</v>
      </c>
      <c r="K1747">
        <f>IF(tblPO[[#This Row],[Actual_Delivery_Date]]&lt;=tblPO[[#This Row],[Expected_Delivery_Date]],1,0)</f>
        <v>1</v>
      </c>
      <c r="L1747">
        <f>IF(tblPO[[#This Row],[Actual_Delivery_Date]]&gt;tblPO[[#This Row],[Expected_Delivery_Date]],1,0)</f>
        <v>0</v>
      </c>
      <c r="M1747">
        <f>tblPO[[#This Row],[Actual_Delivery_Date]]-tblPO[[#This Row],[PO_Date]]</f>
        <v>7</v>
      </c>
    </row>
    <row r="1748" spans="1:13" x14ac:dyDescent="0.3">
      <c r="A1748" t="s">
        <v>510</v>
      </c>
      <c r="B1748" s="18">
        <v>45602</v>
      </c>
      <c r="C1748" t="s">
        <v>71</v>
      </c>
      <c r="D1748" t="s">
        <v>158</v>
      </c>
      <c r="E1748">
        <v>96</v>
      </c>
      <c r="F1748">
        <v>103.67</v>
      </c>
      <c r="G1748" s="18">
        <v>45615</v>
      </c>
      <c r="H1748" s="18">
        <v>45612</v>
      </c>
      <c r="I1748">
        <v>96</v>
      </c>
      <c r="J1748">
        <v>9952.32</v>
      </c>
      <c r="K1748">
        <f>IF(tblPO[[#This Row],[Actual_Delivery_Date]]&lt;=tblPO[[#This Row],[Expected_Delivery_Date]],1,0)</f>
        <v>1</v>
      </c>
      <c r="L1748">
        <f>IF(tblPO[[#This Row],[Actual_Delivery_Date]]&gt;tblPO[[#This Row],[Expected_Delivery_Date]],1,0)</f>
        <v>0</v>
      </c>
      <c r="M1748">
        <f>tblPO[[#This Row],[Actual_Delivery_Date]]-tblPO[[#This Row],[PO_Date]]</f>
        <v>10</v>
      </c>
    </row>
    <row r="1749" spans="1:13" x14ac:dyDescent="0.3">
      <c r="A1749" t="s">
        <v>509</v>
      </c>
      <c r="B1749" s="18">
        <v>45601</v>
      </c>
      <c r="C1749" t="s">
        <v>47</v>
      </c>
      <c r="D1749" t="s">
        <v>247</v>
      </c>
      <c r="E1749">
        <v>12</v>
      </c>
      <c r="F1749">
        <v>507.75</v>
      </c>
      <c r="G1749" s="18">
        <v>45617</v>
      </c>
      <c r="H1749" s="18">
        <v>45614</v>
      </c>
      <c r="I1749">
        <v>12</v>
      </c>
      <c r="J1749">
        <v>6093</v>
      </c>
      <c r="K1749">
        <f>IF(tblPO[[#This Row],[Actual_Delivery_Date]]&lt;=tblPO[[#This Row],[Expected_Delivery_Date]],1,0)</f>
        <v>1</v>
      </c>
      <c r="L1749">
        <f>IF(tblPO[[#This Row],[Actual_Delivery_Date]]&gt;tblPO[[#This Row],[Expected_Delivery_Date]],1,0)</f>
        <v>0</v>
      </c>
      <c r="M1749">
        <f>tblPO[[#This Row],[Actual_Delivery_Date]]-tblPO[[#This Row],[PO_Date]]</f>
        <v>13</v>
      </c>
    </row>
    <row r="1750" spans="1:13" x14ac:dyDescent="0.3">
      <c r="A1750" t="s">
        <v>508</v>
      </c>
      <c r="B1750" s="18">
        <v>45601</v>
      </c>
      <c r="C1750" t="s">
        <v>46</v>
      </c>
      <c r="D1750" t="s">
        <v>86</v>
      </c>
      <c r="E1750">
        <v>175</v>
      </c>
      <c r="F1750">
        <v>358.63</v>
      </c>
      <c r="G1750" s="18">
        <v>45614</v>
      </c>
      <c r="H1750" s="18">
        <v>45612</v>
      </c>
      <c r="I1750">
        <v>159</v>
      </c>
      <c r="J1750">
        <v>62760.25</v>
      </c>
      <c r="K1750">
        <f>IF(tblPO[[#This Row],[Actual_Delivery_Date]]&lt;=tblPO[[#This Row],[Expected_Delivery_Date]],1,0)</f>
        <v>1</v>
      </c>
      <c r="L1750">
        <f>IF(tblPO[[#This Row],[Actual_Delivery_Date]]&gt;tblPO[[#This Row],[Expected_Delivery_Date]],1,0)</f>
        <v>0</v>
      </c>
      <c r="M1750">
        <f>tblPO[[#This Row],[Actual_Delivery_Date]]-tblPO[[#This Row],[PO_Date]]</f>
        <v>11</v>
      </c>
    </row>
    <row r="1751" spans="1:13" x14ac:dyDescent="0.3">
      <c r="A1751" t="s">
        <v>507</v>
      </c>
      <c r="B1751" s="18">
        <v>45626</v>
      </c>
      <c r="C1751" t="s">
        <v>48</v>
      </c>
      <c r="D1751" t="s">
        <v>149</v>
      </c>
      <c r="E1751">
        <v>752</v>
      </c>
      <c r="F1751">
        <v>92.6</v>
      </c>
      <c r="G1751" s="18">
        <v>45649</v>
      </c>
      <c r="H1751" s="18">
        <v>45646</v>
      </c>
      <c r="I1751">
        <v>735</v>
      </c>
      <c r="J1751">
        <v>69635.199999999997</v>
      </c>
      <c r="K1751">
        <f>IF(tblPO[[#This Row],[Actual_Delivery_Date]]&lt;=tblPO[[#This Row],[Expected_Delivery_Date]],1,0)</f>
        <v>1</v>
      </c>
      <c r="L1751">
        <f>IF(tblPO[[#This Row],[Actual_Delivery_Date]]&gt;tblPO[[#This Row],[Expected_Delivery_Date]],1,0)</f>
        <v>0</v>
      </c>
      <c r="M1751">
        <f>tblPO[[#This Row],[Actual_Delivery_Date]]-tblPO[[#This Row],[PO_Date]]</f>
        <v>20</v>
      </c>
    </row>
    <row r="1752" spans="1:13" x14ac:dyDescent="0.3">
      <c r="A1752" t="s">
        <v>506</v>
      </c>
      <c r="B1752" s="18">
        <v>45599</v>
      </c>
      <c r="C1752" t="s">
        <v>41</v>
      </c>
      <c r="D1752" t="s">
        <v>199</v>
      </c>
      <c r="E1752">
        <v>159</v>
      </c>
      <c r="F1752">
        <v>284.98</v>
      </c>
      <c r="G1752" s="18">
        <v>45603</v>
      </c>
      <c r="H1752" s="18">
        <v>45601</v>
      </c>
      <c r="I1752">
        <v>159</v>
      </c>
      <c r="J1752">
        <v>45311.82</v>
      </c>
      <c r="K1752">
        <f>IF(tblPO[[#This Row],[Actual_Delivery_Date]]&lt;=tblPO[[#This Row],[Expected_Delivery_Date]],1,0)</f>
        <v>1</v>
      </c>
      <c r="L1752">
        <f>IF(tblPO[[#This Row],[Actual_Delivery_Date]]&gt;tblPO[[#This Row],[Expected_Delivery_Date]],1,0)</f>
        <v>0</v>
      </c>
      <c r="M1752">
        <f>tblPO[[#This Row],[Actual_Delivery_Date]]-tblPO[[#This Row],[PO_Date]]</f>
        <v>2</v>
      </c>
    </row>
    <row r="1753" spans="1:13" x14ac:dyDescent="0.3">
      <c r="A1753" t="s">
        <v>505</v>
      </c>
      <c r="B1753" s="18">
        <v>45600</v>
      </c>
      <c r="C1753" t="s">
        <v>47</v>
      </c>
      <c r="D1753" t="s">
        <v>227</v>
      </c>
      <c r="E1753">
        <v>17</v>
      </c>
      <c r="F1753">
        <v>1025.94</v>
      </c>
      <c r="G1753" s="18">
        <v>45611</v>
      </c>
      <c r="H1753" s="18">
        <v>45608</v>
      </c>
      <c r="I1753">
        <v>17</v>
      </c>
      <c r="J1753">
        <v>17440.98</v>
      </c>
      <c r="K1753">
        <f>IF(tblPO[[#This Row],[Actual_Delivery_Date]]&lt;=tblPO[[#This Row],[Expected_Delivery_Date]],1,0)</f>
        <v>1</v>
      </c>
      <c r="L1753">
        <f>IF(tblPO[[#This Row],[Actual_Delivery_Date]]&gt;tblPO[[#This Row],[Expected_Delivery_Date]],1,0)</f>
        <v>0</v>
      </c>
      <c r="M1753">
        <f>tblPO[[#This Row],[Actual_Delivery_Date]]-tblPO[[#This Row],[PO_Date]]</f>
        <v>8</v>
      </c>
    </row>
    <row r="1754" spans="1:13" x14ac:dyDescent="0.3">
      <c r="A1754" t="s">
        <v>504</v>
      </c>
      <c r="B1754" s="18">
        <v>45616</v>
      </c>
      <c r="C1754" t="s">
        <v>65</v>
      </c>
      <c r="D1754" t="s">
        <v>201</v>
      </c>
      <c r="E1754">
        <v>523</v>
      </c>
      <c r="F1754">
        <v>39.770000000000003</v>
      </c>
      <c r="G1754" s="18">
        <v>45627</v>
      </c>
      <c r="H1754" s="18">
        <v>45624</v>
      </c>
      <c r="I1754">
        <v>523</v>
      </c>
      <c r="J1754">
        <v>20799.71</v>
      </c>
      <c r="K1754">
        <f>IF(tblPO[[#This Row],[Actual_Delivery_Date]]&lt;=tblPO[[#This Row],[Expected_Delivery_Date]],1,0)</f>
        <v>1</v>
      </c>
      <c r="L1754">
        <f>IF(tblPO[[#This Row],[Actual_Delivery_Date]]&gt;tblPO[[#This Row],[Expected_Delivery_Date]],1,0)</f>
        <v>0</v>
      </c>
      <c r="M1754">
        <f>tblPO[[#This Row],[Actual_Delivery_Date]]-tblPO[[#This Row],[PO_Date]]</f>
        <v>8</v>
      </c>
    </row>
    <row r="1755" spans="1:13" x14ac:dyDescent="0.3">
      <c r="A1755" t="s">
        <v>503</v>
      </c>
      <c r="B1755" s="18">
        <v>45609</v>
      </c>
      <c r="C1755" t="s">
        <v>53</v>
      </c>
      <c r="D1755" t="s">
        <v>104</v>
      </c>
      <c r="E1755">
        <v>18</v>
      </c>
      <c r="F1755">
        <v>443.61</v>
      </c>
      <c r="G1755" s="18">
        <v>45631</v>
      </c>
      <c r="H1755" s="18">
        <v>45631</v>
      </c>
      <c r="I1755">
        <v>18</v>
      </c>
      <c r="J1755">
        <v>7984.98</v>
      </c>
      <c r="K1755">
        <f>IF(tblPO[[#This Row],[Actual_Delivery_Date]]&lt;=tblPO[[#This Row],[Expected_Delivery_Date]],1,0)</f>
        <v>1</v>
      </c>
      <c r="L1755">
        <f>IF(tblPO[[#This Row],[Actual_Delivery_Date]]&gt;tblPO[[#This Row],[Expected_Delivery_Date]],1,0)</f>
        <v>0</v>
      </c>
      <c r="M1755">
        <f>tblPO[[#This Row],[Actual_Delivery_Date]]-tblPO[[#This Row],[PO_Date]]</f>
        <v>22</v>
      </c>
    </row>
    <row r="1756" spans="1:13" x14ac:dyDescent="0.3">
      <c r="A1756" t="s">
        <v>502</v>
      </c>
      <c r="B1756" s="18">
        <v>45606</v>
      </c>
      <c r="C1756" t="s">
        <v>51</v>
      </c>
      <c r="D1756" t="s">
        <v>166</v>
      </c>
      <c r="E1756">
        <v>363</v>
      </c>
      <c r="F1756">
        <v>72.22</v>
      </c>
      <c r="G1756" s="18">
        <v>45621</v>
      </c>
      <c r="H1756" s="18">
        <v>45619</v>
      </c>
      <c r="I1756">
        <v>363</v>
      </c>
      <c r="J1756">
        <v>26215.86</v>
      </c>
      <c r="K1756">
        <f>IF(tblPO[[#This Row],[Actual_Delivery_Date]]&lt;=tblPO[[#This Row],[Expected_Delivery_Date]],1,0)</f>
        <v>1</v>
      </c>
      <c r="L1756">
        <f>IF(tblPO[[#This Row],[Actual_Delivery_Date]]&gt;tblPO[[#This Row],[Expected_Delivery_Date]],1,0)</f>
        <v>0</v>
      </c>
      <c r="M1756">
        <f>tblPO[[#This Row],[Actual_Delivery_Date]]-tblPO[[#This Row],[PO_Date]]</f>
        <v>13</v>
      </c>
    </row>
    <row r="1757" spans="1:13" x14ac:dyDescent="0.3">
      <c r="A1757" t="s">
        <v>501</v>
      </c>
      <c r="B1757" s="18">
        <v>45604</v>
      </c>
      <c r="C1757" t="s">
        <v>55</v>
      </c>
      <c r="D1757" t="s">
        <v>233</v>
      </c>
      <c r="E1757">
        <v>63</v>
      </c>
      <c r="F1757">
        <v>238.33</v>
      </c>
      <c r="G1757" s="18">
        <v>45630</v>
      </c>
      <c r="H1757" s="18">
        <v>45628</v>
      </c>
      <c r="I1757">
        <v>55</v>
      </c>
      <c r="J1757">
        <v>15014.79</v>
      </c>
      <c r="K1757">
        <f>IF(tblPO[[#This Row],[Actual_Delivery_Date]]&lt;=tblPO[[#This Row],[Expected_Delivery_Date]],1,0)</f>
        <v>1</v>
      </c>
      <c r="L1757">
        <f>IF(tblPO[[#This Row],[Actual_Delivery_Date]]&gt;tblPO[[#This Row],[Expected_Delivery_Date]],1,0)</f>
        <v>0</v>
      </c>
      <c r="M1757">
        <f>tblPO[[#This Row],[Actual_Delivery_Date]]-tblPO[[#This Row],[PO_Date]]</f>
        <v>24</v>
      </c>
    </row>
    <row r="1758" spans="1:13" x14ac:dyDescent="0.3">
      <c r="A1758" t="s">
        <v>500</v>
      </c>
      <c r="B1758" s="18">
        <v>45601</v>
      </c>
      <c r="C1758" t="s">
        <v>45</v>
      </c>
      <c r="D1758" t="s">
        <v>245</v>
      </c>
      <c r="E1758">
        <v>16</v>
      </c>
      <c r="F1758">
        <v>3877.54</v>
      </c>
      <c r="G1758" s="18">
        <v>45608</v>
      </c>
      <c r="H1758" s="18">
        <v>45607</v>
      </c>
      <c r="I1758">
        <v>16</v>
      </c>
      <c r="J1758">
        <v>62040.639999999999</v>
      </c>
      <c r="K1758">
        <f>IF(tblPO[[#This Row],[Actual_Delivery_Date]]&lt;=tblPO[[#This Row],[Expected_Delivery_Date]],1,0)</f>
        <v>1</v>
      </c>
      <c r="L1758">
        <f>IF(tblPO[[#This Row],[Actual_Delivery_Date]]&gt;tblPO[[#This Row],[Expected_Delivery_Date]],1,0)</f>
        <v>0</v>
      </c>
      <c r="M1758">
        <f>tblPO[[#This Row],[Actual_Delivery_Date]]-tblPO[[#This Row],[PO_Date]]</f>
        <v>6</v>
      </c>
    </row>
    <row r="1759" spans="1:13" x14ac:dyDescent="0.3">
      <c r="A1759" t="s">
        <v>499</v>
      </c>
      <c r="B1759" s="18">
        <v>45619</v>
      </c>
      <c r="C1759" t="s">
        <v>42</v>
      </c>
      <c r="D1759" t="s">
        <v>88</v>
      </c>
      <c r="E1759">
        <v>4</v>
      </c>
      <c r="F1759">
        <v>18637.62</v>
      </c>
      <c r="G1759" s="18">
        <v>45646</v>
      </c>
      <c r="H1759" s="18">
        <v>45643</v>
      </c>
      <c r="I1759">
        <v>4</v>
      </c>
      <c r="J1759">
        <v>74550.48</v>
      </c>
      <c r="K1759">
        <f>IF(tblPO[[#This Row],[Actual_Delivery_Date]]&lt;=tblPO[[#This Row],[Expected_Delivery_Date]],1,0)</f>
        <v>1</v>
      </c>
      <c r="L1759">
        <f>IF(tblPO[[#This Row],[Actual_Delivery_Date]]&gt;tblPO[[#This Row],[Expected_Delivery_Date]],1,0)</f>
        <v>0</v>
      </c>
      <c r="M1759">
        <f>tblPO[[#This Row],[Actual_Delivery_Date]]-tblPO[[#This Row],[PO_Date]]</f>
        <v>24</v>
      </c>
    </row>
    <row r="1760" spans="1:13" x14ac:dyDescent="0.3">
      <c r="A1760" t="s">
        <v>498</v>
      </c>
      <c r="B1760" s="18">
        <v>45620</v>
      </c>
      <c r="C1760" t="s">
        <v>58</v>
      </c>
      <c r="D1760" t="s">
        <v>156</v>
      </c>
      <c r="E1760">
        <v>615</v>
      </c>
      <c r="F1760">
        <v>68.34</v>
      </c>
      <c r="G1760" s="18">
        <v>45650</v>
      </c>
      <c r="H1760" s="18">
        <v>45648</v>
      </c>
      <c r="I1760">
        <v>615</v>
      </c>
      <c r="J1760">
        <v>42029.1</v>
      </c>
      <c r="K1760">
        <f>IF(tblPO[[#This Row],[Actual_Delivery_Date]]&lt;=tblPO[[#This Row],[Expected_Delivery_Date]],1,0)</f>
        <v>1</v>
      </c>
      <c r="L1760">
        <f>IF(tblPO[[#This Row],[Actual_Delivery_Date]]&gt;tblPO[[#This Row],[Expected_Delivery_Date]],1,0)</f>
        <v>0</v>
      </c>
      <c r="M1760">
        <f>tblPO[[#This Row],[Actual_Delivery_Date]]-tblPO[[#This Row],[PO_Date]]</f>
        <v>28</v>
      </c>
    </row>
    <row r="1761" spans="1:13" x14ac:dyDescent="0.3">
      <c r="A1761" t="s">
        <v>497</v>
      </c>
      <c r="B1761" s="18">
        <v>45609</v>
      </c>
      <c r="C1761" t="s">
        <v>43</v>
      </c>
      <c r="D1761" t="s">
        <v>156</v>
      </c>
      <c r="E1761">
        <v>210</v>
      </c>
      <c r="F1761">
        <v>47.65</v>
      </c>
      <c r="G1761" s="18">
        <v>45618</v>
      </c>
      <c r="H1761" s="18">
        <v>45615</v>
      </c>
      <c r="I1761">
        <v>204</v>
      </c>
      <c r="J1761">
        <v>10006.5</v>
      </c>
      <c r="K1761">
        <f>IF(tblPO[[#This Row],[Actual_Delivery_Date]]&lt;=tblPO[[#This Row],[Expected_Delivery_Date]],1,0)</f>
        <v>1</v>
      </c>
      <c r="L1761">
        <f>IF(tblPO[[#This Row],[Actual_Delivery_Date]]&gt;tblPO[[#This Row],[Expected_Delivery_Date]],1,0)</f>
        <v>0</v>
      </c>
      <c r="M1761">
        <f>tblPO[[#This Row],[Actual_Delivery_Date]]-tblPO[[#This Row],[PO_Date]]</f>
        <v>6</v>
      </c>
    </row>
    <row r="1762" spans="1:13" x14ac:dyDescent="0.3">
      <c r="A1762" t="s">
        <v>496</v>
      </c>
      <c r="B1762" s="18">
        <v>45611</v>
      </c>
      <c r="C1762" t="s">
        <v>64</v>
      </c>
      <c r="D1762" t="s">
        <v>134</v>
      </c>
      <c r="E1762">
        <v>17</v>
      </c>
      <c r="F1762">
        <v>2914.02</v>
      </c>
      <c r="G1762" s="18">
        <v>45626</v>
      </c>
      <c r="H1762" s="18">
        <v>45645</v>
      </c>
      <c r="I1762">
        <v>17</v>
      </c>
      <c r="J1762">
        <v>49538.34</v>
      </c>
      <c r="K1762">
        <f>IF(tblPO[[#This Row],[Actual_Delivery_Date]]&lt;=tblPO[[#This Row],[Expected_Delivery_Date]],1,0)</f>
        <v>0</v>
      </c>
      <c r="L1762">
        <f>IF(tblPO[[#This Row],[Actual_Delivery_Date]]&gt;tblPO[[#This Row],[Expected_Delivery_Date]],1,0)</f>
        <v>1</v>
      </c>
      <c r="M1762">
        <f>tblPO[[#This Row],[Actual_Delivery_Date]]-tblPO[[#This Row],[PO_Date]]</f>
        <v>34</v>
      </c>
    </row>
    <row r="1763" spans="1:13" x14ac:dyDescent="0.3">
      <c r="A1763" t="s">
        <v>495</v>
      </c>
      <c r="B1763" s="18">
        <v>45618</v>
      </c>
      <c r="C1763" t="s">
        <v>46</v>
      </c>
      <c r="D1763" t="s">
        <v>106</v>
      </c>
      <c r="E1763">
        <v>7</v>
      </c>
      <c r="F1763">
        <v>23709.200000000001</v>
      </c>
      <c r="G1763" s="18">
        <v>45640</v>
      </c>
      <c r="H1763" s="18">
        <v>45638</v>
      </c>
      <c r="I1763">
        <v>6</v>
      </c>
      <c r="J1763">
        <v>165964.4</v>
      </c>
      <c r="K1763">
        <f>IF(tblPO[[#This Row],[Actual_Delivery_Date]]&lt;=tblPO[[#This Row],[Expected_Delivery_Date]],1,0)</f>
        <v>1</v>
      </c>
      <c r="L1763">
        <f>IF(tblPO[[#This Row],[Actual_Delivery_Date]]&gt;tblPO[[#This Row],[Expected_Delivery_Date]],1,0)</f>
        <v>0</v>
      </c>
      <c r="M1763">
        <f>tblPO[[#This Row],[Actual_Delivery_Date]]-tblPO[[#This Row],[PO_Date]]</f>
        <v>20</v>
      </c>
    </row>
    <row r="1764" spans="1:13" x14ac:dyDescent="0.3">
      <c r="A1764" t="s">
        <v>494</v>
      </c>
      <c r="B1764" s="18">
        <v>45625</v>
      </c>
      <c r="C1764" t="s">
        <v>57</v>
      </c>
      <c r="D1764" t="s">
        <v>201</v>
      </c>
      <c r="E1764">
        <v>548</v>
      </c>
      <c r="F1764">
        <v>42.91</v>
      </c>
      <c r="G1764" s="18">
        <v>45647</v>
      </c>
      <c r="H1764" s="18">
        <v>45645</v>
      </c>
      <c r="I1764">
        <v>548</v>
      </c>
      <c r="J1764">
        <v>23514.68</v>
      </c>
      <c r="K1764">
        <f>IF(tblPO[[#This Row],[Actual_Delivery_Date]]&lt;=tblPO[[#This Row],[Expected_Delivery_Date]],1,0)</f>
        <v>1</v>
      </c>
      <c r="L1764">
        <f>IF(tblPO[[#This Row],[Actual_Delivery_Date]]&gt;tblPO[[#This Row],[Expected_Delivery_Date]],1,0)</f>
        <v>0</v>
      </c>
      <c r="M1764">
        <f>tblPO[[#This Row],[Actual_Delivery_Date]]-tblPO[[#This Row],[PO_Date]]</f>
        <v>20</v>
      </c>
    </row>
    <row r="1765" spans="1:13" x14ac:dyDescent="0.3">
      <c r="A1765" t="s">
        <v>493</v>
      </c>
      <c r="B1765" s="18">
        <v>45626</v>
      </c>
      <c r="C1765" t="s">
        <v>40</v>
      </c>
      <c r="D1765" t="s">
        <v>123</v>
      </c>
      <c r="E1765">
        <v>10</v>
      </c>
      <c r="F1765">
        <v>1259.53</v>
      </c>
      <c r="G1765" s="18">
        <v>45635</v>
      </c>
      <c r="H1765" s="18">
        <v>45635</v>
      </c>
      <c r="I1765">
        <v>8</v>
      </c>
      <c r="J1765">
        <v>12595.3</v>
      </c>
      <c r="K1765">
        <f>IF(tblPO[[#This Row],[Actual_Delivery_Date]]&lt;=tblPO[[#This Row],[Expected_Delivery_Date]],1,0)</f>
        <v>1</v>
      </c>
      <c r="L1765">
        <f>IF(tblPO[[#This Row],[Actual_Delivery_Date]]&gt;tblPO[[#This Row],[Expected_Delivery_Date]],1,0)</f>
        <v>0</v>
      </c>
      <c r="M1765">
        <f>tblPO[[#This Row],[Actual_Delivery_Date]]-tblPO[[#This Row],[PO_Date]]</f>
        <v>9</v>
      </c>
    </row>
    <row r="1766" spans="1:13" x14ac:dyDescent="0.3">
      <c r="A1766" t="s">
        <v>492</v>
      </c>
      <c r="B1766" s="18">
        <v>45608</v>
      </c>
      <c r="C1766" t="s">
        <v>43</v>
      </c>
      <c r="D1766" t="s">
        <v>166</v>
      </c>
      <c r="E1766">
        <v>679</v>
      </c>
      <c r="F1766">
        <v>75.05</v>
      </c>
      <c r="G1766" s="18">
        <v>45621</v>
      </c>
      <c r="H1766" s="18">
        <v>45621</v>
      </c>
      <c r="I1766">
        <v>679</v>
      </c>
      <c r="J1766">
        <v>50958.95</v>
      </c>
      <c r="K1766">
        <f>IF(tblPO[[#This Row],[Actual_Delivery_Date]]&lt;=tblPO[[#This Row],[Expected_Delivery_Date]],1,0)</f>
        <v>1</v>
      </c>
      <c r="L1766">
        <f>IF(tblPO[[#This Row],[Actual_Delivery_Date]]&gt;tblPO[[#This Row],[Expected_Delivery_Date]],1,0)</f>
        <v>0</v>
      </c>
      <c r="M1766">
        <f>tblPO[[#This Row],[Actual_Delivery_Date]]-tblPO[[#This Row],[PO_Date]]</f>
        <v>13</v>
      </c>
    </row>
    <row r="1767" spans="1:13" x14ac:dyDescent="0.3">
      <c r="A1767" t="s">
        <v>491</v>
      </c>
      <c r="B1767" s="18">
        <v>45607</v>
      </c>
      <c r="C1767" t="s">
        <v>44</v>
      </c>
      <c r="D1767" t="s">
        <v>193</v>
      </c>
      <c r="E1767">
        <v>201</v>
      </c>
      <c r="F1767">
        <v>28.02</v>
      </c>
      <c r="G1767" s="18">
        <v>45635</v>
      </c>
      <c r="H1767" s="18">
        <v>45635</v>
      </c>
      <c r="I1767">
        <v>201</v>
      </c>
      <c r="J1767">
        <v>5632.02</v>
      </c>
      <c r="K1767">
        <f>IF(tblPO[[#This Row],[Actual_Delivery_Date]]&lt;=tblPO[[#This Row],[Expected_Delivery_Date]],1,0)</f>
        <v>1</v>
      </c>
      <c r="L1767">
        <f>IF(tblPO[[#This Row],[Actual_Delivery_Date]]&gt;tblPO[[#This Row],[Expected_Delivery_Date]],1,0)</f>
        <v>0</v>
      </c>
      <c r="M1767">
        <f>tblPO[[#This Row],[Actual_Delivery_Date]]-tblPO[[#This Row],[PO_Date]]</f>
        <v>28</v>
      </c>
    </row>
    <row r="1768" spans="1:13" x14ac:dyDescent="0.3">
      <c r="A1768" t="s">
        <v>490</v>
      </c>
      <c r="B1768" s="18">
        <v>45603</v>
      </c>
      <c r="C1768" t="s">
        <v>54</v>
      </c>
      <c r="D1768" t="s">
        <v>190</v>
      </c>
      <c r="E1768">
        <v>166</v>
      </c>
      <c r="F1768">
        <v>94.44</v>
      </c>
      <c r="G1768" s="18">
        <v>45619</v>
      </c>
      <c r="H1768" s="18">
        <v>45616</v>
      </c>
      <c r="I1768">
        <v>166</v>
      </c>
      <c r="J1768">
        <v>15677.04</v>
      </c>
      <c r="K1768">
        <f>IF(tblPO[[#This Row],[Actual_Delivery_Date]]&lt;=tblPO[[#This Row],[Expected_Delivery_Date]],1,0)</f>
        <v>1</v>
      </c>
      <c r="L1768">
        <f>IF(tblPO[[#This Row],[Actual_Delivery_Date]]&gt;tblPO[[#This Row],[Expected_Delivery_Date]],1,0)</f>
        <v>0</v>
      </c>
      <c r="M1768">
        <f>tblPO[[#This Row],[Actual_Delivery_Date]]-tblPO[[#This Row],[PO_Date]]</f>
        <v>13</v>
      </c>
    </row>
    <row r="1769" spans="1:13" x14ac:dyDescent="0.3">
      <c r="A1769" t="s">
        <v>489</v>
      </c>
      <c r="B1769" s="18">
        <v>45614</v>
      </c>
      <c r="C1769" t="s">
        <v>39</v>
      </c>
      <c r="D1769" t="s">
        <v>154</v>
      </c>
      <c r="E1769">
        <v>347</v>
      </c>
      <c r="F1769">
        <v>80.819999999999993</v>
      </c>
      <c r="G1769" s="18">
        <v>45640</v>
      </c>
      <c r="H1769" s="18">
        <v>45639</v>
      </c>
      <c r="I1769">
        <v>327</v>
      </c>
      <c r="J1769">
        <v>28044.54</v>
      </c>
      <c r="K1769">
        <f>IF(tblPO[[#This Row],[Actual_Delivery_Date]]&lt;=tblPO[[#This Row],[Expected_Delivery_Date]],1,0)</f>
        <v>1</v>
      </c>
      <c r="L1769">
        <f>IF(tblPO[[#This Row],[Actual_Delivery_Date]]&gt;tblPO[[#This Row],[Expected_Delivery_Date]],1,0)</f>
        <v>0</v>
      </c>
      <c r="M1769">
        <f>tblPO[[#This Row],[Actual_Delivery_Date]]-tblPO[[#This Row],[PO_Date]]</f>
        <v>25</v>
      </c>
    </row>
    <row r="1770" spans="1:13" x14ac:dyDescent="0.3">
      <c r="A1770" t="s">
        <v>488</v>
      </c>
      <c r="B1770" s="18">
        <v>45626</v>
      </c>
      <c r="C1770" t="s">
        <v>49</v>
      </c>
      <c r="D1770" t="s">
        <v>183</v>
      </c>
      <c r="E1770">
        <v>477</v>
      </c>
      <c r="F1770">
        <v>10.19</v>
      </c>
      <c r="G1770" s="18">
        <v>45643</v>
      </c>
      <c r="H1770" s="18">
        <v>45648</v>
      </c>
      <c r="I1770">
        <v>477</v>
      </c>
      <c r="J1770">
        <v>4860.63</v>
      </c>
      <c r="K1770">
        <f>IF(tblPO[[#This Row],[Actual_Delivery_Date]]&lt;=tblPO[[#This Row],[Expected_Delivery_Date]],1,0)</f>
        <v>0</v>
      </c>
      <c r="L1770">
        <f>IF(tblPO[[#This Row],[Actual_Delivery_Date]]&gt;tblPO[[#This Row],[Expected_Delivery_Date]],1,0)</f>
        <v>1</v>
      </c>
      <c r="M1770">
        <f>tblPO[[#This Row],[Actual_Delivery_Date]]-tblPO[[#This Row],[PO_Date]]</f>
        <v>22</v>
      </c>
    </row>
    <row r="1771" spans="1:13" x14ac:dyDescent="0.3">
      <c r="A1771" t="s">
        <v>487</v>
      </c>
      <c r="B1771" s="18">
        <v>45611</v>
      </c>
      <c r="C1771" t="s">
        <v>45</v>
      </c>
      <c r="D1771" t="s">
        <v>231</v>
      </c>
      <c r="E1771">
        <v>67</v>
      </c>
      <c r="F1771">
        <v>141.44</v>
      </c>
      <c r="G1771" s="18">
        <v>45622</v>
      </c>
      <c r="H1771" s="18">
        <v>45619</v>
      </c>
      <c r="I1771">
        <v>67</v>
      </c>
      <c r="J1771">
        <v>9476.48</v>
      </c>
      <c r="K1771">
        <f>IF(tblPO[[#This Row],[Actual_Delivery_Date]]&lt;=tblPO[[#This Row],[Expected_Delivery_Date]],1,0)</f>
        <v>1</v>
      </c>
      <c r="L1771">
        <f>IF(tblPO[[#This Row],[Actual_Delivery_Date]]&gt;tblPO[[#This Row],[Expected_Delivery_Date]],1,0)</f>
        <v>0</v>
      </c>
      <c r="M1771">
        <f>tblPO[[#This Row],[Actual_Delivery_Date]]-tblPO[[#This Row],[PO_Date]]</f>
        <v>8</v>
      </c>
    </row>
    <row r="1772" spans="1:13" x14ac:dyDescent="0.3">
      <c r="A1772" t="s">
        <v>486</v>
      </c>
      <c r="B1772" s="18">
        <v>45609</v>
      </c>
      <c r="C1772" t="s">
        <v>57</v>
      </c>
      <c r="D1772" t="s">
        <v>188</v>
      </c>
      <c r="E1772">
        <v>310</v>
      </c>
      <c r="F1772">
        <v>37.659999999999997</v>
      </c>
      <c r="G1772" s="18">
        <v>45629</v>
      </c>
      <c r="H1772" s="18">
        <v>45627</v>
      </c>
      <c r="I1772">
        <v>305</v>
      </c>
      <c r="J1772">
        <v>11674.6</v>
      </c>
      <c r="K1772">
        <f>IF(tblPO[[#This Row],[Actual_Delivery_Date]]&lt;=tblPO[[#This Row],[Expected_Delivery_Date]],1,0)</f>
        <v>1</v>
      </c>
      <c r="L1772">
        <f>IF(tblPO[[#This Row],[Actual_Delivery_Date]]&gt;tblPO[[#This Row],[Expected_Delivery_Date]],1,0)</f>
        <v>0</v>
      </c>
      <c r="M1772">
        <f>tblPO[[#This Row],[Actual_Delivery_Date]]-tblPO[[#This Row],[PO_Date]]</f>
        <v>18</v>
      </c>
    </row>
    <row r="1773" spans="1:13" x14ac:dyDescent="0.3">
      <c r="A1773" t="s">
        <v>485</v>
      </c>
      <c r="B1773" s="18">
        <v>45610</v>
      </c>
      <c r="C1773" t="s">
        <v>61</v>
      </c>
      <c r="D1773" t="s">
        <v>223</v>
      </c>
      <c r="E1773">
        <v>10</v>
      </c>
      <c r="F1773">
        <v>142.16999999999999</v>
      </c>
      <c r="G1773" s="18">
        <v>45614</v>
      </c>
      <c r="H1773" s="18">
        <v>45632</v>
      </c>
      <c r="I1773">
        <v>10</v>
      </c>
      <c r="J1773">
        <v>1421.7</v>
      </c>
      <c r="K1773">
        <f>IF(tblPO[[#This Row],[Actual_Delivery_Date]]&lt;=tblPO[[#This Row],[Expected_Delivery_Date]],1,0)</f>
        <v>0</v>
      </c>
      <c r="L1773">
        <f>IF(tblPO[[#This Row],[Actual_Delivery_Date]]&gt;tblPO[[#This Row],[Expected_Delivery_Date]],1,0)</f>
        <v>1</v>
      </c>
      <c r="M1773">
        <f>tblPO[[#This Row],[Actual_Delivery_Date]]-tblPO[[#This Row],[PO_Date]]</f>
        <v>22</v>
      </c>
    </row>
    <row r="1774" spans="1:13" x14ac:dyDescent="0.3">
      <c r="A1774" t="s">
        <v>484</v>
      </c>
      <c r="B1774" s="18">
        <v>45610</v>
      </c>
      <c r="C1774" t="s">
        <v>40</v>
      </c>
      <c r="D1774" t="s">
        <v>125</v>
      </c>
      <c r="E1774">
        <v>149</v>
      </c>
      <c r="F1774">
        <v>1022.59</v>
      </c>
      <c r="G1774" s="18">
        <v>45613</v>
      </c>
      <c r="H1774" s="18">
        <v>45612</v>
      </c>
      <c r="I1774">
        <v>149</v>
      </c>
      <c r="J1774">
        <v>152365.91</v>
      </c>
      <c r="K1774">
        <f>IF(tblPO[[#This Row],[Actual_Delivery_Date]]&lt;=tblPO[[#This Row],[Expected_Delivery_Date]],1,0)</f>
        <v>1</v>
      </c>
      <c r="L1774">
        <f>IF(tblPO[[#This Row],[Actual_Delivery_Date]]&gt;tblPO[[#This Row],[Expected_Delivery_Date]],1,0)</f>
        <v>0</v>
      </c>
      <c r="M1774">
        <f>tblPO[[#This Row],[Actual_Delivery_Date]]-tblPO[[#This Row],[PO_Date]]</f>
        <v>2</v>
      </c>
    </row>
    <row r="1775" spans="1:13" x14ac:dyDescent="0.3">
      <c r="A1775" t="s">
        <v>483</v>
      </c>
      <c r="B1775" s="18">
        <v>45603</v>
      </c>
      <c r="C1775" t="s">
        <v>38</v>
      </c>
      <c r="D1775" t="s">
        <v>249</v>
      </c>
      <c r="E1775">
        <v>644</v>
      </c>
      <c r="F1775">
        <v>71.98</v>
      </c>
      <c r="G1775" s="18">
        <v>45615</v>
      </c>
      <c r="H1775" s="18">
        <v>45613</v>
      </c>
      <c r="I1775">
        <v>644</v>
      </c>
      <c r="J1775">
        <v>46355.12</v>
      </c>
      <c r="K1775">
        <f>IF(tblPO[[#This Row],[Actual_Delivery_Date]]&lt;=tblPO[[#This Row],[Expected_Delivery_Date]],1,0)</f>
        <v>1</v>
      </c>
      <c r="L1775">
        <f>IF(tblPO[[#This Row],[Actual_Delivery_Date]]&gt;tblPO[[#This Row],[Expected_Delivery_Date]],1,0)</f>
        <v>0</v>
      </c>
      <c r="M1775">
        <f>tblPO[[#This Row],[Actual_Delivery_Date]]-tblPO[[#This Row],[PO_Date]]</f>
        <v>10</v>
      </c>
    </row>
    <row r="1776" spans="1:13" x14ac:dyDescent="0.3">
      <c r="A1776" t="s">
        <v>482</v>
      </c>
      <c r="B1776" s="18">
        <v>45602</v>
      </c>
      <c r="C1776" t="s">
        <v>55</v>
      </c>
      <c r="D1776" t="s">
        <v>227</v>
      </c>
      <c r="E1776">
        <v>12</v>
      </c>
      <c r="F1776">
        <v>1406.8</v>
      </c>
      <c r="G1776" s="18">
        <v>45631</v>
      </c>
      <c r="H1776" s="18">
        <v>45628</v>
      </c>
      <c r="I1776">
        <v>12</v>
      </c>
      <c r="J1776">
        <v>16881.599999999999</v>
      </c>
      <c r="K1776">
        <f>IF(tblPO[[#This Row],[Actual_Delivery_Date]]&lt;=tblPO[[#This Row],[Expected_Delivery_Date]],1,0)</f>
        <v>1</v>
      </c>
      <c r="L1776">
        <f>IF(tblPO[[#This Row],[Actual_Delivery_Date]]&gt;tblPO[[#This Row],[Expected_Delivery_Date]],1,0)</f>
        <v>0</v>
      </c>
      <c r="M1776">
        <f>tblPO[[#This Row],[Actual_Delivery_Date]]-tblPO[[#This Row],[PO_Date]]</f>
        <v>26</v>
      </c>
    </row>
    <row r="1777" spans="1:13" x14ac:dyDescent="0.3">
      <c r="A1777" t="s">
        <v>481</v>
      </c>
      <c r="B1777" s="18">
        <v>45612</v>
      </c>
      <c r="C1777" t="s">
        <v>46</v>
      </c>
      <c r="D1777" t="s">
        <v>108</v>
      </c>
      <c r="E1777">
        <v>4</v>
      </c>
      <c r="F1777">
        <v>14794.53</v>
      </c>
      <c r="G1777" s="18">
        <v>45624</v>
      </c>
      <c r="H1777" s="18">
        <v>45623</v>
      </c>
      <c r="I1777">
        <v>4</v>
      </c>
      <c r="J1777">
        <v>59178.12</v>
      </c>
      <c r="K1777">
        <f>IF(tblPO[[#This Row],[Actual_Delivery_Date]]&lt;=tblPO[[#This Row],[Expected_Delivery_Date]],1,0)</f>
        <v>1</v>
      </c>
      <c r="L1777">
        <f>IF(tblPO[[#This Row],[Actual_Delivery_Date]]&gt;tblPO[[#This Row],[Expected_Delivery_Date]],1,0)</f>
        <v>0</v>
      </c>
      <c r="M1777">
        <f>tblPO[[#This Row],[Actual_Delivery_Date]]-tblPO[[#This Row],[PO_Date]]</f>
        <v>11</v>
      </c>
    </row>
    <row r="1778" spans="1:13" x14ac:dyDescent="0.3">
      <c r="A1778" t="s">
        <v>480</v>
      </c>
      <c r="B1778" s="18">
        <v>45602</v>
      </c>
      <c r="C1778" t="s">
        <v>39</v>
      </c>
      <c r="D1778" t="s">
        <v>168</v>
      </c>
      <c r="E1778">
        <v>475</v>
      </c>
      <c r="F1778">
        <v>77.75</v>
      </c>
      <c r="G1778" s="18">
        <v>45627</v>
      </c>
      <c r="H1778" s="18">
        <v>45625</v>
      </c>
      <c r="I1778">
        <v>475</v>
      </c>
      <c r="J1778">
        <v>36931.25</v>
      </c>
      <c r="K1778">
        <f>IF(tblPO[[#This Row],[Actual_Delivery_Date]]&lt;=tblPO[[#This Row],[Expected_Delivery_Date]],1,0)</f>
        <v>1</v>
      </c>
      <c r="L1778">
        <f>IF(tblPO[[#This Row],[Actual_Delivery_Date]]&gt;tblPO[[#This Row],[Expected_Delivery_Date]],1,0)</f>
        <v>0</v>
      </c>
      <c r="M1778">
        <f>tblPO[[#This Row],[Actual_Delivery_Date]]-tblPO[[#This Row],[PO_Date]]</f>
        <v>23</v>
      </c>
    </row>
    <row r="1779" spans="1:13" x14ac:dyDescent="0.3">
      <c r="A1779" t="s">
        <v>479</v>
      </c>
      <c r="B1779" s="18">
        <v>45614</v>
      </c>
      <c r="C1779" t="s">
        <v>39</v>
      </c>
      <c r="D1779" t="s">
        <v>152</v>
      </c>
      <c r="E1779">
        <v>366</v>
      </c>
      <c r="F1779">
        <v>107.43</v>
      </c>
      <c r="G1779" s="18">
        <v>45643</v>
      </c>
      <c r="H1779" s="18">
        <v>45640</v>
      </c>
      <c r="I1779">
        <v>366</v>
      </c>
      <c r="J1779">
        <v>39319.379999999997</v>
      </c>
      <c r="K1779">
        <f>IF(tblPO[[#This Row],[Actual_Delivery_Date]]&lt;=tblPO[[#This Row],[Expected_Delivery_Date]],1,0)</f>
        <v>1</v>
      </c>
      <c r="L1779">
        <f>IF(tblPO[[#This Row],[Actual_Delivery_Date]]&gt;tblPO[[#This Row],[Expected_Delivery_Date]],1,0)</f>
        <v>0</v>
      </c>
      <c r="M1779">
        <f>tblPO[[#This Row],[Actual_Delivery_Date]]-tblPO[[#This Row],[PO_Date]]</f>
        <v>26</v>
      </c>
    </row>
    <row r="1780" spans="1:13" x14ac:dyDescent="0.3">
      <c r="A1780" t="s">
        <v>478</v>
      </c>
      <c r="B1780" s="18">
        <v>45604</v>
      </c>
      <c r="C1780" t="s">
        <v>38</v>
      </c>
      <c r="D1780" t="s">
        <v>245</v>
      </c>
      <c r="E1780">
        <v>2</v>
      </c>
      <c r="F1780">
        <v>4318.62</v>
      </c>
      <c r="G1780" s="18">
        <v>45609</v>
      </c>
      <c r="H1780" s="18">
        <v>45608</v>
      </c>
      <c r="I1780">
        <v>2</v>
      </c>
      <c r="J1780">
        <v>8637.24</v>
      </c>
      <c r="K1780">
        <f>IF(tblPO[[#This Row],[Actual_Delivery_Date]]&lt;=tblPO[[#This Row],[Expected_Delivery_Date]],1,0)</f>
        <v>1</v>
      </c>
      <c r="L1780">
        <f>IF(tblPO[[#This Row],[Actual_Delivery_Date]]&gt;tblPO[[#This Row],[Expected_Delivery_Date]],1,0)</f>
        <v>0</v>
      </c>
      <c r="M1780">
        <f>tblPO[[#This Row],[Actual_Delivery_Date]]-tblPO[[#This Row],[PO_Date]]</f>
        <v>4</v>
      </c>
    </row>
    <row r="1781" spans="1:13" x14ac:dyDescent="0.3">
      <c r="A1781" t="s">
        <v>477</v>
      </c>
      <c r="B1781" s="18">
        <v>45600</v>
      </c>
      <c r="C1781" t="s">
        <v>66</v>
      </c>
      <c r="D1781" t="s">
        <v>245</v>
      </c>
      <c r="E1781">
        <v>12</v>
      </c>
      <c r="F1781">
        <v>3645.66</v>
      </c>
      <c r="G1781" s="18">
        <v>45617</v>
      </c>
      <c r="H1781" s="18">
        <v>45617</v>
      </c>
      <c r="I1781">
        <v>12</v>
      </c>
      <c r="J1781">
        <v>43747.92</v>
      </c>
      <c r="K1781">
        <f>IF(tblPO[[#This Row],[Actual_Delivery_Date]]&lt;=tblPO[[#This Row],[Expected_Delivery_Date]],1,0)</f>
        <v>1</v>
      </c>
      <c r="L1781">
        <f>IF(tblPO[[#This Row],[Actual_Delivery_Date]]&gt;tblPO[[#This Row],[Expected_Delivery_Date]],1,0)</f>
        <v>0</v>
      </c>
      <c r="M1781">
        <f>tblPO[[#This Row],[Actual_Delivery_Date]]-tblPO[[#This Row],[PO_Date]]</f>
        <v>17</v>
      </c>
    </row>
    <row r="1782" spans="1:13" x14ac:dyDescent="0.3">
      <c r="A1782" t="s">
        <v>476</v>
      </c>
      <c r="B1782" s="18">
        <v>45622</v>
      </c>
      <c r="C1782" t="s">
        <v>41</v>
      </c>
      <c r="D1782" t="s">
        <v>201</v>
      </c>
      <c r="E1782">
        <v>414</v>
      </c>
      <c r="F1782">
        <v>42.35</v>
      </c>
      <c r="G1782" s="18">
        <v>45627</v>
      </c>
      <c r="H1782" s="18">
        <v>45627</v>
      </c>
      <c r="I1782">
        <v>414</v>
      </c>
      <c r="J1782">
        <v>17532.900000000001</v>
      </c>
      <c r="K1782">
        <f>IF(tblPO[[#This Row],[Actual_Delivery_Date]]&lt;=tblPO[[#This Row],[Expected_Delivery_Date]],1,0)</f>
        <v>1</v>
      </c>
      <c r="L1782">
        <f>IF(tblPO[[#This Row],[Actual_Delivery_Date]]&gt;tblPO[[#This Row],[Expected_Delivery_Date]],1,0)</f>
        <v>0</v>
      </c>
      <c r="M1782">
        <f>tblPO[[#This Row],[Actual_Delivery_Date]]-tblPO[[#This Row],[PO_Date]]</f>
        <v>5</v>
      </c>
    </row>
    <row r="1783" spans="1:13" x14ac:dyDescent="0.3">
      <c r="A1783" t="s">
        <v>475</v>
      </c>
      <c r="B1783" s="18">
        <v>45597</v>
      </c>
      <c r="C1783" t="s">
        <v>44</v>
      </c>
      <c r="D1783" t="s">
        <v>193</v>
      </c>
      <c r="E1783">
        <v>792</v>
      </c>
      <c r="F1783">
        <v>29.72</v>
      </c>
      <c r="G1783" s="18">
        <v>45611</v>
      </c>
      <c r="H1783" s="18">
        <v>45619</v>
      </c>
      <c r="I1783">
        <v>792</v>
      </c>
      <c r="J1783">
        <v>23538.240000000002</v>
      </c>
      <c r="K1783">
        <f>IF(tblPO[[#This Row],[Actual_Delivery_Date]]&lt;=tblPO[[#This Row],[Expected_Delivery_Date]],1,0)</f>
        <v>0</v>
      </c>
      <c r="L1783">
        <f>IF(tblPO[[#This Row],[Actual_Delivery_Date]]&gt;tblPO[[#This Row],[Expected_Delivery_Date]],1,0)</f>
        <v>1</v>
      </c>
      <c r="M1783">
        <f>tblPO[[#This Row],[Actual_Delivery_Date]]-tblPO[[#This Row],[PO_Date]]</f>
        <v>22</v>
      </c>
    </row>
    <row r="1784" spans="1:13" x14ac:dyDescent="0.3">
      <c r="A1784" t="s">
        <v>474</v>
      </c>
      <c r="B1784" s="18">
        <v>45614</v>
      </c>
      <c r="C1784" t="s">
        <v>57</v>
      </c>
      <c r="D1784" t="s">
        <v>205</v>
      </c>
      <c r="E1784">
        <v>186</v>
      </c>
      <c r="F1784">
        <v>432.76</v>
      </c>
      <c r="G1784" s="18">
        <v>45632</v>
      </c>
      <c r="H1784" s="18">
        <v>45631</v>
      </c>
      <c r="I1784">
        <v>181</v>
      </c>
      <c r="J1784">
        <v>80493.36</v>
      </c>
      <c r="K1784">
        <f>IF(tblPO[[#This Row],[Actual_Delivery_Date]]&lt;=tblPO[[#This Row],[Expected_Delivery_Date]],1,0)</f>
        <v>1</v>
      </c>
      <c r="L1784">
        <f>IF(tblPO[[#This Row],[Actual_Delivery_Date]]&gt;tblPO[[#This Row],[Expected_Delivery_Date]],1,0)</f>
        <v>0</v>
      </c>
      <c r="M1784">
        <f>tblPO[[#This Row],[Actual_Delivery_Date]]-tblPO[[#This Row],[PO_Date]]</f>
        <v>17</v>
      </c>
    </row>
    <row r="1785" spans="1:13" x14ac:dyDescent="0.3">
      <c r="A1785" t="s">
        <v>473</v>
      </c>
      <c r="B1785" s="18">
        <v>45621</v>
      </c>
      <c r="C1785" t="s">
        <v>47</v>
      </c>
      <c r="D1785" t="s">
        <v>225</v>
      </c>
      <c r="E1785">
        <v>141</v>
      </c>
      <c r="F1785">
        <v>170.42</v>
      </c>
      <c r="G1785" s="18">
        <v>45636</v>
      </c>
      <c r="H1785" s="18">
        <v>45634</v>
      </c>
      <c r="I1785">
        <v>141</v>
      </c>
      <c r="J1785">
        <v>24029.22</v>
      </c>
      <c r="K1785">
        <f>IF(tblPO[[#This Row],[Actual_Delivery_Date]]&lt;=tblPO[[#This Row],[Expected_Delivery_Date]],1,0)</f>
        <v>1</v>
      </c>
      <c r="L1785">
        <f>IF(tblPO[[#This Row],[Actual_Delivery_Date]]&gt;tblPO[[#This Row],[Expected_Delivery_Date]],1,0)</f>
        <v>0</v>
      </c>
      <c r="M1785">
        <f>tblPO[[#This Row],[Actual_Delivery_Date]]-tblPO[[#This Row],[PO_Date]]</f>
        <v>13</v>
      </c>
    </row>
    <row r="1786" spans="1:13" x14ac:dyDescent="0.3">
      <c r="A1786" t="s">
        <v>472</v>
      </c>
      <c r="B1786" s="18">
        <v>45599</v>
      </c>
      <c r="C1786" t="s">
        <v>39</v>
      </c>
      <c r="D1786" t="s">
        <v>162</v>
      </c>
      <c r="E1786">
        <v>764</v>
      </c>
      <c r="F1786">
        <v>45.82</v>
      </c>
      <c r="G1786" s="18">
        <v>45618</v>
      </c>
      <c r="H1786" s="18">
        <v>45618</v>
      </c>
      <c r="I1786">
        <v>764</v>
      </c>
      <c r="J1786">
        <v>35006.480000000003</v>
      </c>
      <c r="K1786">
        <f>IF(tblPO[[#This Row],[Actual_Delivery_Date]]&lt;=tblPO[[#This Row],[Expected_Delivery_Date]],1,0)</f>
        <v>1</v>
      </c>
      <c r="L1786">
        <f>IF(tblPO[[#This Row],[Actual_Delivery_Date]]&gt;tblPO[[#This Row],[Expected_Delivery_Date]],1,0)</f>
        <v>0</v>
      </c>
      <c r="M1786">
        <f>tblPO[[#This Row],[Actual_Delivery_Date]]-tblPO[[#This Row],[PO_Date]]</f>
        <v>19</v>
      </c>
    </row>
    <row r="1787" spans="1:13" x14ac:dyDescent="0.3">
      <c r="A1787" t="s">
        <v>471</v>
      </c>
      <c r="B1787" s="18">
        <v>45608</v>
      </c>
      <c r="C1787" t="s">
        <v>56</v>
      </c>
      <c r="D1787" t="s">
        <v>127</v>
      </c>
      <c r="E1787">
        <v>22</v>
      </c>
      <c r="F1787">
        <v>4905.3599999999997</v>
      </c>
      <c r="G1787" s="18">
        <v>45617</v>
      </c>
      <c r="H1787" s="18">
        <v>45623</v>
      </c>
      <c r="I1787">
        <v>22</v>
      </c>
      <c r="J1787">
        <v>107917.92</v>
      </c>
      <c r="K1787">
        <f>IF(tblPO[[#This Row],[Actual_Delivery_Date]]&lt;=tblPO[[#This Row],[Expected_Delivery_Date]],1,0)</f>
        <v>0</v>
      </c>
      <c r="L1787">
        <f>IF(tblPO[[#This Row],[Actual_Delivery_Date]]&gt;tblPO[[#This Row],[Expected_Delivery_Date]],1,0)</f>
        <v>1</v>
      </c>
      <c r="M1787">
        <f>tblPO[[#This Row],[Actual_Delivery_Date]]-tblPO[[#This Row],[PO_Date]]</f>
        <v>15</v>
      </c>
    </row>
    <row r="1788" spans="1:13" x14ac:dyDescent="0.3">
      <c r="A1788" t="s">
        <v>470</v>
      </c>
      <c r="B1788" s="18">
        <v>45618</v>
      </c>
      <c r="C1788" t="s">
        <v>38</v>
      </c>
      <c r="D1788" t="s">
        <v>251</v>
      </c>
      <c r="E1788">
        <v>67</v>
      </c>
      <c r="F1788">
        <v>85.48</v>
      </c>
      <c r="G1788" s="18">
        <v>45632</v>
      </c>
      <c r="H1788" s="18">
        <v>45632</v>
      </c>
      <c r="I1788">
        <v>67</v>
      </c>
      <c r="J1788">
        <v>5727.16</v>
      </c>
      <c r="K1788">
        <f>IF(tblPO[[#This Row],[Actual_Delivery_Date]]&lt;=tblPO[[#This Row],[Expected_Delivery_Date]],1,0)</f>
        <v>1</v>
      </c>
      <c r="L1788">
        <f>IF(tblPO[[#This Row],[Actual_Delivery_Date]]&gt;tblPO[[#This Row],[Expected_Delivery_Date]],1,0)</f>
        <v>0</v>
      </c>
      <c r="M1788">
        <f>tblPO[[#This Row],[Actual_Delivery_Date]]-tblPO[[#This Row],[PO_Date]]</f>
        <v>14</v>
      </c>
    </row>
    <row r="1789" spans="1:13" x14ac:dyDescent="0.3">
      <c r="A1789" t="s">
        <v>469</v>
      </c>
      <c r="B1789" s="18">
        <v>45599</v>
      </c>
      <c r="C1789" t="s">
        <v>38</v>
      </c>
      <c r="D1789" t="s">
        <v>251</v>
      </c>
      <c r="E1789">
        <v>524</v>
      </c>
      <c r="F1789">
        <v>88.19</v>
      </c>
      <c r="G1789" s="18">
        <v>45606</v>
      </c>
      <c r="H1789" s="18">
        <v>45603</v>
      </c>
      <c r="I1789">
        <v>524</v>
      </c>
      <c r="J1789">
        <v>46211.56</v>
      </c>
      <c r="K1789">
        <f>IF(tblPO[[#This Row],[Actual_Delivery_Date]]&lt;=tblPO[[#This Row],[Expected_Delivery_Date]],1,0)</f>
        <v>1</v>
      </c>
      <c r="L1789">
        <f>IF(tblPO[[#This Row],[Actual_Delivery_Date]]&gt;tblPO[[#This Row],[Expected_Delivery_Date]],1,0)</f>
        <v>0</v>
      </c>
      <c r="M1789">
        <f>tblPO[[#This Row],[Actual_Delivery_Date]]-tblPO[[#This Row],[PO_Date]]</f>
        <v>4</v>
      </c>
    </row>
    <row r="1790" spans="1:13" x14ac:dyDescent="0.3">
      <c r="A1790" t="s">
        <v>468</v>
      </c>
      <c r="B1790" s="18">
        <v>45620</v>
      </c>
      <c r="C1790" t="s">
        <v>39</v>
      </c>
      <c r="D1790" t="s">
        <v>162</v>
      </c>
      <c r="E1790">
        <v>614</v>
      </c>
      <c r="F1790">
        <v>44.82</v>
      </c>
      <c r="G1790" s="18">
        <v>45642</v>
      </c>
      <c r="H1790" s="18">
        <v>45639</v>
      </c>
      <c r="I1790">
        <v>614</v>
      </c>
      <c r="J1790">
        <v>27519.48</v>
      </c>
      <c r="K1790">
        <f>IF(tblPO[[#This Row],[Actual_Delivery_Date]]&lt;=tblPO[[#This Row],[Expected_Delivery_Date]],1,0)</f>
        <v>1</v>
      </c>
      <c r="L1790">
        <f>IF(tblPO[[#This Row],[Actual_Delivery_Date]]&gt;tblPO[[#This Row],[Expected_Delivery_Date]],1,0)</f>
        <v>0</v>
      </c>
      <c r="M1790">
        <f>tblPO[[#This Row],[Actual_Delivery_Date]]-tblPO[[#This Row],[PO_Date]]</f>
        <v>19</v>
      </c>
    </row>
    <row r="1791" spans="1:13" x14ac:dyDescent="0.3">
      <c r="A1791" t="s">
        <v>467</v>
      </c>
      <c r="B1791" s="18">
        <v>45614</v>
      </c>
      <c r="C1791" t="s">
        <v>40</v>
      </c>
      <c r="D1791" t="s">
        <v>121</v>
      </c>
      <c r="E1791">
        <v>89</v>
      </c>
      <c r="F1791">
        <v>703.55</v>
      </c>
      <c r="G1791" s="18">
        <v>45630</v>
      </c>
      <c r="H1791" s="18">
        <v>45627</v>
      </c>
      <c r="I1791">
        <v>81</v>
      </c>
      <c r="J1791">
        <v>62615.95</v>
      </c>
      <c r="K1791">
        <f>IF(tblPO[[#This Row],[Actual_Delivery_Date]]&lt;=tblPO[[#This Row],[Expected_Delivery_Date]],1,0)</f>
        <v>1</v>
      </c>
      <c r="L1791">
        <f>IF(tblPO[[#This Row],[Actual_Delivery_Date]]&gt;tblPO[[#This Row],[Expected_Delivery_Date]],1,0)</f>
        <v>0</v>
      </c>
      <c r="M1791">
        <f>tblPO[[#This Row],[Actual_Delivery_Date]]-tblPO[[#This Row],[PO_Date]]</f>
        <v>13</v>
      </c>
    </row>
    <row r="1792" spans="1:13" x14ac:dyDescent="0.3">
      <c r="A1792" t="s">
        <v>466</v>
      </c>
      <c r="B1792" s="18">
        <v>45601</v>
      </c>
      <c r="C1792" t="s">
        <v>55</v>
      </c>
      <c r="D1792" t="s">
        <v>243</v>
      </c>
      <c r="E1792">
        <v>107</v>
      </c>
      <c r="F1792">
        <v>204.76</v>
      </c>
      <c r="G1792" s="18">
        <v>45621</v>
      </c>
      <c r="H1792" s="18">
        <v>45621</v>
      </c>
      <c r="I1792">
        <v>107</v>
      </c>
      <c r="J1792">
        <v>21909.32</v>
      </c>
      <c r="K1792">
        <f>IF(tblPO[[#This Row],[Actual_Delivery_Date]]&lt;=tblPO[[#This Row],[Expected_Delivery_Date]],1,0)</f>
        <v>1</v>
      </c>
      <c r="L1792">
        <f>IF(tblPO[[#This Row],[Actual_Delivery_Date]]&gt;tblPO[[#This Row],[Expected_Delivery_Date]],1,0)</f>
        <v>0</v>
      </c>
      <c r="M1792">
        <f>tblPO[[#This Row],[Actual_Delivery_Date]]-tblPO[[#This Row],[PO_Date]]</f>
        <v>20</v>
      </c>
    </row>
    <row r="1793" spans="1:13" x14ac:dyDescent="0.3">
      <c r="A1793" t="s">
        <v>465</v>
      </c>
      <c r="B1793" s="18">
        <v>45606</v>
      </c>
      <c r="C1793" t="s">
        <v>38</v>
      </c>
      <c r="D1793" t="s">
        <v>219</v>
      </c>
      <c r="E1793">
        <v>560</v>
      </c>
      <c r="F1793">
        <v>93.96</v>
      </c>
      <c r="G1793" s="18">
        <v>45618</v>
      </c>
      <c r="H1793" s="18">
        <v>45615</v>
      </c>
      <c r="I1793">
        <v>560</v>
      </c>
      <c r="J1793">
        <v>52617.599999999999</v>
      </c>
      <c r="K1793">
        <f>IF(tblPO[[#This Row],[Actual_Delivery_Date]]&lt;=tblPO[[#This Row],[Expected_Delivery_Date]],1,0)</f>
        <v>1</v>
      </c>
      <c r="L1793">
        <f>IF(tblPO[[#This Row],[Actual_Delivery_Date]]&gt;tblPO[[#This Row],[Expected_Delivery_Date]],1,0)</f>
        <v>0</v>
      </c>
      <c r="M1793">
        <f>tblPO[[#This Row],[Actual_Delivery_Date]]-tblPO[[#This Row],[PO_Date]]</f>
        <v>9</v>
      </c>
    </row>
    <row r="1794" spans="1:13" x14ac:dyDescent="0.3">
      <c r="A1794" t="s">
        <v>464</v>
      </c>
      <c r="B1794" s="18">
        <v>45624</v>
      </c>
      <c r="C1794" t="s">
        <v>41</v>
      </c>
      <c r="D1794" t="s">
        <v>199</v>
      </c>
      <c r="E1794">
        <v>33</v>
      </c>
      <c r="F1794">
        <v>286.98</v>
      </c>
      <c r="G1794" s="18">
        <v>45631</v>
      </c>
      <c r="H1794" s="18">
        <v>45636</v>
      </c>
      <c r="I1794">
        <v>33</v>
      </c>
      <c r="J1794">
        <v>9470.34</v>
      </c>
      <c r="K1794">
        <f>IF(tblPO[[#This Row],[Actual_Delivery_Date]]&lt;=tblPO[[#This Row],[Expected_Delivery_Date]],1,0)</f>
        <v>0</v>
      </c>
      <c r="L1794">
        <f>IF(tblPO[[#This Row],[Actual_Delivery_Date]]&gt;tblPO[[#This Row],[Expected_Delivery_Date]],1,0)</f>
        <v>1</v>
      </c>
      <c r="M1794">
        <f>tblPO[[#This Row],[Actual_Delivery_Date]]-tblPO[[#This Row],[PO_Date]]</f>
        <v>12</v>
      </c>
    </row>
    <row r="1795" spans="1:13" x14ac:dyDescent="0.3">
      <c r="A1795" t="s">
        <v>463</v>
      </c>
      <c r="B1795" s="18">
        <v>45605</v>
      </c>
      <c r="C1795" t="s">
        <v>66</v>
      </c>
      <c r="D1795" t="s">
        <v>245</v>
      </c>
      <c r="E1795">
        <v>5</v>
      </c>
      <c r="F1795">
        <v>3530.74</v>
      </c>
      <c r="G1795" s="18">
        <v>45618</v>
      </c>
      <c r="H1795" s="18">
        <v>45615</v>
      </c>
      <c r="I1795">
        <v>5</v>
      </c>
      <c r="J1795">
        <v>17653.7</v>
      </c>
      <c r="K1795">
        <f>IF(tblPO[[#This Row],[Actual_Delivery_Date]]&lt;=tblPO[[#This Row],[Expected_Delivery_Date]],1,0)</f>
        <v>1</v>
      </c>
      <c r="L1795">
        <f>IF(tblPO[[#This Row],[Actual_Delivery_Date]]&gt;tblPO[[#This Row],[Expected_Delivery_Date]],1,0)</f>
        <v>0</v>
      </c>
      <c r="M1795">
        <f>tblPO[[#This Row],[Actual_Delivery_Date]]-tblPO[[#This Row],[PO_Date]]</f>
        <v>10</v>
      </c>
    </row>
    <row r="1796" spans="1:13" x14ac:dyDescent="0.3">
      <c r="A1796" t="s">
        <v>462</v>
      </c>
      <c r="B1796" s="18">
        <v>45604</v>
      </c>
      <c r="C1796" t="s">
        <v>44</v>
      </c>
      <c r="D1796" t="s">
        <v>203</v>
      </c>
      <c r="E1796">
        <v>30</v>
      </c>
      <c r="F1796">
        <v>313.64999999999998</v>
      </c>
      <c r="G1796" s="18">
        <v>45617</v>
      </c>
      <c r="H1796" s="18">
        <v>45614</v>
      </c>
      <c r="I1796">
        <v>30</v>
      </c>
      <c r="J1796">
        <v>9409.5</v>
      </c>
      <c r="K1796">
        <f>IF(tblPO[[#This Row],[Actual_Delivery_Date]]&lt;=tblPO[[#This Row],[Expected_Delivery_Date]],1,0)</f>
        <v>1</v>
      </c>
      <c r="L1796">
        <f>IF(tblPO[[#This Row],[Actual_Delivery_Date]]&gt;tblPO[[#This Row],[Expected_Delivery_Date]],1,0)</f>
        <v>0</v>
      </c>
      <c r="M1796">
        <f>tblPO[[#This Row],[Actual_Delivery_Date]]-tblPO[[#This Row],[PO_Date]]</f>
        <v>10</v>
      </c>
    </row>
    <row r="1797" spans="1:13" x14ac:dyDescent="0.3">
      <c r="A1797" t="s">
        <v>461</v>
      </c>
      <c r="B1797" s="18">
        <v>45614</v>
      </c>
      <c r="C1797" t="s">
        <v>43</v>
      </c>
      <c r="D1797" t="s">
        <v>160</v>
      </c>
      <c r="E1797">
        <v>757</v>
      </c>
      <c r="F1797">
        <v>88.48</v>
      </c>
      <c r="G1797" s="18">
        <v>45626</v>
      </c>
      <c r="H1797" s="18">
        <v>45629</v>
      </c>
      <c r="I1797">
        <v>757</v>
      </c>
      <c r="J1797">
        <v>66979.360000000001</v>
      </c>
      <c r="K1797">
        <f>IF(tblPO[[#This Row],[Actual_Delivery_Date]]&lt;=tblPO[[#This Row],[Expected_Delivery_Date]],1,0)</f>
        <v>0</v>
      </c>
      <c r="L1797">
        <f>IF(tblPO[[#This Row],[Actual_Delivery_Date]]&gt;tblPO[[#This Row],[Expected_Delivery_Date]],1,0)</f>
        <v>1</v>
      </c>
      <c r="M1797">
        <f>tblPO[[#This Row],[Actual_Delivery_Date]]-tblPO[[#This Row],[PO_Date]]</f>
        <v>15</v>
      </c>
    </row>
    <row r="1798" spans="1:13" x14ac:dyDescent="0.3">
      <c r="A1798" t="s">
        <v>460</v>
      </c>
      <c r="B1798" s="18">
        <v>45606</v>
      </c>
      <c r="C1798" t="s">
        <v>44</v>
      </c>
      <c r="D1798" t="s">
        <v>197</v>
      </c>
      <c r="E1798">
        <v>20</v>
      </c>
      <c r="F1798">
        <v>234.23</v>
      </c>
      <c r="G1798" s="18">
        <v>45631</v>
      </c>
      <c r="H1798" s="18">
        <v>45630</v>
      </c>
      <c r="I1798">
        <v>20</v>
      </c>
      <c r="J1798">
        <v>4684.6000000000004</v>
      </c>
      <c r="K1798">
        <f>IF(tblPO[[#This Row],[Actual_Delivery_Date]]&lt;=tblPO[[#This Row],[Expected_Delivery_Date]],1,0)</f>
        <v>1</v>
      </c>
      <c r="L1798">
        <f>IF(tblPO[[#This Row],[Actual_Delivery_Date]]&gt;tblPO[[#This Row],[Expected_Delivery_Date]],1,0)</f>
        <v>0</v>
      </c>
      <c r="M1798">
        <f>tblPO[[#This Row],[Actual_Delivery_Date]]-tblPO[[#This Row],[PO_Date]]</f>
        <v>24</v>
      </c>
    </row>
    <row r="1799" spans="1:13" x14ac:dyDescent="0.3">
      <c r="A1799" t="s">
        <v>459</v>
      </c>
      <c r="B1799" s="18">
        <v>45615</v>
      </c>
      <c r="C1799" t="s">
        <v>51</v>
      </c>
      <c r="D1799" t="s">
        <v>176</v>
      </c>
      <c r="E1799">
        <v>146</v>
      </c>
      <c r="F1799">
        <v>34.659999999999997</v>
      </c>
      <c r="G1799" s="18">
        <v>45618</v>
      </c>
      <c r="H1799" s="18">
        <v>45618</v>
      </c>
      <c r="I1799">
        <v>141</v>
      </c>
      <c r="J1799">
        <v>5060.3599999999997</v>
      </c>
      <c r="K1799">
        <f>IF(tblPO[[#This Row],[Actual_Delivery_Date]]&lt;=tblPO[[#This Row],[Expected_Delivery_Date]],1,0)</f>
        <v>1</v>
      </c>
      <c r="L1799">
        <f>IF(tblPO[[#This Row],[Actual_Delivery_Date]]&gt;tblPO[[#This Row],[Expected_Delivery_Date]],1,0)</f>
        <v>0</v>
      </c>
      <c r="M1799">
        <f>tblPO[[#This Row],[Actual_Delivery_Date]]-tblPO[[#This Row],[PO_Date]]</f>
        <v>3</v>
      </c>
    </row>
    <row r="1800" spans="1:13" x14ac:dyDescent="0.3">
      <c r="A1800" t="s">
        <v>458</v>
      </c>
      <c r="B1800" s="18">
        <v>45602</v>
      </c>
      <c r="C1800" t="s">
        <v>42</v>
      </c>
      <c r="D1800" t="s">
        <v>98</v>
      </c>
      <c r="E1800">
        <v>10</v>
      </c>
      <c r="F1800">
        <v>10037.58</v>
      </c>
      <c r="G1800" s="18">
        <v>45632</v>
      </c>
      <c r="H1800" s="18">
        <v>45630</v>
      </c>
      <c r="I1800">
        <v>10</v>
      </c>
      <c r="J1800">
        <v>100375.8</v>
      </c>
      <c r="K1800">
        <f>IF(tblPO[[#This Row],[Actual_Delivery_Date]]&lt;=tblPO[[#This Row],[Expected_Delivery_Date]],1,0)</f>
        <v>1</v>
      </c>
      <c r="L1800">
        <f>IF(tblPO[[#This Row],[Actual_Delivery_Date]]&gt;tblPO[[#This Row],[Expected_Delivery_Date]],1,0)</f>
        <v>0</v>
      </c>
      <c r="M1800">
        <f>tblPO[[#This Row],[Actual_Delivery_Date]]-tblPO[[#This Row],[PO_Date]]</f>
        <v>28</v>
      </c>
    </row>
    <row r="1801" spans="1:13" x14ac:dyDescent="0.3">
      <c r="A1801" t="s">
        <v>457</v>
      </c>
      <c r="B1801" s="18">
        <v>45619</v>
      </c>
      <c r="C1801" t="s">
        <v>43</v>
      </c>
      <c r="D1801" t="s">
        <v>172</v>
      </c>
      <c r="E1801">
        <v>632</v>
      </c>
      <c r="F1801">
        <v>28.07</v>
      </c>
      <c r="G1801" s="18">
        <v>45625</v>
      </c>
      <c r="H1801" s="18">
        <v>45622</v>
      </c>
      <c r="I1801">
        <v>632</v>
      </c>
      <c r="J1801">
        <v>17740.240000000002</v>
      </c>
      <c r="K1801">
        <f>IF(tblPO[[#This Row],[Actual_Delivery_Date]]&lt;=tblPO[[#This Row],[Expected_Delivery_Date]],1,0)</f>
        <v>1</v>
      </c>
      <c r="L1801">
        <f>IF(tblPO[[#This Row],[Actual_Delivery_Date]]&gt;tblPO[[#This Row],[Expected_Delivery_Date]],1,0)</f>
        <v>0</v>
      </c>
      <c r="M1801">
        <f>tblPO[[#This Row],[Actual_Delivery_Date]]-tblPO[[#This Row],[PO_Date]]</f>
        <v>3</v>
      </c>
    </row>
    <row r="1802" spans="1:13" x14ac:dyDescent="0.3">
      <c r="A1802" t="s">
        <v>456</v>
      </c>
      <c r="B1802" s="18">
        <v>45620</v>
      </c>
      <c r="C1802" t="s">
        <v>40</v>
      </c>
      <c r="D1802" t="s">
        <v>119</v>
      </c>
      <c r="E1802">
        <v>7</v>
      </c>
      <c r="F1802">
        <v>9073.6299999999992</v>
      </c>
      <c r="G1802" s="18">
        <v>45630</v>
      </c>
      <c r="H1802" s="18">
        <v>45636</v>
      </c>
      <c r="I1802">
        <v>7</v>
      </c>
      <c r="J1802">
        <v>63515.41</v>
      </c>
      <c r="K1802">
        <f>IF(tblPO[[#This Row],[Actual_Delivery_Date]]&lt;=tblPO[[#This Row],[Expected_Delivery_Date]],1,0)</f>
        <v>0</v>
      </c>
      <c r="L1802">
        <f>IF(tblPO[[#This Row],[Actual_Delivery_Date]]&gt;tblPO[[#This Row],[Expected_Delivery_Date]],1,0)</f>
        <v>1</v>
      </c>
      <c r="M1802">
        <f>tblPO[[#This Row],[Actual_Delivery_Date]]-tblPO[[#This Row],[PO_Date]]</f>
        <v>16</v>
      </c>
    </row>
    <row r="1803" spans="1:13" x14ac:dyDescent="0.3">
      <c r="A1803" t="s">
        <v>455</v>
      </c>
      <c r="B1803" s="18">
        <v>45621</v>
      </c>
      <c r="C1803" t="s">
        <v>44</v>
      </c>
      <c r="D1803" t="s">
        <v>179</v>
      </c>
      <c r="E1803">
        <v>797</v>
      </c>
      <c r="F1803">
        <v>17.71</v>
      </c>
      <c r="G1803" s="18">
        <v>45639</v>
      </c>
      <c r="H1803" s="18">
        <v>45637</v>
      </c>
      <c r="I1803">
        <v>719</v>
      </c>
      <c r="J1803">
        <v>14114.87</v>
      </c>
      <c r="K1803">
        <f>IF(tblPO[[#This Row],[Actual_Delivery_Date]]&lt;=tblPO[[#This Row],[Expected_Delivery_Date]],1,0)</f>
        <v>1</v>
      </c>
      <c r="L1803">
        <f>IF(tblPO[[#This Row],[Actual_Delivery_Date]]&gt;tblPO[[#This Row],[Expected_Delivery_Date]],1,0)</f>
        <v>0</v>
      </c>
      <c r="M1803">
        <f>tblPO[[#This Row],[Actual_Delivery_Date]]-tblPO[[#This Row],[PO_Date]]</f>
        <v>16</v>
      </c>
    </row>
    <row r="1804" spans="1:13" x14ac:dyDescent="0.3">
      <c r="A1804" t="s">
        <v>454</v>
      </c>
      <c r="B1804" s="18">
        <v>45606</v>
      </c>
      <c r="C1804" t="s">
        <v>48</v>
      </c>
      <c r="D1804" t="s">
        <v>156</v>
      </c>
      <c r="E1804">
        <v>590</v>
      </c>
      <c r="F1804">
        <v>70.86</v>
      </c>
      <c r="G1804" s="18">
        <v>45629</v>
      </c>
      <c r="H1804" s="18">
        <v>45629</v>
      </c>
      <c r="I1804">
        <v>590</v>
      </c>
      <c r="J1804">
        <v>41807.4</v>
      </c>
      <c r="K1804">
        <f>IF(tblPO[[#This Row],[Actual_Delivery_Date]]&lt;=tblPO[[#This Row],[Expected_Delivery_Date]],1,0)</f>
        <v>1</v>
      </c>
      <c r="L1804">
        <f>IF(tblPO[[#This Row],[Actual_Delivery_Date]]&gt;tblPO[[#This Row],[Expected_Delivery_Date]],1,0)</f>
        <v>0</v>
      </c>
      <c r="M1804">
        <f>tblPO[[#This Row],[Actual_Delivery_Date]]-tblPO[[#This Row],[PO_Date]]</f>
        <v>23</v>
      </c>
    </row>
    <row r="1805" spans="1:13" x14ac:dyDescent="0.3">
      <c r="A1805" t="s">
        <v>453</v>
      </c>
      <c r="B1805" s="18">
        <v>45624</v>
      </c>
      <c r="C1805" t="s">
        <v>45</v>
      </c>
      <c r="D1805" t="s">
        <v>233</v>
      </c>
      <c r="E1805">
        <v>167</v>
      </c>
      <c r="F1805">
        <v>195.82</v>
      </c>
      <c r="G1805" s="18">
        <v>45630</v>
      </c>
      <c r="H1805" s="18">
        <v>45629</v>
      </c>
      <c r="I1805">
        <v>167</v>
      </c>
      <c r="J1805">
        <v>32701.94</v>
      </c>
      <c r="K1805">
        <f>IF(tblPO[[#This Row],[Actual_Delivery_Date]]&lt;=tblPO[[#This Row],[Expected_Delivery_Date]],1,0)</f>
        <v>1</v>
      </c>
      <c r="L1805">
        <f>IF(tblPO[[#This Row],[Actual_Delivery_Date]]&gt;tblPO[[#This Row],[Expected_Delivery_Date]],1,0)</f>
        <v>0</v>
      </c>
      <c r="M1805">
        <f>tblPO[[#This Row],[Actual_Delivery_Date]]-tblPO[[#This Row],[PO_Date]]</f>
        <v>5</v>
      </c>
    </row>
    <row r="1806" spans="1:13" x14ac:dyDescent="0.3">
      <c r="A1806" t="s">
        <v>452</v>
      </c>
      <c r="B1806" s="18">
        <v>45609</v>
      </c>
      <c r="C1806" t="s">
        <v>49</v>
      </c>
      <c r="D1806" t="s">
        <v>195</v>
      </c>
      <c r="E1806">
        <v>39</v>
      </c>
      <c r="F1806">
        <v>549.19000000000005</v>
      </c>
      <c r="G1806" s="18">
        <v>45618</v>
      </c>
      <c r="H1806" s="18">
        <v>45616</v>
      </c>
      <c r="I1806">
        <v>39</v>
      </c>
      <c r="J1806">
        <v>21418.41</v>
      </c>
      <c r="K1806">
        <f>IF(tblPO[[#This Row],[Actual_Delivery_Date]]&lt;=tblPO[[#This Row],[Expected_Delivery_Date]],1,0)</f>
        <v>1</v>
      </c>
      <c r="L1806">
        <f>IF(tblPO[[#This Row],[Actual_Delivery_Date]]&gt;tblPO[[#This Row],[Expected_Delivery_Date]],1,0)</f>
        <v>0</v>
      </c>
      <c r="M1806">
        <f>tblPO[[#This Row],[Actual_Delivery_Date]]-tblPO[[#This Row],[PO_Date]]</f>
        <v>7</v>
      </c>
    </row>
    <row r="1807" spans="1:13" x14ac:dyDescent="0.3">
      <c r="A1807" t="s">
        <v>451</v>
      </c>
      <c r="B1807" s="18">
        <v>45604</v>
      </c>
      <c r="C1807" t="s">
        <v>38</v>
      </c>
      <c r="D1807" t="s">
        <v>215</v>
      </c>
      <c r="E1807">
        <v>23</v>
      </c>
      <c r="F1807">
        <v>3684.47</v>
      </c>
      <c r="G1807" s="18">
        <v>45611</v>
      </c>
      <c r="H1807" s="18">
        <v>45609</v>
      </c>
      <c r="I1807">
        <v>23</v>
      </c>
      <c r="J1807">
        <v>84742.81</v>
      </c>
      <c r="K1807">
        <f>IF(tblPO[[#This Row],[Actual_Delivery_Date]]&lt;=tblPO[[#This Row],[Expected_Delivery_Date]],1,0)</f>
        <v>1</v>
      </c>
      <c r="L1807">
        <f>IF(tblPO[[#This Row],[Actual_Delivery_Date]]&gt;tblPO[[#This Row],[Expected_Delivery_Date]],1,0)</f>
        <v>0</v>
      </c>
      <c r="M1807">
        <f>tblPO[[#This Row],[Actual_Delivery_Date]]-tblPO[[#This Row],[PO_Date]]</f>
        <v>5</v>
      </c>
    </row>
    <row r="1808" spans="1:13" x14ac:dyDescent="0.3">
      <c r="A1808" t="s">
        <v>450</v>
      </c>
      <c r="B1808" s="18">
        <v>45609</v>
      </c>
      <c r="C1808" t="s">
        <v>45</v>
      </c>
      <c r="D1808" t="s">
        <v>249</v>
      </c>
      <c r="E1808">
        <v>750</v>
      </c>
      <c r="F1808">
        <v>69.67</v>
      </c>
      <c r="G1808" s="18">
        <v>45616</v>
      </c>
      <c r="H1808" s="18">
        <v>45626</v>
      </c>
      <c r="I1808">
        <v>750</v>
      </c>
      <c r="J1808">
        <v>52252.5</v>
      </c>
      <c r="K1808">
        <f>IF(tblPO[[#This Row],[Actual_Delivery_Date]]&lt;=tblPO[[#This Row],[Expected_Delivery_Date]],1,0)</f>
        <v>0</v>
      </c>
      <c r="L1808">
        <f>IF(tblPO[[#This Row],[Actual_Delivery_Date]]&gt;tblPO[[#This Row],[Expected_Delivery_Date]],1,0)</f>
        <v>1</v>
      </c>
      <c r="M1808">
        <f>tblPO[[#This Row],[Actual_Delivery_Date]]-tblPO[[#This Row],[PO_Date]]</f>
        <v>17</v>
      </c>
    </row>
    <row r="1809" spans="1:13" x14ac:dyDescent="0.3">
      <c r="A1809" t="s">
        <v>449</v>
      </c>
      <c r="B1809" s="18">
        <v>45619</v>
      </c>
      <c r="C1809" t="s">
        <v>38</v>
      </c>
      <c r="D1809" t="s">
        <v>215</v>
      </c>
      <c r="E1809">
        <v>8</v>
      </c>
      <c r="F1809">
        <v>3648.86</v>
      </c>
      <c r="G1809" s="18">
        <v>45625</v>
      </c>
      <c r="H1809" s="18">
        <v>45622</v>
      </c>
      <c r="I1809">
        <v>8</v>
      </c>
      <c r="J1809">
        <v>29190.880000000001</v>
      </c>
      <c r="K1809">
        <f>IF(tblPO[[#This Row],[Actual_Delivery_Date]]&lt;=tblPO[[#This Row],[Expected_Delivery_Date]],1,0)</f>
        <v>1</v>
      </c>
      <c r="L1809">
        <f>IF(tblPO[[#This Row],[Actual_Delivery_Date]]&gt;tblPO[[#This Row],[Expected_Delivery_Date]],1,0)</f>
        <v>0</v>
      </c>
      <c r="M1809">
        <f>tblPO[[#This Row],[Actual_Delivery_Date]]-tblPO[[#This Row],[PO_Date]]</f>
        <v>3</v>
      </c>
    </row>
    <row r="1810" spans="1:13" x14ac:dyDescent="0.3">
      <c r="A1810" t="s">
        <v>448</v>
      </c>
      <c r="B1810" s="18">
        <v>45601</v>
      </c>
      <c r="C1810" t="s">
        <v>42</v>
      </c>
      <c r="D1810" t="s">
        <v>100</v>
      </c>
      <c r="E1810">
        <v>3</v>
      </c>
      <c r="F1810">
        <v>53610.22</v>
      </c>
      <c r="G1810" s="18">
        <v>45616</v>
      </c>
      <c r="H1810" s="18">
        <v>45615</v>
      </c>
      <c r="I1810">
        <v>3</v>
      </c>
      <c r="J1810">
        <v>160830.66</v>
      </c>
      <c r="K1810">
        <f>IF(tblPO[[#This Row],[Actual_Delivery_Date]]&lt;=tblPO[[#This Row],[Expected_Delivery_Date]],1,0)</f>
        <v>1</v>
      </c>
      <c r="L1810">
        <f>IF(tblPO[[#This Row],[Actual_Delivery_Date]]&gt;tblPO[[#This Row],[Expected_Delivery_Date]],1,0)</f>
        <v>0</v>
      </c>
      <c r="M1810">
        <f>tblPO[[#This Row],[Actual_Delivery_Date]]-tblPO[[#This Row],[PO_Date]]</f>
        <v>14</v>
      </c>
    </row>
    <row r="1811" spans="1:13" x14ac:dyDescent="0.3">
      <c r="A1811" t="s">
        <v>447</v>
      </c>
      <c r="B1811" s="18">
        <v>45605</v>
      </c>
      <c r="C1811" t="s">
        <v>38</v>
      </c>
      <c r="D1811" t="s">
        <v>227</v>
      </c>
      <c r="E1811">
        <v>23</v>
      </c>
      <c r="F1811">
        <v>1265.95</v>
      </c>
      <c r="G1811" s="18">
        <v>45622</v>
      </c>
      <c r="H1811" s="18">
        <v>45620</v>
      </c>
      <c r="I1811">
        <v>23</v>
      </c>
      <c r="J1811">
        <v>29116.85</v>
      </c>
      <c r="K1811">
        <f>IF(tblPO[[#This Row],[Actual_Delivery_Date]]&lt;=tblPO[[#This Row],[Expected_Delivery_Date]],1,0)</f>
        <v>1</v>
      </c>
      <c r="L1811">
        <f>IF(tblPO[[#This Row],[Actual_Delivery_Date]]&gt;tblPO[[#This Row],[Expected_Delivery_Date]],1,0)</f>
        <v>0</v>
      </c>
      <c r="M1811">
        <f>tblPO[[#This Row],[Actual_Delivery_Date]]-tblPO[[#This Row],[PO_Date]]</f>
        <v>15</v>
      </c>
    </row>
    <row r="1812" spans="1:13" x14ac:dyDescent="0.3">
      <c r="A1812" t="s">
        <v>446</v>
      </c>
      <c r="B1812" s="18">
        <v>45624</v>
      </c>
      <c r="C1812" t="s">
        <v>52</v>
      </c>
      <c r="D1812" t="s">
        <v>229</v>
      </c>
      <c r="E1812">
        <v>23</v>
      </c>
      <c r="F1812">
        <v>1702.42</v>
      </c>
      <c r="G1812" s="18">
        <v>45634</v>
      </c>
      <c r="H1812" s="18">
        <v>45633</v>
      </c>
      <c r="I1812">
        <v>23</v>
      </c>
      <c r="J1812">
        <v>39155.660000000003</v>
      </c>
      <c r="K1812">
        <f>IF(tblPO[[#This Row],[Actual_Delivery_Date]]&lt;=tblPO[[#This Row],[Expected_Delivery_Date]],1,0)</f>
        <v>1</v>
      </c>
      <c r="L1812">
        <f>IF(tblPO[[#This Row],[Actual_Delivery_Date]]&gt;tblPO[[#This Row],[Expected_Delivery_Date]],1,0)</f>
        <v>0</v>
      </c>
      <c r="M1812">
        <f>tblPO[[#This Row],[Actual_Delivery_Date]]-tblPO[[#This Row],[PO_Date]]</f>
        <v>9</v>
      </c>
    </row>
    <row r="1813" spans="1:13" x14ac:dyDescent="0.3">
      <c r="A1813" t="s">
        <v>445</v>
      </c>
      <c r="B1813" s="18">
        <v>45602</v>
      </c>
      <c r="C1813" t="s">
        <v>59</v>
      </c>
      <c r="D1813" t="s">
        <v>102</v>
      </c>
      <c r="E1813">
        <v>128</v>
      </c>
      <c r="F1813">
        <v>374.5</v>
      </c>
      <c r="G1813" s="18">
        <v>45606</v>
      </c>
      <c r="H1813" s="18">
        <v>45607</v>
      </c>
      <c r="I1813">
        <v>128</v>
      </c>
      <c r="J1813">
        <v>47936</v>
      </c>
      <c r="K1813">
        <f>IF(tblPO[[#This Row],[Actual_Delivery_Date]]&lt;=tblPO[[#This Row],[Expected_Delivery_Date]],1,0)</f>
        <v>0</v>
      </c>
      <c r="L1813">
        <f>IF(tblPO[[#This Row],[Actual_Delivery_Date]]&gt;tblPO[[#This Row],[Expected_Delivery_Date]],1,0)</f>
        <v>1</v>
      </c>
      <c r="M1813">
        <f>tblPO[[#This Row],[Actual_Delivery_Date]]-tblPO[[#This Row],[PO_Date]]</f>
        <v>5</v>
      </c>
    </row>
    <row r="1814" spans="1:13" x14ac:dyDescent="0.3">
      <c r="A1814" t="s">
        <v>444</v>
      </c>
      <c r="B1814" s="18">
        <v>45600</v>
      </c>
      <c r="C1814" t="s">
        <v>43</v>
      </c>
      <c r="D1814" t="s">
        <v>160</v>
      </c>
      <c r="E1814">
        <v>473</v>
      </c>
      <c r="F1814">
        <v>84.06</v>
      </c>
      <c r="G1814" s="18">
        <v>45612</v>
      </c>
      <c r="H1814" s="18">
        <v>45611</v>
      </c>
      <c r="I1814">
        <v>473</v>
      </c>
      <c r="J1814">
        <v>39760.379999999997</v>
      </c>
      <c r="K1814">
        <f>IF(tblPO[[#This Row],[Actual_Delivery_Date]]&lt;=tblPO[[#This Row],[Expected_Delivery_Date]],1,0)</f>
        <v>1</v>
      </c>
      <c r="L1814">
        <f>IF(tblPO[[#This Row],[Actual_Delivery_Date]]&gt;tblPO[[#This Row],[Expected_Delivery_Date]],1,0)</f>
        <v>0</v>
      </c>
      <c r="M1814">
        <f>tblPO[[#This Row],[Actual_Delivery_Date]]-tblPO[[#This Row],[PO_Date]]</f>
        <v>11</v>
      </c>
    </row>
    <row r="1815" spans="1:13" x14ac:dyDescent="0.3">
      <c r="A1815" t="s">
        <v>443</v>
      </c>
      <c r="B1815" s="18">
        <v>45599</v>
      </c>
      <c r="C1815" t="s">
        <v>47</v>
      </c>
      <c r="D1815" t="s">
        <v>251</v>
      </c>
      <c r="E1815">
        <v>592</v>
      </c>
      <c r="F1815">
        <v>67.849999999999994</v>
      </c>
      <c r="G1815" s="18">
        <v>45616</v>
      </c>
      <c r="H1815" s="18">
        <v>45614</v>
      </c>
      <c r="I1815">
        <v>592</v>
      </c>
      <c r="J1815">
        <v>40167.199999999997</v>
      </c>
      <c r="K1815">
        <f>IF(tblPO[[#This Row],[Actual_Delivery_Date]]&lt;=tblPO[[#This Row],[Expected_Delivery_Date]],1,0)</f>
        <v>1</v>
      </c>
      <c r="L1815">
        <f>IF(tblPO[[#This Row],[Actual_Delivery_Date]]&gt;tblPO[[#This Row],[Expected_Delivery_Date]],1,0)</f>
        <v>0</v>
      </c>
      <c r="M1815">
        <f>tblPO[[#This Row],[Actual_Delivery_Date]]-tblPO[[#This Row],[PO_Date]]</f>
        <v>15</v>
      </c>
    </row>
    <row r="1816" spans="1:13" x14ac:dyDescent="0.3">
      <c r="A1816" t="s">
        <v>442</v>
      </c>
      <c r="B1816" s="18">
        <v>45609</v>
      </c>
      <c r="C1816" t="s">
        <v>39</v>
      </c>
      <c r="D1816" t="s">
        <v>154</v>
      </c>
      <c r="E1816">
        <v>538</v>
      </c>
      <c r="F1816">
        <v>82.58</v>
      </c>
      <c r="G1816" s="18">
        <v>45629</v>
      </c>
      <c r="H1816" s="18">
        <v>45627</v>
      </c>
      <c r="I1816">
        <v>538</v>
      </c>
      <c r="J1816">
        <v>44428.04</v>
      </c>
      <c r="K1816">
        <f>IF(tblPO[[#This Row],[Actual_Delivery_Date]]&lt;=tblPO[[#This Row],[Expected_Delivery_Date]],1,0)</f>
        <v>1</v>
      </c>
      <c r="L1816">
        <f>IF(tblPO[[#This Row],[Actual_Delivery_Date]]&gt;tblPO[[#This Row],[Expected_Delivery_Date]],1,0)</f>
        <v>0</v>
      </c>
      <c r="M1816">
        <f>tblPO[[#This Row],[Actual_Delivery_Date]]-tblPO[[#This Row],[PO_Date]]</f>
        <v>18</v>
      </c>
    </row>
    <row r="1817" spans="1:13" x14ac:dyDescent="0.3">
      <c r="A1817" t="s">
        <v>441</v>
      </c>
      <c r="B1817" s="18">
        <v>45617</v>
      </c>
      <c r="C1817" t="s">
        <v>51</v>
      </c>
      <c r="D1817" t="s">
        <v>172</v>
      </c>
      <c r="E1817">
        <v>290</v>
      </c>
      <c r="F1817">
        <v>26.15</v>
      </c>
      <c r="G1817" s="18">
        <v>45635</v>
      </c>
      <c r="H1817" s="18">
        <v>45633</v>
      </c>
      <c r="I1817">
        <v>290</v>
      </c>
      <c r="J1817">
        <v>7583.5</v>
      </c>
      <c r="K1817">
        <f>IF(tblPO[[#This Row],[Actual_Delivery_Date]]&lt;=tblPO[[#This Row],[Expected_Delivery_Date]],1,0)</f>
        <v>1</v>
      </c>
      <c r="L1817">
        <f>IF(tblPO[[#This Row],[Actual_Delivery_Date]]&gt;tblPO[[#This Row],[Expected_Delivery_Date]],1,0)</f>
        <v>0</v>
      </c>
      <c r="M1817">
        <f>tblPO[[#This Row],[Actual_Delivery_Date]]-tblPO[[#This Row],[PO_Date]]</f>
        <v>16</v>
      </c>
    </row>
    <row r="1818" spans="1:13" x14ac:dyDescent="0.3">
      <c r="A1818" t="s">
        <v>440</v>
      </c>
      <c r="B1818" s="18">
        <v>45619</v>
      </c>
      <c r="C1818" t="s">
        <v>49</v>
      </c>
      <c r="D1818" t="s">
        <v>185</v>
      </c>
      <c r="E1818">
        <v>621</v>
      </c>
      <c r="F1818">
        <v>7.4</v>
      </c>
      <c r="G1818" s="18">
        <v>45625</v>
      </c>
      <c r="H1818" s="18">
        <v>45624</v>
      </c>
      <c r="I1818">
        <v>621</v>
      </c>
      <c r="J1818">
        <v>4595.3999999999996</v>
      </c>
      <c r="K1818">
        <f>IF(tblPO[[#This Row],[Actual_Delivery_Date]]&lt;=tblPO[[#This Row],[Expected_Delivery_Date]],1,0)</f>
        <v>1</v>
      </c>
      <c r="L1818">
        <f>IF(tblPO[[#This Row],[Actual_Delivery_Date]]&gt;tblPO[[#This Row],[Expected_Delivery_Date]],1,0)</f>
        <v>0</v>
      </c>
      <c r="M1818">
        <f>tblPO[[#This Row],[Actual_Delivery_Date]]-tblPO[[#This Row],[PO_Date]]</f>
        <v>5</v>
      </c>
    </row>
    <row r="1819" spans="1:13" x14ac:dyDescent="0.3">
      <c r="A1819" t="s">
        <v>439</v>
      </c>
      <c r="B1819" s="18">
        <v>45604</v>
      </c>
      <c r="C1819" t="s">
        <v>43</v>
      </c>
      <c r="D1819" t="s">
        <v>176</v>
      </c>
      <c r="E1819">
        <v>159</v>
      </c>
      <c r="F1819">
        <v>36.479999999999997</v>
      </c>
      <c r="G1819" s="18">
        <v>45616</v>
      </c>
      <c r="H1819" s="18">
        <v>45614</v>
      </c>
      <c r="I1819">
        <v>159</v>
      </c>
      <c r="J1819">
        <v>5800.32</v>
      </c>
      <c r="K1819">
        <f>IF(tblPO[[#This Row],[Actual_Delivery_Date]]&lt;=tblPO[[#This Row],[Expected_Delivery_Date]],1,0)</f>
        <v>1</v>
      </c>
      <c r="L1819">
        <f>IF(tblPO[[#This Row],[Actual_Delivery_Date]]&gt;tblPO[[#This Row],[Expected_Delivery_Date]],1,0)</f>
        <v>0</v>
      </c>
      <c r="M1819">
        <f>tblPO[[#This Row],[Actual_Delivery_Date]]-tblPO[[#This Row],[PO_Date]]</f>
        <v>10</v>
      </c>
    </row>
    <row r="1820" spans="1:13" x14ac:dyDescent="0.3">
      <c r="A1820" t="s">
        <v>438</v>
      </c>
      <c r="B1820" s="18">
        <v>45615</v>
      </c>
      <c r="C1820" t="s">
        <v>68</v>
      </c>
      <c r="D1820" t="s">
        <v>156</v>
      </c>
      <c r="E1820">
        <v>678</v>
      </c>
      <c r="F1820">
        <v>44.38</v>
      </c>
      <c r="G1820" s="18">
        <v>45623</v>
      </c>
      <c r="H1820" s="18">
        <v>45620</v>
      </c>
      <c r="I1820">
        <v>678</v>
      </c>
      <c r="J1820">
        <v>30089.64</v>
      </c>
      <c r="K1820">
        <f>IF(tblPO[[#This Row],[Actual_Delivery_Date]]&lt;=tblPO[[#This Row],[Expected_Delivery_Date]],1,0)</f>
        <v>1</v>
      </c>
      <c r="L1820">
        <f>IF(tblPO[[#This Row],[Actual_Delivery_Date]]&gt;tblPO[[#This Row],[Expected_Delivery_Date]],1,0)</f>
        <v>0</v>
      </c>
      <c r="M1820">
        <f>tblPO[[#This Row],[Actual_Delivery_Date]]-tblPO[[#This Row],[PO_Date]]</f>
        <v>5</v>
      </c>
    </row>
    <row r="1821" spans="1:13" x14ac:dyDescent="0.3">
      <c r="A1821" t="s">
        <v>437</v>
      </c>
      <c r="B1821" s="18">
        <v>45621</v>
      </c>
      <c r="C1821" t="s">
        <v>45</v>
      </c>
      <c r="D1821" t="s">
        <v>251</v>
      </c>
      <c r="E1821">
        <v>756</v>
      </c>
      <c r="F1821">
        <v>79.63</v>
      </c>
      <c r="G1821" s="18">
        <v>45637</v>
      </c>
      <c r="H1821" s="18">
        <v>45634</v>
      </c>
      <c r="I1821">
        <v>756</v>
      </c>
      <c r="J1821">
        <v>60200.28</v>
      </c>
      <c r="K1821">
        <f>IF(tblPO[[#This Row],[Actual_Delivery_Date]]&lt;=tblPO[[#This Row],[Expected_Delivery_Date]],1,0)</f>
        <v>1</v>
      </c>
      <c r="L1821">
        <f>IF(tblPO[[#This Row],[Actual_Delivery_Date]]&gt;tblPO[[#This Row],[Expected_Delivery_Date]],1,0)</f>
        <v>0</v>
      </c>
      <c r="M1821">
        <f>tblPO[[#This Row],[Actual_Delivery_Date]]-tblPO[[#This Row],[PO_Date]]</f>
        <v>13</v>
      </c>
    </row>
    <row r="1822" spans="1:13" x14ac:dyDescent="0.3">
      <c r="A1822" t="s">
        <v>436</v>
      </c>
      <c r="B1822" s="18">
        <v>45620</v>
      </c>
      <c r="C1822" t="s">
        <v>38</v>
      </c>
      <c r="D1822" t="s">
        <v>241</v>
      </c>
      <c r="E1822">
        <v>11</v>
      </c>
      <c r="F1822">
        <v>3099.77</v>
      </c>
      <c r="G1822" s="18">
        <v>45636</v>
      </c>
      <c r="H1822" s="18">
        <v>45635</v>
      </c>
      <c r="I1822">
        <v>11</v>
      </c>
      <c r="J1822">
        <v>34097.47</v>
      </c>
      <c r="K1822">
        <f>IF(tblPO[[#This Row],[Actual_Delivery_Date]]&lt;=tblPO[[#This Row],[Expected_Delivery_Date]],1,0)</f>
        <v>1</v>
      </c>
      <c r="L1822">
        <f>IF(tblPO[[#This Row],[Actual_Delivery_Date]]&gt;tblPO[[#This Row],[Expected_Delivery_Date]],1,0)</f>
        <v>0</v>
      </c>
      <c r="M1822">
        <f>tblPO[[#This Row],[Actual_Delivery_Date]]-tblPO[[#This Row],[PO_Date]]</f>
        <v>15</v>
      </c>
    </row>
    <row r="1823" spans="1:13" x14ac:dyDescent="0.3">
      <c r="A1823" t="s">
        <v>435</v>
      </c>
      <c r="B1823" s="18">
        <v>45615</v>
      </c>
      <c r="C1823" t="s">
        <v>38</v>
      </c>
      <c r="D1823" t="s">
        <v>227</v>
      </c>
      <c r="E1823">
        <v>21</v>
      </c>
      <c r="F1823">
        <v>1266.98</v>
      </c>
      <c r="G1823" s="18">
        <v>45629</v>
      </c>
      <c r="H1823" s="18">
        <v>45629</v>
      </c>
      <c r="I1823">
        <v>21</v>
      </c>
      <c r="J1823">
        <v>26606.58</v>
      </c>
      <c r="K1823">
        <f>IF(tblPO[[#This Row],[Actual_Delivery_Date]]&lt;=tblPO[[#This Row],[Expected_Delivery_Date]],1,0)</f>
        <v>1</v>
      </c>
      <c r="L1823">
        <f>IF(tblPO[[#This Row],[Actual_Delivery_Date]]&gt;tblPO[[#This Row],[Expected_Delivery_Date]],1,0)</f>
        <v>0</v>
      </c>
      <c r="M1823">
        <f>tblPO[[#This Row],[Actual_Delivery_Date]]-tblPO[[#This Row],[PO_Date]]</f>
        <v>14</v>
      </c>
    </row>
    <row r="1824" spans="1:13" x14ac:dyDescent="0.3">
      <c r="A1824" t="s">
        <v>434</v>
      </c>
      <c r="B1824" s="18">
        <v>45608</v>
      </c>
      <c r="C1824" t="s">
        <v>45</v>
      </c>
      <c r="D1824" t="s">
        <v>237</v>
      </c>
      <c r="E1824">
        <v>394</v>
      </c>
      <c r="F1824">
        <v>82.43</v>
      </c>
      <c r="G1824" s="18">
        <v>45626</v>
      </c>
      <c r="H1824" s="18">
        <v>45625</v>
      </c>
      <c r="I1824">
        <v>394</v>
      </c>
      <c r="J1824">
        <v>32477.42</v>
      </c>
      <c r="K1824">
        <f>IF(tblPO[[#This Row],[Actual_Delivery_Date]]&lt;=tblPO[[#This Row],[Expected_Delivery_Date]],1,0)</f>
        <v>1</v>
      </c>
      <c r="L1824">
        <f>IF(tblPO[[#This Row],[Actual_Delivery_Date]]&gt;tblPO[[#This Row],[Expected_Delivery_Date]],1,0)</f>
        <v>0</v>
      </c>
      <c r="M1824">
        <f>tblPO[[#This Row],[Actual_Delivery_Date]]-tblPO[[#This Row],[PO_Date]]</f>
        <v>17</v>
      </c>
    </row>
    <row r="1825" spans="1:13" x14ac:dyDescent="0.3">
      <c r="A1825" t="s">
        <v>433</v>
      </c>
      <c r="B1825" s="18">
        <v>45619</v>
      </c>
      <c r="C1825" t="s">
        <v>62</v>
      </c>
      <c r="D1825" t="s">
        <v>197</v>
      </c>
      <c r="E1825">
        <v>14</v>
      </c>
      <c r="F1825">
        <v>269.93</v>
      </c>
      <c r="G1825" s="18">
        <v>45624</v>
      </c>
      <c r="H1825" s="18">
        <v>45622</v>
      </c>
      <c r="I1825">
        <v>14</v>
      </c>
      <c r="J1825">
        <v>3779.02</v>
      </c>
      <c r="K1825">
        <f>IF(tblPO[[#This Row],[Actual_Delivery_Date]]&lt;=tblPO[[#This Row],[Expected_Delivery_Date]],1,0)</f>
        <v>1</v>
      </c>
      <c r="L1825">
        <f>IF(tblPO[[#This Row],[Actual_Delivery_Date]]&gt;tblPO[[#This Row],[Expected_Delivery_Date]],1,0)</f>
        <v>0</v>
      </c>
      <c r="M1825">
        <f>tblPO[[#This Row],[Actual_Delivery_Date]]-tblPO[[#This Row],[PO_Date]]</f>
        <v>3</v>
      </c>
    </row>
    <row r="1826" spans="1:13" x14ac:dyDescent="0.3">
      <c r="A1826" t="s">
        <v>432</v>
      </c>
      <c r="B1826" s="18">
        <v>45614</v>
      </c>
      <c r="C1826" t="s">
        <v>45</v>
      </c>
      <c r="D1826" t="s">
        <v>249</v>
      </c>
      <c r="E1826">
        <v>472</v>
      </c>
      <c r="F1826">
        <v>66.790000000000006</v>
      </c>
      <c r="G1826" s="18">
        <v>45619</v>
      </c>
      <c r="H1826" s="18">
        <v>45619</v>
      </c>
      <c r="I1826">
        <v>472</v>
      </c>
      <c r="J1826">
        <v>31524.880000000001</v>
      </c>
      <c r="K1826">
        <f>IF(tblPO[[#This Row],[Actual_Delivery_Date]]&lt;=tblPO[[#This Row],[Expected_Delivery_Date]],1,0)</f>
        <v>1</v>
      </c>
      <c r="L1826">
        <f>IF(tblPO[[#This Row],[Actual_Delivery_Date]]&gt;tblPO[[#This Row],[Expected_Delivery_Date]],1,0)</f>
        <v>0</v>
      </c>
      <c r="M1826">
        <f>tblPO[[#This Row],[Actual_Delivery_Date]]-tblPO[[#This Row],[PO_Date]]</f>
        <v>5</v>
      </c>
    </row>
    <row r="1827" spans="1:13" x14ac:dyDescent="0.3">
      <c r="A1827" t="s">
        <v>431</v>
      </c>
      <c r="B1827" s="18">
        <v>45608</v>
      </c>
      <c r="C1827" t="s">
        <v>47</v>
      </c>
      <c r="D1827" t="s">
        <v>237</v>
      </c>
      <c r="E1827">
        <v>273</v>
      </c>
      <c r="F1827">
        <v>71.739999999999995</v>
      </c>
      <c r="G1827" s="18">
        <v>45614</v>
      </c>
      <c r="H1827" s="18">
        <v>45611</v>
      </c>
      <c r="I1827">
        <v>273</v>
      </c>
      <c r="J1827">
        <v>19585.02</v>
      </c>
      <c r="K1827">
        <f>IF(tblPO[[#This Row],[Actual_Delivery_Date]]&lt;=tblPO[[#This Row],[Expected_Delivery_Date]],1,0)</f>
        <v>1</v>
      </c>
      <c r="L1827">
        <f>IF(tblPO[[#This Row],[Actual_Delivery_Date]]&gt;tblPO[[#This Row],[Expected_Delivery_Date]],1,0)</f>
        <v>0</v>
      </c>
      <c r="M1827">
        <f>tblPO[[#This Row],[Actual_Delivery_Date]]-tblPO[[#This Row],[PO_Date]]</f>
        <v>3</v>
      </c>
    </row>
    <row r="1828" spans="1:13" x14ac:dyDescent="0.3">
      <c r="A1828" t="s">
        <v>430</v>
      </c>
      <c r="B1828" s="18">
        <v>45617</v>
      </c>
      <c r="C1828" t="s">
        <v>38</v>
      </c>
      <c r="D1828" t="s">
        <v>225</v>
      </c>
      <c r="E1828">
        <v>81</v>
      </c>
      <c r="F1828">
        <v>213.32</v>
      </c>
      <c r="G1828" s="18">
        <v>45634</v>
      </c>
      <c r="H1828" s="18">
        <v>45631</v>
      </c>
      <c r="I1828">
        <v>81</v>
      </c>
      <c r="J1828">
        <v>17278.919999999998</v>
      </c>
      <c r="K1828">
        <f>IF(tblPO[[#This Row],[Actual_Delivery_Date]]&lt;=tblPO[[#This Row],[Expected_Delivery_Date]],1,0)</f>
        <v>1</v>
      </c>
      <c r="L1828">
        <f>IF(tblPO[[#This Row],[Actual_Delivery_Date]]&gt;tblPO[[#This Row],[Expected_Delivery_Date]],1,0)</f>
        <v>0</v>
      </c>
      <c r="M1828">
        <f>tblPO[[#This Row],[Actual_Delivery_Date]]-tblPO[[#This Row],[PO_Date]]</f>
        <v>14</v>
      </c>
    </row>
    <row r="1829" spans="1:13" x14ac:dyDescent="0.3">
      <c r="A1829" t="s">
        <v>429</v>
      </c>
      <c r="B1829" s="18">
        <v>45622</v>
      </c>
      <c r="C1829" t="s">
        <v>52</v>
      </c>
      <c r="D1829" t="s">
        <v>237</v>
      </c>
      <c r="E1829">
        <v>145</v>
      </c>
      <c r="F1829">
        <v>86.12</v>
      </c>
      <c r="G1829" s="18">
        <v>45633</v>
      </c>
      <c r="H1829" s="18">
        <v>45631</v>
      </c>
      <c r="I1829">
        <v>138</v>
      </c>
      <c r="J1829">
        <v>12487.4</v>
      </c>
      <c r="K1829">
        <f>IF(tblPO[[#This Row],[Actual_Delivery_Date]]&lt;=tblPO[[#This Row],[Expected_Delivery_Date]],1,0)</f>
        <v>1</v>
      </c>
      <c r="L1829">
        <f>IF(tblPO[[#This Row],[Actual_Delivery_Date]]&gt;tblPO[[#This Row],[Expected_Delivery_Date]],1,0)</f>
        <v>0</v>
      </c>
      <c r="M1829">
        <f>tblPO[[#This Row],[Actual_Delivery_Date]]-tblPO[[#This Row],[PO_Date]]</f>
        <v>9</v>
      </c>
    </row>
    <row r="1830" spans="1:13" x14ac:dyDescent="0.3">
      <c r="A1830" t="s">
        <v>428</v>
      </c>
      <c r="B1830" s="18">
        <v>45620</v>
      </c>
      <c r="C1830" t="s">
        <v>52</v>
      </c>
      <c r="D1830" t="s">
        <v>217</v>
      </c>
      <c r="E1830">
        <v>762</v>
      </c>
      <c r="F1830">
        <v>26.44</v>
      </c>
      <c r="G1830" s="18">
        <v>45623</v>
      </c>
      <c r="H1830" s="18">
        <v>45623</v>
      </c>
      <c r="I1830">
        <v>762</v>
      </c>
      <c r="J1830">
        <v>20147.28</v>
      </c>
      <c r="K1830">
        <f>IF(tblPO[[#This Row],[Actual_Delivery_Date]]&lt;=tblPO[[#This Row],[Expected_Delivery_Date]],1,0)</f>
        <v>1</v>
      </c>
      <c r="L1830">
        <f>IF(tblPO[[#This Row],[Actual_Delivery_Date]]&gt;tblPO[[#This Row],[Expected_Delivery_Date]],1,0)</f>
        <v>0</v>
      </c>
      <c r="M1830">
        <f>tblPO[[#This Row],[Actual_Delivery_Date]]-tblPO[[#This Row],[PO_Date]]</f>
        <v>3</v>
      </c>
    </row>
    <row r="1831" spans="1:13" x14ac:dyDescent="0.3">
      <c r="A1831" t="s">
        <v>427</v>
      </c>
      <c r="B1831" s="18">
        <v>45600</v>
      </c>
      <c r="C1831" t="s">
        <v>63</v>
      </c>
      <c r="D1831" t="s">
        <v>170</v>
      </c>
      <c r="E1831">
        <v>388</v>
      </c>
      <c r="F1831">
        <v>102.2</v>
      </c>
      <c r="G1831" s="18">
        <v>45614</v>
      </c>
      <c r="H1831" s="18">
        <v>45612</v>
      </c>
      <c r="I1831">
        <v>388</v>
      </c>
      <c r="J1831">
        <v>39653.599999999999</v>
      </c>
      <c r="K1831">
        <f>IF(tblPO[[#This Row],[Actual_Delivery_Date]]&lt;=tblPO[[#This Row],[Expected_Delivery_Date]],1,0)</f>
        <v>1</v>
      </c>
      <c r="L1831">
        <f>IF(tblPO[[#This Row],[Actual_Delivery_Date]]&gt;tblPO[[#This Row],[Expected_Delivery_Date]],1,0)</f>
        <v>0</v>
      </c>
      <c r="M1831">
        <f>tblPO[[#This Row],[Actual_Delivery_Date]]-tblPO[[#This Row],[PO_Date]]</f>
        <v>12</v>
      </c>
    </row>
    <row r="1832" spans="1:13" x14ac:dyDescent="0.3">
      <c r="A1832" t="s">
        <v>426</v>
      </c>
      <c r="B1832" s="18">
        <v>45608</v>
      </c>
      <c r="C1832" t="s">
        <v>45</v>
      </c>
      <c r="D1832" t="s">
        <v>235</v>
      </c>
      <c r="E1832">
        <v>763</v>
      </c>
      <c r="F1832">
        <v>69.31</v>
      </c>
      <c r="G1832" s="18">
        <v>45622</v>
      </c>
      <c r="H1832" s="18">
        <v>45620</v>
      </c>
      <c r="I1832">
        <v>679</v>
      </c>
      <c r="J1832">
        <v>52883.53</v>
      </c>
      <c r="K1832">
        <f>IF(tblPO[[#This Row],[Actual_Delivery_Date]]&lt;=tblPO[[#This Row],[Expected_Delivery_Date]],1,0)</f>
        <v>1</v>
      </c>
      <c r="L1832">
        <f>IF(tblPO[[#This Row],[Actual_Delivery_Date]]&gt;tblPO[[#This Row],[Expected_Delivery_Date]],1,0)</f>
        <v>0</v>
      </c>
      <c r="M1832">
        <f>tblPO[[#This Row],[Actual_Delivery_Date]]-tblPO[[#This Row],[PO_Date]]</f>
        <v>12</v>
      </c>
    </row>
    <row r="1833" spans="1:13" x14ac:dyDescent="0.3">
      <c r="A1833" t="s">
        <v>425</v>
      </c>
      <c r="B1833" s="18">
        <v>45603</v>
      </c>
      <c r="C1833" t="s">
        <v>53</v>
      </c>
      <c r="D1833" t="s">
        <v>90</v>
      </c>
      <c r="E1833">
        <v>5</v>
      </c>
      <c r="F1833">
        <v>32384.71</v>
      </c>
      <c r="G1833" s="18">
        <v>45620</v>
      </c>
      <c r="H1833" s="18">
        <v>45618</v>
      </c>
      <c r="I1833">
        <v>5</v>
      </c>
      <c r="J1833">
        <v>161923.54999999999</v>
      </c>
      <c r="K1833">
        <f>IF(tblPO[[#This Row],[Actual_Delivery_Date]]&lt;=tblPO[[#This Row],[Expected_Delivery_Date]],1,0)</f>
        <v>1</v>
      </c>
      <c r="L1833">
        <f>IF(tblPO[[#This Row],[Actual_Delivery_Date]]&gt;tblPO[[#This Row],[Expected_Delivery_Date]],1,0)</f>
        <v>0</v>
      </c>
      <c r="M1833">
        <f>tblPO[[#This Row],[Actual_Delivery_Date]]-tblPO[[#This Row],[PO_Date]]</f>
        <v>15</v>
      </c>
    </row>
    <row r="1834" spans="1:13" x14ac:dyDescent="0.3">
      <c r="A1834" t="s">
        <v>424</v>
      </c>
      <c r="B1834" s="18">
        <v>45603</v>
      </c>
      <c r="C1834" t="s">
        <v>41</v>
      </c>
      <c r="D1834" t="s">
        <v>185</v>
      </c>
      <c r="E1834">
        <v>1794</v>
      </c>
      <c r="F1834">
        <v>7.62</v>
      </c>
      <c r="G1834" s="18">
        <v>45612</v>
      </c>
      <c r="H1834" s="18">
        <v>45612</v>
      </c>
      <c r="I1834">
        <v>1667</v>
      </c>
      <c r="J1834">
        <v>13670.28</v>
      </c>
      <c r="K1834">
        <f>IF(tblPO[[#This Row],[Actual_Delivery_Date]]&lt;=tblPO[[#This Row],[Expected_Delivery_Date]],1,0)</f>
        <v>1</v>
      </c>
      <c r="L1834">
        <f>IF(tblPO[[#This Row],[Actual_Delivery_Date]]&gt;tblPO[[#This Row],[Expected_Delivery_Date]],1,0)</f>
        <v>0</v>
      </c>
      <c r="M1834">
        <f>tblPO[[#This Row],[Actual_Delivery_Date]]-tblPO[[#This Row],[PO_Date]]</f>
        <v>9</v>
      </c>
    </row>
    <row r="1835" spans="1:13" x14ac:dyDescent="0.3">
      <c r="A1835" t="s">
        <v>423</v>
      </c>
      <c r="B1835" s="18">
        <v>45620</v>
      </c>
      <c r="C1835" t="s">
        <v>70</v>
      </c>
      <c r="D1835" t="s">
        <v>190</v>
      </c>
      <c r="E1835">
        <v>40</v>
      </c>
      <c r="F1835">
        <v>103.68</v>
      </c>
      <c r="G1835" s="18">
        <v>45629</v>
      </c>
      <c r="H1835" s="18">
        <v>45628</v>
      </c>
      <c r="I1835">
        <v>40</v>
      </c>
      <c r="J1835">
        <v>4147.2</v>
      </c>
      <c r="K1835">
        <f>IF(tblPO[[#This Row],[Actual_Delivery_Date]]&lt;=tblPO[[#This Row],[Expected_Delivery_Date]],1,0)</f>
        <v>1</v>
      </c>
      <c r="L1835">
        <f>IF(tblPO[[#This Row],[Actual_Delivery_Date]]&gt;tblPO[[#This Row],[Expected_Delivery_Date]],1,0)</f>
        <v>0</v>
      </c>
      <c r="M1835">
        <f>tblPO[[#This Row],[Actual_Delivery_Date]]-tblPO[[#This Row],[PO_Date]]</f>
        <v>8</v>
      </c>
    </row>
    <row r="1836" spans="1:13" x14ac:dyDescent="0.3">
      <c r="A1836" t="s">
        <v>422</v>
      </c>
      <c r="B1836" s="18">
        <v>45623</v>
      </c>
      <c r="C1836" t="s">
        <v>38</v>
      </c>
      <c r="D1836" t="s">
        <v>225</v>
      </c>
      <c r="E1836">
        <v>26</v>
      </c>
      <c r="F1836">
        <v>213.91</v>
      </c>
      <c r="G1836" s="18">
        <v>45631</v>
      </c>
      <c r="H1836" s="18">
        <v>45628</v>
      </c>
      <c r="I1836">
        <v>26</v>
      </c>
      <c r="J1836">
        <v>5561.66</v>
      </c>
      <c r="K1836">
        <f>IF(tblPO[[#This Row],[Actual_Delivery_Date]]&lt;=tblPO[[#This Row],[Expected_Delivery_Date]],1,0)</f>
        <v>1</v>
      </c>
      <c r="L1836">
        <f>IF(tblPO[[#This Row],[Actual_Delivery_Date]]&gt;tblPO[[#This Row],[Expected_Delivery_Date]],1,0)</f>
        <v>0</v>
      </c>
      <c r="M1836">
        <f>tblPO[[#This Row],[Actual_Delivery_Date]]-tblPO[[#This Row],[PO_Date]]</f>
        <v>5</v>
      </c>
    </row>
    <row r="1837" spans="1:13" x14ac:dyDescent="0.3">
      <c r="A1837" t="s">
        <v>421</v>
      </c>
      <c r="B1837" s="18">
        <v>45623</v>
      </c>
      <c r="C1837" t="s">
        <v>42</v>
      </c>
      <c r="D1837" t="s">
        <v>110</v>
      </c>
      <c r="E1837">
        <v>23</v>
      </c>
      <c r="F1837">
        <v>5504.51</v>
      </c>
      <c r="G1837" s="18">
        <v>45648</v>
      </c>
      <c r="H1837" s="18">
        <v>45646</v>
      </c>
      <c r="I1837">
        <v>23</v>
      </c>
      <c r="J1837">
        <v>126603.73</v>
      </c>
      <c r="K1837">
        <f>IF(tblPO[[#This Row],[Actual_Delivery_Date]]&lt;=tblPO[[#This Row],[Expected_Delivery_Date]],1,0)</f>
        <v>1</v>
      </c>
      <c r="L1837">
        <f>IF(tblPO[[#This Row],[Actual_Delivery_Date]]&gt;tblPO[[#This Row],[Expected_Delivery_Date]],1,0)</f>
        <v>0</v>
      </c>
      <c r="M1837">
        <f>tblPO[[#This Row],[Actual_Delivery_Date]]-tblPO[[#This Row],[PO_Date]]</f>
        <v>23</v>
      </c>
    </row>
    <row r="1838" spans="1:13" x14ac:dyDescent="0.3">
      <c r="A1838" t="s">
        <v>420</v>
      </c>
      <c r="B1838" s="18">
        <v>45604</v>
      </c>
      <c r="C1838" t="s">
        <v>55</v>
      </c>
      <c r="D1838" t="s">
        <v>243</v>
      </c>
      <c r="E1838">
        <v>121</v>
      </c>
      <c r="F1838">
        <v>200.23</v>
      </c>
      <c r="G1838" s="18">
        <v>45621</v>
      </c>
      <c r="H1838" s="18">
        <v>45620</v>
      </c>
      <c r="I1838">
        <v>121</v>
      </c>
      <c r="J1838">
        <v>24227.83</v>
      </c>
      <c r="K1838">
        <f>IF(tblPO[[#This Row],[Actual_Delivery_Date]]&lt;=tblPO[[#This Row],[Expected_Delivery_Date]],1,0)</f>
        <v>1</v>
      </c>
      <c r="L1838">
        <f>IF(tblPO[[#This Row],[Actual_Delivery_Date]]&gt;tblPO[[#This Row],[Expected_Delivery_Date]],1,0)</f>
        <v>0</v>
      </c>
      <c r="M1838">
        <f>tblPO[[#This Row],[Actual_Delivery_Date]]-tblPO[[#This Row],[PO_Date]]</f>
        <v>16</v>
      </c>
    </row>
    <row r="1839" spans="1:13" x14ac:dyDescent="0.3">
      <c r="A1839" t="s">
        <v>419</v>
      </c>
      <c r="B1839" s="18">
        <v>45611</v>
      </c>
      <c r="C1839" t="s">
        <v>59</v>
      </c>
      <c r="D1839" t="s">
        <v>106</v>
      </c>
      <c r="E1839">
        <v>4</v>
      </c>
      <c r="F1839">
        <v>14239.94</v>
      </c>
      <c r="G1839" s="18">
        <v>45627</v>
      </c>
      <c r="H1839" s="18">
        <v>45627</v>
      </c>
      <c r="I1839">
        <v>4</v>
      </c>
      <c r="J1839">
        <v>56959.76</v>
      </c>
      <c r="K1839">
        <f>IF(tblPO[[#This Row],[Actual_Delivery_Date]]&lt;=tblPO[[#This Row],[Expected_Delivery_Date]],1,0)</f>
        <v>1</v>
      </c>
      <c r="L1839">
        <f>IF(tblPO[[#This Row],[Actual_Delivery_Date]]&gt;tblPO[[#This Row],[Expected_Delivery_Date]],1,0)</f>
        <v>0</v>
      </c>
      <c r="M1839">
        <f>tblPO[[#This Row],[Actual_Delivery_Date]]-tblPO[[#This Row],[PO_Date]]</f>
        <v>16</v>
      </c>
    </row>
    <row r="1840" spans="1:13" x14ac:dyDescent="0.3">
      <c r="A1840" t="s">
        <v>418</v>
      </c>
      <c r="B1840" s="18">
        <v>45622</v>
      </c>
      <c r="C1840" t="s">
        <v>40</v>
      </c>
      <c r="D1840" t="s">
        <v>134</v>
      </c>
      <c r="E1840">
        <v>25</v>
      </c>
      <c r="F1840">
        <v>4447.5</v>
      </c>
      <c r="G1840" s="18">
        <v>45625</v>
      </c>
      <c r="H1840" s="18">
        <v>45624</v>
      </c>
      <c r="I1840">
        <v>25</v>
      </c>
      <c r="J1840">
        <v>111187.5</v>
      </c>
      <c r="K1840">
        <f>IF(tblPO[[#This Row],[Actual_Delivery_Date]]&lt;=tblPO[[#This Row],[Expected_Delivery_Date]],1,0)</f>
        <v>1</v>
      </c>
      <c r="L1840">
        <f>IF(tblPO[[#This Row],[Actual_Delivery_Date]]&gt;tblPO[[#This Row],[Expected_Delivery_Date]],1,0)</f>
        <v>0</v>
      </c>
      <c r="M1840">
        <f>tblPO[[#This Row],[Actual_Delivery_Date]]-tblPO[[#This Row],[PO_Date]]</f>
        <v>2</v>
      </c>
    </row>
    <row r="1841" spans="1:13" x14ac:dyDescent="0.3">
      <c r="A1841" t="s">
        <v>417</v>
      </c>
      <c r="B1841" s="18">
        <v>45624</v>
      </c>
      <c r="C1841" t="s">
        <v>44</v>
      </c>
      <c r="D1841" t="s">
        <v>193</v>
      </c>
      <c r="E1841">
        <v>143</v>
      </c>
      <c r="F1841">
        <v>28.62</v>
      </c>
      <c r="G1841" s="18">
        <v>45654</v>
      </c>
      <c r="H1841" s="18">
        <v>45652</v>
      </c>
      <c r="I1841">
        <v>143</v>
      </c>
      <c r="J1841">
        <v>4092.66</v>
      </c>
      <c r="K1841">
        <f>IF(tblPO[[#This Row],[Actual_Delivery_Date]]&lt;=tblPO[[#This Row],[Expected_Delivery_Date]],1,0)</f>
        <v>1</v>
      </c>
      <c r="L1841">
        <f>IF(tblPO[[#This Row],[Actual_Delivery_Date]]&gt;tblPO[[#This Row],[Expected_Delivery_Date]],1,0)</f>
        <v>0</v>
      </c>
      <c r="M1841">
        <f>tblPO[[#This Row],[Actual_Delivery_Date]]-tblPO[[#This Row],[PO_Date]]</f>
        <v>28</v>
      </c>
    </row>
    <row r="1842" spans="1:13" x14ac:dyDescent="0.3">
      <c r="A1842" t="s">
        <v>416</v>
      </c>
      <c r="B1842" s="18">
        <v>45624</v>
      </c>
      <c r="C1842" t="s">
        <v>38</v>
      </c>
      <c r="D1842" t="s">
        <v>237</v>
      </c>
      <c r="E1842">
        <v>596</v>
      </c>
      <c r="F1842">
        <v>89.67</v>
      </c>
      <c r="G1842" s="18">
        <v>45630</v>
      </c>
      <c r="H1842" s="18">
        <v>45630</v>
      </c>
      <c r="I1842">
        <v>596</v>
      </c>
      <c r="J1842">
        <v>53443.32</v>
      </c>
      <c r="K1842">
        <f>IF(tblPO[[#This Row],[Actual_Delivery_Date]]&lt;=tblPO[[#This Row],[Expected_Delivery_Date]],1,0)</f>
        <v>1</v>
      </c>
      <c r="L1842">
        <f>IF(tblPO[[#This Row],[Actual_Delivery_Date]]&gt;tblPO[[#This Row],[Expected_Delivery_Date]],1,0)</f>
        <v>0</v>
      </c>
      <c r="M1842">
        <f>tblPO[[#This Row],[Actual_Delivery_Date]]-tblPO[[#This Row],[PO_Date]]</f>
        <v>6</v>
      </c>
    </row>
    <row r="1843" spans="1:13" x14ac:dyDescent="0.3">
      <c r="A1843" t="s">
        <v>415</v>
      </c>
      <c r="B1843" s="18">
        <v>45598</v>
      </c>
      <c r="C1843" t="s">
        <v>39</v>
      </c>
      <c r="D1843" t="s">
        <v>158</v>
      </c>
      <c r="E1843">
        <v>44</v>
      </c>
      <c r="F1843">
        <v>132.01</v>
      </c>
      <c r="G1843" s="18">
        <v>45626</v>
      </c>
      <c r="H1843" s="18">
        <v>45624</v>
      </c>
      <c r="I1843">
        <v>44</v>
      </c>
      <c r="J1843">
        <v>5808.44</v>
      </c>
      <c r="K1843">
        <f>IF(tblPO[[#This Row],[Actual_Delivery_Date]]&lt;=tblPO[[#This Row],[Expected_Delivery_Date]],1,0)</f>
        <v>1</v>
      </c>
      <c r="L1843">
        <f>IF(tblPO[[#This Row],[Actual_Delivery_Date]]&gt;tblPO[[#This Row],[Expected_Delivery_Date]],1,0)</f>
        <v>0</v>
      </c>
      <c r="M1843">
        <f>tblPO[[#This Row],[Actual_Delivery_Date]]-tblPO[[#This Row],[PO_Date]]</f>
        <v>26</v>
      </c>
    </row>
    <row r="1844" spans="1:13" x14ac:dyDescent="0.3">
      <c r="A1844" t="s">
        <v>414</v>
      </c>
      <c r="B1844" s="18">
        <v>45624</v>
      </c>
      <c r="C1844" t="s">
        <v>59</v>
      </c>
      <c r="D1844" t="s">
        <v>104</v>
      </c>
      <c r="E1844">
        <v>140</v>
      </c>
      <c r="F1844">
        <v>294.3</v>
      </c>
      <c r="G1844" s="18">
        <v>45629</v>
      </c>
      <c r="H1844" s="18">
        <v>45626</v>
      </c>
      <c r="I1844">
        <v>140</v>
      </c>
      <c r="J1844">
        <v>41202</v>
      </c>
      <c r="K1844">
        <f>IF(tblPO[[#This Row],[Actual_Delivery_Date]]&lt;=tblPO[[#This Row],[Expected_Delivery_Date]],1,0)</f>
        <v>1</v>
      </c>
      <c r="L1844">
        <f>IF(tblPO[[#This Row],[Actual_Delivery_Date]]&gt;tblPO[[#This Row],[Expected_Delivery_Date]],1,0)</f>
        <v>0</v>
      </c>
      <c r="M1844">
        <f>tblPO[[#This Row],[Actual_Delivery_Date]]-tblPO[[#This Row],[PO_Date]]</f>
        <v>2</v>
      </c>
    </row>
    <row r="1845" spans="1:13" x14ac:dyDescent="0.3">
      <c r="A1845" t="s">
        <v>413</v>
      </c>
      <c r="B1845" s="18">
        <v>45607</v>
      </c>
      <c r="C1845" t="s">
        <v>55</v>
      </c>
      <c r="D1845" t="s">
        <v>217</v>
      </c>
      <c r="E1845">
        <v>317</v>
      </c>
      <c r="F1845">
        <v>30.34</v>
      </c>
      <c r="G1845" s="18">
        <v>45636</v>
      </c>
      <c r="H1845" s="18">
        <v>45634</v>
      </c>
      <c r="I1845">
        <v>296</v>
      </c>
      <c r="J1845">
        <v>9617.7800000000007</v>
      </c>
      <c r="K1845">
        <f>IF(tblPO[[#This Row],[Actual_Delivery_Date]]&lt;=tblPO[[#This Row],[Expected_Delivery_Date]],1,0)</f>
        <v>1</v>
      </c>
      <c r="L1845">
        <f>IF(tblPO[[#This Row],[Actual_Delivery_Date]]&gt;tblPO[[#This Row],[Expected_Delivery_Date]],1,0)</f>
        <v>0</v>
      </c>
      <c r="M1845">
        <f>tblPO[[#This Row],[Actual_Delivery_Date]]-tblPO[[#This Row],[PO_Date]]</f>
        <v>27</v>
      </c>
    </row>
    <row r="1846" spans="1:13" x14ac:dyDescent="0.3">
      <c r="A1846" t="s">
        <v>412</v>
      </c>
      <c r="B1846" s="18">
        <v>45619</v>
      </c>
      <c r="C1846" t="s">
        <v>64</v>
      </c>
      <c r="D1846" t="s">
        <v>115</v>
      </c>
      <c r="E1846">
        <v>9</v>
      </c>
      <c r="F1846">
        <v>2187.19</v>
      </c>
      <c r="G1846" s="18">
        <v>45624</v>
      </c>
      <c r="H1846" s="18">
        <v>45624</v>
      </c>
      <c r="I1846">
        <v>8</v>
      </c>
      <c r="J1846">
        <v>19684.71</v>
      </c>
      <c r="K1846">
        <f>IF(tblPO[[#This Row],[Actual_Delivery_Date]]&lt;=tblPO[[#This Row],[Expected_Delivery_Date]],1,0)</f>
        <v>1</v>
      </c>
      <c r="L1846">
        <f>IF(tblPO[[#This Row],[Actual_Delivery_Date]]&gt;tblPO[[#This Row],[Expected_Delivery_Date]],1,0)</f>
        <v>0</v>
      </c>
      <c r="M1846">
        <f>tblPO[[#This Row],[Actual_Delivery_Date]]-tblPO[[#This Row],[PO_Date]]</f>
        <v>5</v>
      </c>
    </row>
    <row r="1847" spans="1:13" x14ac:dyDescent="0.3">
      <c r="A1847" t="s">
        <v>411</v>
      </c>
      <c r="B1847" s="18">
        <v>45611</v>
      </c>
      <c r="C1847" t="s">
        <v>44</v>
      </c>
      <c r="D1847" t="s">
        <v>193</v>
      </c>
      <c r="E1847">
        <v>379</v>
      </c>
      <c r="F1847">
        <v>27.74</v>
      </c>
      <c r="G1847" s="18">
        <v>45628</v>
      </c>
      <c r="H1847" s="18">
        <v>45627</v>
      </c>
      <c r="I1847">
        <v>365</v>
      </c>
      <c r="J1847">
        <v>10513.46</v>
      </c>
      <c r="K1847">
        <f>IF(tblPO[[#This Row],[Actual_Delivery_Date]]&lt;=tblPO[[#This Row],[Expected_Delivery_Date]],1,0)</f>
        <v>1</v>
      </c>
      <c r="L1847">
        <f>IF(tblPO[[#This Row],[Actual_Delivery_Date]]&gt;tblPO[[#This Row],[Expected_Delivery_Date]],1,0)</f>
        <v>0</v>
      </c>
      <c r="M1847">
        <f>tblPO[[#This Row],[Actual_Delivery_Date]]-tblPO[[#This Row],[PO_Date]]</f>
        <v>16</v>
      </c>
    </row>
    <row r="1848" spans="1:13" x14ac:dyDescent="0.3">
      <c r="A1848" t="s">
        <v>410</v>
      </c>
      <c r="B1848" s="18">
        <v>45619</v>
      </c>
      <c r="C1848" t="s">
        <v>46</v>
      </c>
      <c r="D1848" t="s">
        <v>86</v>
      </c>
      <c r="E1848">
        <v>180</v>
      </c>
      <c r="F1848">
        <v>336.77</v>
      </c>
      <c r="G1848" s="18">
        <v>45631</v>
      </c>
      <c r="H1848" s="18">
        <v>45628</v>
      </c>
      <c r="I1848">
        <v>180</v>
      </c>
      <c r="J1848">
        <v>60618.6</v>
      </c>
      <c r="K1848">
        <f>IF(tblPO[[#This Row],[Actual_Delivery_Date]]&lt;=tblPO[[#This Row],[Expected_Delivery_Date]],1,0)</f>
        <v>1</v>
      </c>
      <c r="L1848">
        <f>IF(tblPO[[#This Row],[Actual_Delivery_Date]]&gt;tblPO[[#This Row],[Expected_Delivery_Date]],1,0)</f>
        <v>0</v>
      </c>
      <c r="M1848">
        <f>tblPO[[#This Row],[Actual_Delivery_Date]]-tblPO[[#This Row],[PO_Date]]</f>
        <v>9</v>
      </c>
    </row>
    <row r="1849" spans="1:13" x14ac:dyDescent="0.3">
      <c r="A1849" t="s">
        <v>409</v>
      </c>
      <c r="B1849" s="18">
        <v>45615</v>
      </c>
      <c r="C1849" t="s">
        <v>45</v>
      </c>
      <c r="D1849" t="s">
        <v>241</v>
      </c>
      <c r="E1849">
        <v>22</v>
      </c>
      <c r="F1849">
        <v>3102.64</v>
      </c>
      <c r="G1849" s="18">
        <v>45620</v>
      </c>
      <c r="H1849" s="18">
        <v>45618</v>
      </c>
      <c r="I1849">
        <v>22</v>
      </c>
      <c r="J1849">
        <v>68258.080000000002</v>
      </c>
      <c r="K1849">
        <f>IF(tblPO[[#This Row],[Actual_Delivery_Date]]&lt;=tblPO[[#This Row],[Expected_Delivery_Date]],1,0)</f>
        <v>1</v>
      </c>
      <c r="L1849">
        <f>IF(tblPO[[#This Row],[Actual_Delivery_Date]]&gt;tblPO[[#This Row],[Expected_Delivery_Date]],1,0)</f>
        <v>0</v>
      </c>
      <c r="M1849">
        <f>tblPO[[#This Row],[Actual_Delivery_Date]]-tblPO[[#This Row],[PO_Date]]</f>
        <v>3</v>
      </c>
    </row>
    <row r="1850" spans="1:13" x14ac:dyDescent="0.3">
      <c r="A1850" t="s">
        <v>408</v>
      </c>
      <c r="B1850" s="18">
        <v>45617</v>
      </c>
      <c r="C1850" t="s">
        <v>51</v>
      </c>
      <c r="D1850" t="s">
        <v>152</v>
      </c>
      <c r="E1850">
        <v>601</v>
      </c>
      <c r="F1850">
        <v>72.400000000000006</v>
      </c>
      <c r="G1850" s="18">
        <v>45631</v>
      </c>
      <c r="H1850" s="18">
        <v>45628</v>
      </c>
      <c r="I1850">
        <v>601</v>
      </c>
      <c r="J1850">
        <v>43512.4</v>
      </c>
      <c r="K1850">
        <f>IF(tblPO[[#This Row],[Actual_Delivery_Date]]&lt;=tblPO[[#This Row],[Expected_Delivery_Date]],1,0)</f>
        <v>1</v>
      </c>
      <c r="L1850">
        <f>IF(tblPO[[#This Row],[Actual_Delivery_Date]]&gt;tblPO[[#This Row],[Expected_Delivery_Date]],1,0)</f>
        <v>0</v>
      </c>
      <c r="M1850">
        <f>tblPO[[#This Row],[Actual_Delivery_Date]]-tblPO[[#This Row],[PO_Date]]</f>
        <v>11</v>
      </c>
    </row>
    <row r="1851" spans="1:13" x14ac:dyDescent="0.3">
      <c r="A1851" t="s">
        <v>407</v>
      </c>
      <c r="B1851" s="18">
        <v>45600</v>
      </c>
      <c r="C1851" t="s">
        <v>43</v>
      </c>
      <c r="D1851" t="s">
        <v>166</v>
      </c>
      <c r="E1851">
        <v>738</v>
      </c>
      <c r="F1851">
        <v>72.7</v>
      </c>
      <c r="G1851" s="18">
        <v>45612</v>
      </c>
      <c r="H1851" s="18">
        <v>45611</v>
      </c>
      <c r="I1851">
        <v>738</v>
      </c>
      <c r="J1851">
        <v>53652.6</v>
      </c>
      <c r="K1851">
        <f>IF(tblPO[[#This Row],[Actual_Delivery_Date]]&lt;=tblPO[[#This Row],[Expected_Delivery_Date]],1,0)</f>
        <v>1</v>
      </c>
      <c r="L1851">
        <f>IF(tblPO[[#This Row],[Actual_Delivery_Date]]&gt;tblPO[[#This Row],[Expected_Delivery_Date]],1,0)</f>
        <v>0</v>
      </c>
      <c r="M1851">
        <f>tblPO[[#This Row],[Actual_Delivery_Date]]-tblPO[[#This Row],[PO_Date]]</f>
        <v>11</v>
      </c>
    </row>
    <row r="1852" spans="1:13" x14ac:dyDescent="0.3">
      <c r="A1852" t="s">
        <v>406</v>
      </c>
      <c r="B1852" s="18">
        <v>45618</v>
      </c>
      <c r="C1852" t="s">
        <v>63</v>
      </c>
      <c r="D1852" t="s">
        <v>160</v>
      </c>
      <c r="E1852">
        <v>664</v>
      </c>
      <c r="F1852">
        <v>124.64</v>
      </c>
      <c r="G1852" s="18">
        <v>45648</v>
      </c>
      <c r="H1852" s="18">
        <v>45647</v>
      </c>
      <c r="I1852">
        <v>664</v>
      </c>
      <c r="J1852">
        <v>82760.960000000006</v>
      </c>
      <c r="K1852">
        <f>IF(tblPO[[#This Row],[Actual_Delivery_Date]]&lt;=tblPO[[#This Row],[Expected_Delivery_Date]],1,0)</f>
        <v>1</v>
      </c>
      <c r="L1852">
        <f>IF(tblPO[[#This Row],[Actual_Delivery_Date]]&gt;tblPO[[#This Row],[Expected_Delivery_Date]],1,0)</f>
        <v>0</v>
      </c>
      <c r="M1852">
        <f>tblPO[[#This Row],[Actual_Delivery_Date]]-tblPO[[#This Row],[PO_Date]]</f>
        <v>29</v>
      </c>
    </row>
    <row r="1853" spans="1:13" x14ac:dyDescent="0.3">
      <c r="A1853" t="s">
        <v>405</v>
      </c>
      <c r="B1853" s="18">
        <v>45602</v>
      </c>
      <c r="C1853" t="s">
        <v>50</v>
      </c>
      <c r="D1853" t="s">
        <v>113</v>
      </c>
      <c r="E1853">
        <v>48</v>
      </c>
      <c r="F1853">
        <v>500.1</v>
      </c>
      <c r="G1853" s="18">
        <v>45614</v>
      </c>
      <c r="H1853" s="18">
        <v>45611</v>
      </c>
      <c r="I1853">
        <v>48</v>
      </c>
      <c r="J1853">
        <v>24004.799999999999</v>
      </c>
      <c r="K1853">
        <f>IF(tblPO[[#This Row],[Actual_Delivery_Date]]&lt;=tblPO[[#This Row],[Expected_Delivery_Date]],1,0)</f>
        <v>1</v>
      </c>
      <c r="L1853">
        <f>IF(tblPO[[#This Row],[Actual_Delivery_Date]]&gt;tblPO[[#This Row],[Expected_Delivery_Date]],1,0)</f>
        <v>0</v>
      </c>
      <c r="M1853">
        <f>tblPO[[#This Row],[Actual_Delivery_Date]]-tblPO[[#This Row],[PO_Date]]</f>
        <v>9</v>
      </c>
    </row>
    <row r="1854" spans="1:13" x14ac:dyDescent="0.3">
      <c r="A1854" t="s">
        <v>404</v>
      </c>
      <c r="B1854" s="18">
        <v>45611</v>
      </c>
      <c r="C1854" t="s">
        <v>38</v>
      </c>
      <c r="D1854" t="s">
        <v>221</v>
      </c>
      <c r="E1854">
        <v>15</v>
      </c>
      <c r="F1854">
        <v>1878.3</v>
      </c>
      <c r="G1854" s="18">
        <v>45614</v>
      </c>
      <c r="H1854" s="18">
        <v>45611</v>
      </c>
      <c r="I1854">
        <v>13</v>
      </c>
      <c r="J1854">
        <v>28174.5</v>
      </c>
      <c r="K1854">
        <f>IF(tblPO[[#This Row],[Actual_Delivery_Date]]&lt;=tblPO[[#This Row],[Expected_Delivery_Date]],1,0)</f>
        <v>1</v>
      </c>
      <c r="L1854">
        <f>IF(tblPO[[#This Row],[Actual_Delivery_Date]]&gt;tblPO[[#This Row],[Expected_Delivery_Date]],1,0)</f>
        <v>0</v>
      </c>
      <c r="M1854">
        <f>tblPO[[#This Row],[Actual_Delivery_Date]]-tblPO[[#This Row],[PO_Date]]</f>
        <v>0</v>
      </c>
    </row>
    <row r="1855" spans="1:13" x14ac:dyDescent="0.3">
      <c r="A1855" t="s">
        <v>403</v>
      </c>
      <c r="B1855" s="18">
        <v>45607</v>
      </c>
      <c r="C1855" t="s">
        <v>48</v>
      </c>
      <c r="D1855" t="s">
        <v>170</v>
      </c>
      <c r="E1855">
        <v>701</v>
      </c>
      <c r="F1855">
        <v>100.41</v>
      </c>
      <c r="G1855" s="18">
        <v>45621</v>
      </c>
      <c r="H1855" s="18">
        <v>45620</v>
      </c>
      <c r="I1855">
        <v>701</v>
      </c>
      <c r="J1855">
        <v>70387.41</v>
      </c>
      <c r="K1855">
        <f>IF(tblPO[[#This Row],[Actual_Delivery_Date]]&lt;=tblPO[[#This Row],[Expected_Delivery_Date]],1,0)</f>
        <v>1</v>
      </c>
      <c r="L1855">
        <f>IF(tblPO[[#This Row],[Actual_Delivery_Date]]&gt;tblPO[[#This Row],[Expected_Delivery_Date]],1,0)</f>
        <v>0</v>
      </c>
      <c r="M1855">
        <f>tblPO[[#This Row],[Actual_Delivery_Date]]-tblPO[[#This Row],[PO_Date]]</f>
        <v>13</v>
      </c>
    </row>
    <row r="1856" spans="1:13" x14ac:dyDescent="0.3">
      <c r="A1856" t="s">
        <v>402</v>
      </c>
      <c r="B1856" s="18">
        <v>45604</v>
      </c>
      <c r="C1856" t="s">
        <v>51</v>
      </c>
      <c r="D1856" t="s">
        <v>164</v>
      </c>
      <c r="E1856">
        <v>41</v>
      </c>
      <c r="F1856">
        <v>105.21</v>
      </c>
      <c r="G1856" s="18">
        <v>45620</v>
      </c>
      <c r="H1856" s="18">
        <v>45619</v>
      </c>
      <c r="I1856">
        <v>41</v>
      </c>
      <c r="J1856">
        <v>4313.6099999999997</v>
      </c>
      <c r="K1856">
        <f>IF(tblPO[[#This Row],[Actual_Delivery_Date]]&lt;=tblPO[[#This Row],[Expected_Delivery_Date]],1,0)</f>
        <v>1</v>
      </c>
      <c r="L1856">
        <f>IF(tblPO[[#This Row],[Actual_Delivery_Date]]&gt;tblPO[[#This Row],[Expected_Delivery_Date]],1,0)</f>
        <v>0</v>
      </c>
      <c r="M1856">
        <f>tblPO[[#This Row],[Actual_Delivery_Date]]-tblPO[[#This Row],[PO_Date]]</f>
        <v>15</v>
      </c>
    </row>
    <row r="1857" spans="1:13" x14ac:dyDescent="0.3">
      <c r="A1857" t="s">
        <v>401</v>
      </c>
      <c r="B1857" s="18">
        <v>45608</v>
      </c>
      <c r="C1857" t="s">
        <v>45</v>
      </c>
      <c r="D1857" t="s">
        <v>231</v>
      </c>
      <c r="E1857">
        <v>22</v>
      </c>
      <c r="F1857">
        <v>136.31</v>
      </c>
      <c r="G1857" s="18">
        <v>45620</v>
      </c>
      <c r="H1857" s="18">
        <v>45620</v>
      </c>
      <c r="I1857">
        <v>22</v>
      </c>
      <c r="J1857">
        <v>2998.82</v>
      </c>
      <c r="K1857">
        <f>IF(tblPO[[#This Row],[Actual_Delivery_Date]]&lt;=tblPO[[#This Row],[Expected_Delivery_Date]],1,0)</f>
        <v>1</v>
      </c>
      <c r="L1857">
        <f>IF(tblPO[[#This Row],[Actual_Delivery_Date]]&gt;tblPO[[#This Row],[Expected_Delivery_Date]],1,0)</f>
        <v>0</v>
      </c>
      <c r="M1857">
        <f>tblPO[[#This Row],[Actual_Delivery_Date]]-tblPO[[#This Row],[PO_Date]]</f>
        <v>12</v>
      </c>
    </row>
    <row r="1858" spans="1:13" x14ac:dyDescent="0.3">
      <c r="A1858" t="s">
        <v>400</v>
      </c>
      <c r="B1858" s="18">
        <v>45612</v>
      </c>
      <c r="C1858" t="s">
        <v>62</v>
      </c>
      <c r="D1858" t="s">
        <v>193</v>
      </c>
      <c r="E1858">
        <v>690</v>
      </c>
      <c r="F1858">
        <v>33.11</v>
      </c>
      <c r="G1858" s="18">
        <v>45616</v>
      </c>
      <c r="H1858" s="18">
        <v>45614</v>
      </c>
      <c r="I1858">
        <v>690</v>
      </c>
      <c r="J1858">
        <v>22845.9</v>
      </c>
      <c r="K1858">
        <f>IF(tblPO[[#This Row],[Actual_Delivery_Date]]&lt;=tblPO[[#This Row],[Expected_Delivery_Date]],1,0)</f>
        <v>1</v>
      </c>
      <c r="L1858">
        <f>IF(tblPO[[#This Row],[Actual_Delivery_Date]]&gt;tblPO[[#This Row],[Expected_Delivery_Date]],1,0)</f>
        <v>0</v>
      </c>
      <c r="M1858">
        <f>tblPO[[#This Row],[Actual_Delivery_Date]]-tblPO[[#This Row],[PO_Date]]</f>
        <v>2</v>
      </c>
    </row>
    <row r="1859" spans="1:13" x14ac:dyDescent="0.3">
      <c r="A1859" t="s">
        <v>399</v>
      </c>
      <c r="B1859" s="18">
        <v>45616</v>
      </c>
      <c r="C1859" t="s">
        <v>41</v>
      </c>
      <c r="D1859" t="s">
        <v>181</v>
      </c>
      <c r="E1859">
        <v>1042</v>
      </c>
      <c r="F1859">
        <v>4.18</v>
      </c>
      <c r="G1859" s="18">
        <v>45630</v>
      </c>
      <c r="H1859" s="18">
        <v>45627</v>
      </c>
      <c r="I1859">
        <v>1042</v>
      </c>
      <c r="J1859">
        <v>4355.5600000000004</v>
      </c>
      <c r="K1859">
        <f>IF(tblPO[[#This Row],[Actual_Delivery_Date]]&lt;=tblPO[[#This Row],[Expected_Delivery_Date]],1,0)</f>
        <v>1</v>
      </c>
      <c r="L1859">
        <f>IF(tblPO[[#This Row],[Actual_Delivery_Date]]&gt;tblPO[[#This Row],[Expected_Delivery_Date]],1,0)</f>
        <v>0</v>
      </c>
      <c r="M1859">
        <f>tblPO[[#This Row],[Actual_Delivery_Date]]-tblPO[[#This Row],[PO_Date]]</f>
        <v>11</v>
      </c>
    </row>
    <row r="1860" spans="1:13" x14ac:dyDescent="0.3">
      <c r="A1860" t="s">
        <v>398</v>
      </c>
      <c r="B1860" s="18">
        <v>45602</v>
      </c>
      <c r="C1860" t="s">
        <v>39</v>
      </c>
      <c r="D1860" t="s">
        <v>152</v>
      </c>
      <c r="E1860">
        <v>588</v>
      </c>
      <c r="F1860">
        <v>104.97</v>
      </c>
      <c r="G1860" s="18">
        <v>45618</v>
      </c>
      <c r="H1860" s="18">
        <v>45617</v>
      </c>
      <c r="I1860">
        <v>588</v>
      </c>
      <c r="J1860">
        <v>61722.36</v>
      </c>
      <c r="K1860">
        <f>IF(tblPO[[#This Row],[Actual_Delivery_Date]]&lt;=tblPO[[#This Row],[Expected_Delivery_Date]],1,0)</f>
        <v>1</v>
      </c>
      <c r="L1860">
        <f>IF(tblPO[[#This Row],[Actual_Delivery_Date]]&gt;tblPO[[#This Row],[Expected_Delivery_Date]],1,0)</f>
        <v>0</v>
      </c>
      <c r="M1860">
        <f>tblPO[[#This Row],[Actual_Delivery_Date]]-tblPO[[#This Row],[PO_Date]]</f>
        <v>15</v>
      </c>
    </row>
    <row r="1861" spans="1:13" x14ac:dyDescent="0.3">
      <c r="A1861" t="s">
        <v>397</v>
      </c>
      <c r="B1861" s="18">
        <v>45605</v>
      </c>
      <c r="C1861" t="s">
        <v>41</v>
      </c>
      <c r="D1861" t="s">
        <v>179</v>
      </c>
      <c r="E1861">
        <v>451</v>
      </c>
      <c r="F1861">
        <v>19.63</v>
      </c>
      <c r="G1861" s="18">
        <v>45611</v>
      </c>
      <c r="H1861" s="18">
        <v>45608</v>
      </c>
      <c r="I1861">
        <v>451</v>
      </c>
      <c r="J1861">
        <v>8853.1299999999992</v>
      </c>
      <c r="K1861">
        <f>IF(tblPO[[#This Row],[Actual_Delivery_Date]]&lt;=tblPO[[#This Row],[Expected_Delivery_Date]],1,0)</f>
        <v>1</v>
      </c>
      <c r="L1861">
        <f>IF(tblPO[[#This Row],[Actual_Delivery_Date]]&gt;tblPO[[#This Row],[Expected_Delivery_Date]],1,0)</f>
        <v>0</v>
      </c>
      <c r="M1861">
        <f>tblPO[[#This Row],[Actual_Delivery_Date]]-tblPO[[#This Row],[PO_Date]]</f>
        <v>3</v>
      </c>
    </row>
    <row r="1862" spans="1:13" x14ac:dyDescent="0.3">
      <c r="A1862" t="s">
        <v>396</v>
      </c>
      <c r="B1862" s="18">
        <v>45656</v>
      </c>
      <c r="C1862" t="s">
        <v>53</v>
      </c>
      <c r="D1862" t="s">
        <v>92</v>
      </c>
      <c r="E1862">
        <v>25</v>
      </c>
      <c r="F1862">
        <v>4237.05</v>
      </c>
      <c r="G1862" s="18">
        <v>45681</v>
      </c>
      <c r="H1862" s="18">
        <v>45686</v>
      </c>
      <c r="I1862">
        <v>25</v>
      </c>
      <c r="J1862">
        <v>105926.25</v>
      </c>
      <c r="K1862">
        <f>IF(tblPO[[#This Row],[Actual_Delivery_Date]]&lt;=tblPO[[#This Row],[Expected_Delivery_Date]],1,0)</f>
        <v>0</v>
      </c>
      <c r="L1862">
        <f>IF(tblPO[[#This Row],[Actual_Delivery_Date]]&gt;tblPO[[#This Row],[Expected_Delivery_Date]],1,0)</f>
        <v>1</v>
      </c>
      <c r="M1862">
        <f>tblPO[[#This Row],[Actual_Delivery_Date]]-tblPO[[#This Row],[PO_Date]]</f>
        <v>30</v>
      </c>
    </row>
    <row r="1863" spans="1:13" x14ac:dyDescent="0.3">
      <c r="A1863" t="s">
        <v>395</v>
      </c>
      <c r="B1863" s="18">
        <v>45631</v>
      </c>
      <c r="C1863" t="s">
        <v>67</v>
      </c>
      <c r="D1863" t="s">
        <v>98</v>
      </c>
      <c r="E1863">
        <v>13</v>
      </c>
      <c r="F1863">
        <v>8924.68</v>
      </c>
      <c r="G1863" s="18">
        <v>45644</v>
      </c>
      <c r="H1863" s="18">
        <v>45641</v>
      </c>
      <c r="I1863">
        <v>13</v>
      </c>
      <c r="J1863">
        <v>116020.84</v>
      </c>
      <c r="K1863">
        <f>IF(tblPO[[#This Row],[Actual_Delivery_Date]]&lt;=tblPO[[#This Row],[Expected_Delivery_Date]],1,0)</f>
        <v>1</v>
      </c>
      <c r="L1863">
        <f>IF(tblPO[[#This Row],[Actual_Delivery_Date]]&gt;tblPO[[#This Row],[Expected_Delivery_Date]],1,0)</f>
        <v>0</v>
      </c>
      <c r="M1863">
        <f>tblPO[[#This Row],[Actual_Delivery_Date]]-tblPO[[#This Row],[PO_Date]]</f>
        <v>10</v>
      </c>
    </row>
    <row r="1864" spans="1:13" x14ac:dyDescent="0.3">
      <c r="A1864" t="s">
        <v>394</v>
      </c>
      <c r="B1864" s="18">
        <v>45636</v>
      </c>
      <c r="C1864" t="s">
        <v>50</v>
      </c>
      <c r="D1864" t="s">
        <v>115</v>
      </c>
      <c r="E1864">
        <v>20</v>
      </c>
      <c r="F1864">
        <v>3270.78</v>
      </c>
      <c r="G1864" s="18">
        <v>45642</v>
      </c>
      <c r="H1864" s="18">
        <v>45640</v>
      </c>
      <c r="I1864">
        <v>20</v>
      </c>
      <c r="J1864">
        <v>65415.6</v>
      </c>
      <c r="K1864">
        <f>IF(tblPO[[#This Row],[Actual_Delivery_Date]]&lt;=tblPO[[#This Row],[Expected_Delivery_Date]],1,0)</f>
        <v>1</v>
      </c>
      <c r="L1864">
        <f>IF(tblPO[[#This Row],[Actual_Delivery_Date]]&gt;tblPO[[#This Row],[Expected_Delivery_Date]],1,0)</f>
        <v>0</v>
      </c>
      <c r="M1864">
        <f>tblPO[[#This Row],[Actual_Delivery_Date]]-tblPO[[#This Row],[PO_Date]]</f>
        <v>4</v>
      </c>
    </row>
    <row r="1865" spans="1:13" x14ac:dyDescent="0.3">
      <c r="A1865" t="s">
        <v>393</v>
      </c>
      <c r="B1865" s="18">
        <v>45645</v>
      </c>
      <c r="C1865" t="s">
        <v>47</v>
      </c>
      <c r="D1865" t="s">
        <v>219</v>
      </c>
      <c r="E1865">
        <v>77</v>
      </c>
      <c r="F1865">
        <v>75.86</v>
      </c>
      <c r="G1865" s="18">
        <v>45652</v>
      </c>
      <c r="H1865" s="18">
        <v>45656</v>
      </c>
      <c r="I1865">
        <v>77</v>
      </c>
      <c r="J1865">
        <v>5841.22</v>
      </c>
      <c r="K1865">
        <f>IF(tblPO[[#This Row],[Actual_Delivery_Date]]&lt;=tblPO[[#This Row],[Expected_Delivery_Date]],1,0)</f>
        <v>0</v>
      </c>
      <c r="L1865">
        <f>IF(tblPO[[#This Row],[Actual_Delivery_Date]]&gt;tblPO[[#This Row],[Expected_Delivery_Date]],1,0)</f>
        <v>1</v>
      </c>
      <c r="M1865">
        <f>tblPO[[#This Row],[Actual_Delivery_Date]]-tblPO[[#This Row],[PO_Date]]</f>
        <v>11</v>
      </c>
    </row>
    <row r="1866" spans="1:13" x14ac:dyDescent="0.3">
      <c r="A1866" t="s">
        <v>392</v>
      </c>
      <c r="B1866" s="18">
        <v>45646</v>
      </c>
      <c r="C1866" t="s">
        <v>45</v>
      </c>
      <c r="D1866" t="s">
        <v>241</v>
      </c>
      <c r="E1866">
        <v>21</v>
      </c>
      <c r="F1866">
        <v>3147.4</v>
      </c>
      <c r="G1866" s="18">
        <v>45653</v>
      </c>
      <c r="H1866" s="18">
        <v>45653</v>
      </c>
      <c r="I1866">
        <v>21</v>
      </c>
      <c r="J1866">
        <v>66095.399999999994</v>
      </c>
      <c r="K1866">
        <f>IF(tblPO[[#This Row],[Actual_Delivery_Date]]&lt;=tblPO[[#This Row],[Expected_Delivery_Date]],1,0)</f>
        <v>1</v>
      </c>
      <c r="L1866">
        <f>IF(tblPO[[#This Row],[Actual_Delivery_Date]]&gt;tblPO[[#This Row],[Expected_Delivery_Date]],1,0)</f>
        <v>0</v>
      </c>
      <c r="M1866">
        <f>tblPO[[#This Row],[Actual_Delivery_Date]]-tblPO[[#This Row],[PO_Date]]</f>
        <v>7</v>
      </c>
    </row>
    <row r="1867" spans="1:13" x14ac:dyDescent="0.3">
      <c r="A1867" t="s">
        <v>391</v>
      </c>
      <c r="B1867" s="18">
        <v>45635</v>
      </c>
      <c r="C1867" t="s">
        <v>60</v>
      </c>
      <c r="D1867" t="s">
        <v>132</v>
      </c>
      <c r="E1867">
        <v>4</v>
      </c>
      <c r="F1867">
        <v>2002.82</v>
      </c>
      <c r="G1867" s="18">
        <v>45639</v>
      </c>
      <c r="H1867" s="18">
        <v>45642</v>
      </c>
      <c r="I1867">
        <v>4</v>
      </c>
      <c r="J1867">
        <v>8011.28</v>
      </c>
      <c r="K1867">
        <f>IF(tblPO[[#This Row],[Actual_Delivery_Date]]&lt;=tblPO[[#This Row],[Expected_Delivery_Date]],1,0)</f>
        <v>0</v>
      </c>
      <c r="L1867">
        <f>IF(tblPO[[#This Row],[Actual_Delivery_Date]]&gt;tblPO[[#This Row],[Expected_Delivery_Date]],1,0)</f>
        <v>1</v>
      </c>
      <c r="M1867">
        <f>tblPO[[#This Row],[Actual_Delivery_Date]]-tblPO[[#This Row],[PO_Date]]</f>
        <v>7</v>
      </c>
    </row>
    <row r="1868" spans="1:13" x14ac:dyDescent="0.3">
      <c r="A1868" t="s">
        <v>390</v>
      </c>
      <c r="B1868" s="18">
        <v>45653</v>
      </c>
      <c r="C1868" t="s">
        <v>41</v>
      </c>
      <c r="D1868" t="s">
        <v>193</v>
      </c>
      <c r="E1868">
        <v>93</v>
      </c>
      <c r="F1868">
        <v>31.96</v>
      </c>
      <c r="G1868" s="18">
        <v>45667</v>
      </c>
      <c r="H1868" s="18">
        <v>45666</v>
      </c>
      <c r="I1868">
        <v>93</v>
      </c>
      <c r="J1868">
        <v>2972.28</v>
      </c>
      <c r="K1868">
        <f>IF(tblPO[[#This Row],[Actual_Delivery_Date]]&lt;=tblPO[[#This Row],[Expected_Delivery_Date]],1,0)</f>
        <v>1</v>
      </c>
      <c r="L1868">
        <f>IF(tblPO[[#This Row],[Actual_Delivery_Date]]&gt;tblPO[[#This Row],[Expected_Delivery_Date]],1,0)</f>
        <v>0</v>
      </c>
      <c r="M1868">
        <f>tblPO[[#This Row],[Actual_Delivery_Date]]-tblPO[[#This Row],[PO_Date]]</f>
        <v>13</v>
      </c>
    </row>
    <row r="1869" spans="1:13" x14ac:dyDescent="0.3">
      <c r="A1869" t="s">
        <v>389</v>
      </c>
      <c r="B1869" s="18">
        <v>45657</v>
      </c>
      <c r="C1869" t="s">
        <v>40</v>
      </c>
      <c r="D1869" t="s">
        <v>113</v>
      </c>
      <c r="E1869">
        <v>121</v>
      </c>
      <c r="F1869">
        <v>499.79</v>
      </c>
      <c r="G1869" s="18">
        <v>45661</v>
      </c>
      <c r="H1869" s="18">
        <v>45658</v>
      </c>
      <c r="I1869">
        <v>121</v>
      </c>
      <c r="J1869">
        <v>60474.59</v>
      </c>
      <c r="K1869">
        <f>IF(tblPO[[#This Row],[Actual_Delivery_Date]]&lt;=tblPO[[#This Row],[Expected_Delivery_Date]],1,0)</f>
        <v>1</v>
      </c>
      <c r="L1869">
        <f>IF(tblPO[[#This Row],[Actual_Delivery_Date]]&gt;tblPO[[#This Row],[Expected_Delivery_Date]],1,0)</f>
        <v>0</v>
      </c>
      <c r="M1869">
        <f>tblPO[[#This Row],[Actual_Delivery_Date]]-tblPO[[#This Row],[PO_Date]]</f>
        <v>1</v>
      </c>
    </row>
    <row r="1870" spans="1:13" x14ac:dyDescent="0.3">
      <c r="A1870" t="s">
        <v>388</v>
      </c>
      <c r="B1870" s="18">
        <v>45657</v>
      </c>
      <c r="C1870" t="s">
        <v>52</v>
      </c>
      <c r="D1870" t="s">
        <v>243</v>
      </c>
      <c r="E1870">
        <v>14</v>
      </c>
      <c r="F1870">
        <v>173.57</v>
      </c>
      <c r="G1870" s="18">
        <v>45661</v>
      </c>
      <c r="H1870" s="18">
        <v>45662</v>
      </c>
      <c r="I1870">
        <v>14</v>
      </c>
      <c r="J1870">
        <v>2429.98</v>
      </c>
      <c r="K1870">
        <f>IF(tblPO[[#This Row],[Actual_Delivery_Date]]&lt;=tblPO[[#This Row],[Expected_Delivery_Date]],1,0)</f>
        <v>0</v>
      </c>
      <c r="L1870">
        <f>IF(tblPO[[#This Row],[Actual_Delivery_Date]]&gt;tblPO[[#This Row],[Expected_Delivery_Date]],1,0)</f>
        <v>1</v>
      </c>
      <c r="M1870">
        <f>tblPO[[#This Row],[Actual_Delivery_Date]]-tblPO[[#This Row],[PO_Date]]</f>
        <v>5</v>
      </c>
    </row>
    <row r="1871" spans="1:13" x14ac:dyDescent="0.3">
      <c r="A1871" t="s">
        <v>387</v>
      </c>
      <c r="B1871" s="18">
        <v>45655</v>
      </c>
      <c r="C1871" t="s">
        <v>40</v>
      </c>
      <c r="D1871" t="s">
        <v>136</v>
      </c>
      <c r="E1871">
        <v>111</v>
      </c>
      <c r="F1871">
        <v>674.93</v>
      </c>
      <c r="G1871" s="18">
        <v>45660</v>
      </c>
      <c r="H1871" s="18">
        <v>45657</v>
      </c>
      <c r="I1871">
        <v>111</v>
      </c>
      <c r="J1871">
        <v>74917.23</v>
      </c>
      <c r="K1871">
        <f>IF(tblPO[[#This Row],[Actual_Delivery_Date]]&lt;=tblPO[[#This Row],[Expected_Delivery_Date]],1,0)</f>
        <v>1</v>
      </c>
      <c r="L1871">
        <f>IF(tblPO[[#This Row],[Actual_Delivery_Date]]&gt;tblPO[[#This Row],[Expected_Delivery_Date]],1,0)</f>
        <v>0</v>
      </c>
      <c r="M1871">
        <f>tblPO[[#This Row],[Actual_Delivery_Date]]-tblPO[[#This Row],[PO_Date]]</f>
        <v>2</v>
      </c>
    </row>
    <row r="1872" spans="1:13" x14ac:dyDescent="0.3">
      <c r="A1872" t="s">
        <v>386</v>
      </c>
      <c r="B1872" s="18">
        <v>45657</v>
      </c>
      <c r="C1872" t="s">
        <v>50</v>
      </c>
      <c r="D1872" t="s">
        <v>121</v>
      </c>
      <c r="E1872">
        <v>92</v>
      </c>
      <c r="F1872">
        <v>691.14</v>
      </c>
      <c r="G1872" s="18">
        <v>45666</v>
      </c>
      <c r="H1872" s="18">
        <v>45664</v>
      </c>
      <c r="I1872">
        <v>92</v>
      </c>
      <c r="J1872">
        <v>63584.88</v>
      </c>
      <c r="K1872">
        <f>IF(tblPO[[#This Row],[Actual_Delivery_Date]]&lt;=tblPO[[#This Row],[Expected_Delivery_Date]],1,0)</f>
        <v>1</v>
      </c>
      <c r="L1872">
        <f>IF(tblPO[[#This Row],[Actual_Delivery_Date]]&gt;tblPO[[#This Row],[Expected_Delivery_Date]],1,0)</f>
        <v>0</v>
      </c>
      <c r="M1872">
        <f>tblPO[[#This Row],[Actual_Delivery_Date]]-tblPO[[#This Row],[PO_Date]]</f>
        <v>7</v>
      </c>
    </row>
    <row r="1873" spans="1:13" x14ac:dyDescent="0.3">
      <c r="A1873" t="s">
        <v>385</v>
      </c>
      <c r="B1873" s="18">
        <v>45628</v>
      </c>
      <c r="C1873" t="s">
        <v>43</v>
      </c>
      <c r="D1873" t="s">
        <v>168</v>
      </c>
      <c r="E1873">
        <v>414</v>
      </c>
      <c r="F1873">
        <v>60.36</v>
      </c>
      <c r="G1873" s="18">
        <v>45644</v>
      </c>
      <c r="H1873" s="18">
        <v>45642</v>
      </c>
      <c r="I1873">
        <v>414</v>
      </c>
      <c r="J1873">
        <v>24989.040000000001</v>
      </c>
      <c r="K1873">
        <f>IF(tblPO[[#This Row],[Actual_Delivery_Date]]&lt;=tblPO[[#This Row],[Expected_Delivery_Date]],1,0)</f>
        <v>1</v>
      </c>
      <c r="L1873">
        <f>IF(tblPO[[#This Row],[Actual_Delivery_Date]]&gt;tblPO[[#This Row],[Expected_Delivery_Date]],1,0)</f>
        <v>0</v>
      </c>
      <c r="M1873">
        <f>tblPO[[#This Row],[Actual_Delivery_Date]]-tblPO[[#This Row],[PO_Date]]</f>
        <v>14</v>
      </c>
    </row>
    <row r="1874" spans="1:13" x14ac:dyDescent="0.3">
      <c r="A1874" t="s">
        <v>384</v>
      </c>
      <c r="B1874" s="18">
        <v>45640</v>
      </c>
      <c r="C1874" t="s">
        <v>41</v>
      </c>
      <c r="D1874" t="s">
        <v>207</v>
      </c>
      <c r="E1874">
        <v>546</v>
      </c>
      <c r="F1874">
        <v>11.03</v>
      </c>
      <c r="G1874" s="18">
        <v>45647</v>
      </c>
      <c r="H1874" s="18">
        <v>45646</v>
      </c>
      <c r="I1874">
        <v>546</v>
      </c>
      <c r="J1874">
        <v>6022.38</v>
      </c>
      <c r="K1874">
        <f>IF(tblPO[[#This Row],[Actual_Delivery_Date]]&lt;=tblPO[[#This Row],[Expected_Delivery_Date]],1,0)</f>
        <v>1</v>
      </c>
      <c r="L1874">
        <f>IF(tblPO[[#This Row],[Actual_Delivery_Date]]&gt;tblPO[[#This Row],[Expected_Delivery_Date]],1,0)</f>
        <v>0</v>
      </c>
      <c r="M1874">
        <f>tblPO[[#This Row],[Actual_Delivery_Date]]-tblPO[[#This Row],[PO_Date]]</f>
        <v>6</v>
      </c>
    </row>
    <row r="1875" spans="1:13" x14ac:dyDescent="0.3">
      <c r="A1875" t="s">
        <v>383</v>
      </c>
      <c r="B1875" s="18">
        <v>45655</v>
      </c>
      <c r="C1875" t="s">
        <v>51</v>
      </c>
      <c r="D1875" t="s">
        <v>176</v>
      </c>
      <c r="E1875">
        <v>361</v>
      </c>
      <c r="F1875">
        <v>34.6</v>
      </c>
      <c r="G1875" s="18">
        <v>45658</v>
      </c>
      <c r="H1875" s="18">
        <v>45658</v>
      </c>
      <c r="I1875">
        <v>361</v>
      </c>
      <c r="J1875">
        <v>12490.6</v>
      </c>
      <c r="K1875">
        <f>IF(tblPO[[#This Row],[Actual_Delivery_Date]]&lt;=tblPO[[#This Row],[Expected_Delivery_Date]],1,0)</f>
        <v>1</v>
      </c>
      <c r="L1875">
        <f>IF(tblPO[[#This Row],[Actual_Delivery_Date]]&gt;tblPO[[#This Row],[Expected_Delivery_Date]],1,0)</f>
        <v>0</v>
      </c>
      <c r="M1875">
        <f>tblPO[[#This Row],[Actual_Delivery_Date]]-tblPO[[#This Row],[PO_Date]]</f>
        <v>3</v>
      </c>
    </row>
    <row r="1876" spans="1:13" x14ac:dyDescent="0.3">
      <c r="A1876" t="s">
        <v>382</v>
      </c>
      <c r="B1876" s="18">
        <v>45654</v>
      </c>
      <c r="C1876" t="s">
        <v>39</v>
      </c>
      <c r="D1876" t="s">
        <v>166</v>
      </c>
      <c r="E1876">
        <v>538</v>
      </c>
      <c r="F1876">
        <v>95.2</v>
      </c>
      <c r="G1876" s="18">
        <v>45683</v>
      </c>
      <c r="H1876" s="18">
        <v>45681</v>
      </c>
      <c r="I1876">
        <v>538</v>
      </c>
      <c r="J1876">
        <v>51217.599999999999</v>
      </c>
      <c r="K1876">
        <f>IF(tblPO[[#This Row],[Actual_Delivery_Date]]&lt;=tblPO[[#This Row],[Expected_Delivery_Date]],1,0)</f>
        <v>1</v>
      </c>
      <c r="L1876">
        <f>IF(tblPO[[#This Row],[Actual_Delivery_Date]]&gt;tblPO[[#This Row],[Expected_Delivery_Date]],1,0)</f>
        <v>0</v>
      </c>
      <c r="M1876">
        <f>tblPO[[#This Row],[Actual_Delivery_Date]]-tblPO[[#This Row],[PO_Date]]</f>
        <v>27</v>
      </c>
    </row>
    <row r="1877" spans="1:13" x14ac:dyDescent="0.3">
      <c r="A1877" t="s">
        <v>381</v>
      </c>
      <c r="B1877" s="18">
        <v>45646</v>
      </c>
      <c r="C1877" t="s">
        <v>43</v>
      </c>
      <c r="D1877" t="s">
        <v>170</v>
      </c>
      <c r="E1877">
        <v>433</v>
      </c>
      <c r="F1877">
        <v>68.7</v>
      </c>
      <c r="G1877" s="18">
        <v>45652</v>
      </c>
      <c r="H1877" s="18">
        <v>45651</v>
      </c>
      <c r="I1877">
        <v>433</v>
      </c>
      <c r="J1877">
        <v>29747.1</v>
      </c>
      <c r="K1877">
        <f>IF(tblPO[[#This Row],[Actual_Delivery_Date]]&lt;=tblPO[[#This Row],[Expected_Delivery_Date]],1,0)</f>
        <v>1</v>
      </c>
      <c r="L1877">
        <f>IF(tblPO[[#This Row],[Actual_Delivery_Date]]&gt;tblPO[[#This Row],[Expected_Delivery_Date]],1,0)</f>
        <v>0</v>
      </c>
      <c r="M1877">
        <f>tblPO[[#This Row],[Actual_Delivery_Date]]-tblPO[[#This Row],[PO_Date]]</f>
        <v>5</v>
      </c>
    </row>
    <row r="1878" spans="1:13" x14ac:dyDescent="0.3">
      <c r="A1878" t="s">
        <v>380</v>
      </c>
      <c r="B1878" s="18">
        <v>45643</v>
      </c>
      <c r="C1878" t="s">
        <v>51</v>
      </c>
      <c r="D1878" t="s">
        <v>154</v>
      </c>
      <c r="E1878">
        <v>98</v>
      </c>
      <c r="F1878">
        <v>55.57</v>
      </c>
      <c r="G1878" s="18">
        <v>45657</v>
      </c>
      <c r="H1878" s="18">
        <v>45672</v>
      </c>
      <c r="I1878">
        <v>98</v>
      </c>
      <c r="J1878">
        <v>5445.86</v>
      </c>
      <c r="K1878">
        <f>IF(tblPO[[#This Row],[Actual_Delivery_Date]]&lt;=tblPO[[#This Row],[Expected_Delivery_Date]],1,0)</f>
        <v>0</v>
      </c>
      <c r="L1878">
        <f>IF(tblPO[[#This Row],[Actual_Delivery_Date]]&gt;tblPO[[#This Row],[Expected_Delivery_Date]],1,0)</f>
        <v>1</v>
      </c>
      <c r="M1878">
        <f>tblPO[[#This Row],[Actual_Delivery_Date]]-tblPO[[#This Row],[PO_Date]]</f>
        <v>29</v>
      </c>
    </row>
    <row r="1879" spans="1:13" x14ac:dyDescent="0.3">
      <c r="A1879" t="s">
        <v>379</v>
      </c>
      <c r="B1879" s="18">
        <v>45656</v>
      </c>
      <c r="C1879" t="s">
        <v>52</v>
      </c>
      <c r="D1879" t="s">
        <v>233</v>
      </c>
      <c r="E1879">
        <v>56</v>
      </c>
      <c r="F1879">
        <v>200.21</v>
      </c>
      <c r="G1879" s="18">
        <v>45659</v>
      </c>
      <c r="H1879" s="18">
        <v>45659</v>
      </c>
      <c r="I1879">
        <v>56</v>
      </c>
      <c r="J1879">
        <v>11211.76</v>
      </c>
      <c r="K1879">
        <f>IF(tblPO[[#This Row],[Actual_Delivery_Date]]&lt;=tblPO[[#This Row],[Expected_Delivery_Date]],1,0)</f>
        <v>1</v>
      </c>
      <c r="L1879">
        <f>IF(tblPO[[#This Row],[Actual_Delivery_Date]]&gt;tblPO[[#This Row],[Expected_Delivery_Date]],1,0)</f>
        <v>0</v>
      </c>
      <c r="M1879">
        <f>tblPO[[#This Row],[Actual_Delivery_Date]]-tblPO[[#This Row],[PO_Date]]</f>
        <v>3</v>
      </c>
    </row>
    <row r="1880" spans="1:13" x14ac:dyDescent="0.3">
      <c r="A1880" t="s">
        <v>378</v>
      </c>
      <c r="B1880" s="18">
        <v>45651</v>
      </c>
      <c r="C1880" t="s">
        <v>46</v>
      </c>
      <c r="D1880" t="s">
        <v>92</v>
      </c>
      <c r="E1880">
        <v>14</v>
      </c>
      <c r="F1880">
        <v>4866.78</v>
      </c>
      <c r="G1880" s="18">
        <v>45681</v>
      </c>
      <c r="H1880" s="18">
        <v>45681</v>
      </c>
      <c r="I1880">
        <v>14</v>
      </c>
      <c r="J1880">
        <v>68134.92</v>
      </c>
      <c r="K1880">
        <f>IF(tblPO[[#This Row],[Actual_Delivery_Date]]&lt;=tblPO[[#This Row],[Expected_Delivery_Date]],1,0)</f>
        <v>1</v>
      </c>
      <c r="L1880">
        <f>IF(tblPO[[#This Row],[Actual_Delivery_Date]]&gt;tblPO[[#This Row],[Expected_Delivery_Date]],1,0)</f>
        <v>0</v>
      </c>
      <c r="M1880">
        <f>tblPO[[#This Row],[Actual_Delivery_Date]]-tblPO[[#This Row],[PO_Date]]</f>
        <v>30</v>
      </c>
    </row>
    <row r="1881" spans="1:13" x14ac:dyDescent="0.3">
      <c r="A1881" t="s">
        <v>377</v>
      </c>
      <c r="B1881" s="18">
        <v>45636</v>
      </c>
      <c r="C1881" t="s">
        <v>50</v>
      </c>
      <c r="D1881" t="s">
        <v>123</v>
      </c>
      <c r="E1881">
        <v>23</v>
      </c>
      <c r="F1881">
        <v>1254.17</v>
      </c>
      <c r="G1881" s="18">
        <v>45653</v>
      </c>
      <c r="H1881" s="18">
        <v>45652</v>
      </c>
      <c r="I1881">
        <v>23</v>
      </c>
      <c r="J1881">
        <v>28845.91</v>
      </c>
      <c r="K1881">
        <f>IF(tblPO[[#This Row],[Actual_Delivery_Date]]&lt;=tblPO[[#This Row],[Expected_Delivery_Date]],1,0)</f>
        <v>1</v>
      </c>
      <c r="L1881">
        <f>IF(tblPO[[#This Row],[Actual_Delivery_Date]]&gt;tblPO[[#This Row],[Expected_Delivery_Date]],1,0)</f>
        <v>0</v>
      </c>
      <c r="M1881">
        <f>tblPO[[#This Row],[Actual_Delivery_Date]]-tblPO[[#This Row],[PO_Date]]</f>
        <v>16</v>
      </c>
    </row>
    <row r="1882" spans="1:13" x14ac:dyDescent="0.3">
      <c r="A1882" t="s">
        <v>376</v>
      </c>
      <c r="B1882" s="18">
        <v>45647</v>
      </c>
      <c r="C1882" t="s">
        <v>50</v>
      </c>
      <c r="D1882" t="s">
        <v>117</v>
      </c>
      <c r="E1882">
        <v>108</v>
      </c>
      <c r="F1882">
        <v>322.91000000000003</v>
      </c>
      <c r="G1882" s="18">
        <v>45657</v>
      </c>
      <c r="H1882" s="18">
        <v>45654</v>
      </c>
      <c r="I1882">
        <v>108</v>
      </c>
      <c r="J1882">
        <v>34874.28</v>
      </c>
      <c r="K1882">
        <f>IF(tblPO[[#This Row],[Actual_Delivery_Date]]&lt;=tblPO[[#This Row],[Expected_Delivery_Date]],1,0)</f>
        <v>1</v>
      </c>
      <c r="L1882">
        <f>IF(tblPO[[#This Row],[Actual_Delivery_Date]]&gt;tblPO[[#This Row],[Expected_Delivery_Date]],1,0)</f>
        <v>0</v>
      </c>
      <c r="M1882">
        <f>tblPO[[#This Row],[Actual_Delivery_Date]]-tblPO[[#This Row],[PO_Date]]</f>
        <v>7</v>
      </c>
    </row>
    <row r="1883" spans="1:13" x14ac:dyDescent="0.3">
      <c r="A1883" t="s">
        <v>375</v>
      </c>
      <c r="B1883" s="18">
        <v>45645</v>
      </c>
      <c r="C1883" t="s">
        <v>42</v>
      </c>
      <c r="D1883" t="s">
        <v>86</v>
      </c>
      <c r="E1883">
        <v>89</v>
      </c>
      <c r="F1883">
        <v>341.61</v>
      </c>
      <c r="G1883" s="18">
        <v>45663</v>
      </c>
      <c r="H1883" s="18">
        <v>45661</v>
      </c>
      <c r="I1883">
        <v>89</v>
      </c>
      <c r="J1883">
        <v>30403.29</v>
      </c>
      <c r="K1883">
        <f>IF(tblPO[[#This Row],[Actual_Delivery_Date]]&lt;=tblPO[[#This Row],[Expected_Delivery_Date]],1,0)</f>
        <v>1</v>
      </c>
      <c r="L1883">
        <f>IF(tblPO[[#This Row],[Actual_Delivery_Date]]&gt;tblPO[[#This Row],[Expected_Delivery_Date]],1,0)</f>
        <v>0</v>
      </c>
      <c r="M1883">
        <f>tblPO[[#This Row],[Actual_Delivery_Date]]-tblPO[[#This Row],[PO_Date]]</f>
        <v>16</v>
      </c>
    </row>
    <row r="1884" spans="1:13" x14ac:dyDescent="0.3">
      <c r="A1884" t="s">
        <v>374</v>
      </c>
      <c r="B1884" s="18">
        <v>45636</v>
      </c>
      <c r="C1884" t="s">
        <v>42</v>
      </c>
      <c r="D1884" t="s">
        <v>84</v>
      </c>
      <c r="E1884">
        <v>67</v>
      </c>
      <c r="F1884">
        <v>230.76</v>
      </c>
      <c r="G1884" s="18">
        <v>45652</v>
      </c>
      <c r="H1884" s="18">
        <v>45652</v>
      </c>
      <c r="I1884">
        <v>67</v>
      </c>
      <c r="J1884">
        <v>15460.92</v>
      </c>
      <c r="K1884">
        <f>IF(tblPO[[#This Row],[Actual_Delivery_Date]]&lt;=tblPO[[#This Row],[Expected_Delivery_Date]],1,0)</f>
        <v>1</v>
      </c>
      <c r="L1884">
        <f>IF(tblPO[[#This Row],[Actual_Delivery_Date]]&gt;tblPO[[#This Row],[Expected_Delivery_Date]],1,0)</f>
        <v>0</v>
      </c>
      <c r="M1884">
        <f>tblPO[[#This Row],[Actual_Delivery_Date]]-tblPO[[#This Row],[PO_Date]]</f>
        <v>16</v>
      </c>
    </row>
    <row r="1885" spans="1:13" x14ac:dyDescent="0.3">
      <c r="A1885" t="s">
        <v>373</v>
      </c>
      <c r="B1885" s="18">
        <v>45640</v>
      </c>
      <c r="C1885" t="s">
        <v>38</v>
      </c>
      <c r="D1885" t="s">
        <v>217</v>
      </c>
      <c r="E1885">
        <v>106</v>
      </c>
      <c r="F1885">
        <v>29.03</v>
      </c>
      <c r="G1885" s="18">
        <v>45643</v>
      </c>
      <c r="H1885" s="18">
        <v>45656</v>
      </c>
      <c r="I1885">
        <v>106</v>
      </c>
      <c r="J1885">
        <v>3077.18</v>
      </c>
      <c r="K1885">
        <f>IF(tblPO[[#This Row],[Actual_Delivery_Date]]&lt;=tblPO[[#This Row],[Expected_Delivery_Date]],1,0)</f>
        <v>0</v>
      </c>
      <c r="L1885">
        <f>IF(tblPO[[#This Row],[Actual_Delivery_Date]]&gt;tblPO[[#This Row],[Expected_Delivery_Date]],1,0)</f>
        <v>1</v>
      </c>
      <c r="M1885">
        <f>tblPO[[#This Row],[Actual_Delivery_Date]]-tblPO[[#This Row],[PO_Date]]</f>
        <v>16</v>
      </c>
    </row>
    <row r="1886" spans="1:13" x14ac:dyDescent="0.3">
      <c r="A1886" t="s">
        <v>372</v>
      </c>
      <c r="B1886" s="18">
        <v>45655</v>
      </c>
      <c r="C1886" t="s">
        <v>60</v>
      </c>
      <c r="D1886" t="s">
        <v>121</v>
      </c>
      <c r="E1886">
        <v>116</v>
      </c>
      <c r="F1886">
        <v>474.63</v>
      </c>
      <c r="G1886" s="18">
        <v>45658</v>
      </c>
      <c r="H1886" s="18">
        <v>45656</v>
      </c>
      <c r="I1886">
        <v>116</v>
      </c>
      <c r="J1886">
        <v>55057.08</v>
      </c>
      <c r="K1886">
        <f>IF(tblPO[[#This Row],[Actual_Delivery_Date]]&lt;=tblPO[[#This Row],[Expected_Delivery_Date]],1,0)</f>
        <v>1</v>
      </c>
      <c r="L1886">
        <f>IF(tblPO[[#This Row],[Actual_Delivery_Date]]&gt;tblPO[[#This Row],[Expected_Delivery_Date]],1,0)</f>
        <v>0</v>
      </c>
      <c r="M1886">
        <f>tblPO[[#This Row],[Actual_Delivery_Date]]-tblPO[[#This Row],[PO_Date]]</f>
        <v>1</v>
      </c>
    </row>
    <row r="1887" spans="1:13" x14ac:dyDescent="0.3">
      <c r="A1887" t="s">
        <v>371</v>
      </c>
      <c r="B1887" s="18">
        <v>45634</v>
      </c>
      <c r="C1887" t="s">
        <v>54</v>
      </c>
      <c r="D1887" t="s">
        <v>201</v>
      </c>
      <c r="E1887">
        <v>791</v>
      </c>
      <c r="F1887">
        <v>35.270000000000003</v>
      </c>
      <c r="G1887" s="18">
        <v>45644</v>
      </c>
      <c r="H1887" s="18">
        <v>45643</v>
      </c>
      <c r="I1887">
        <v>791</v>
      </c>
      <c r="J1887">
        <v>27898.57</v>
      </c>
      <c r="K1887">
        <f>IF(tblPO[[#This Row],[Actual_Delivery_Date]]&lt;=tblPO[[#This Row],[Expected_Delivery_Date]],1,0)</f>
        <v>1</v>
      </c>
      <c r="L1887">
        <f>IF(tblPO[[#This Row],[Actual_Delivery_Date]]&gt;tblPO[[#This Row],[Expected_Delivery_Date]],1,0)</f>
        <v>0</v>
      </c>
      <c r="M1887">
        <f>tblPO[[#This Row],[Actual_Delivery_Date]]-tblPO[[#This Row],[PO_Date]]</f>
        <v>9</v>
      </c>
    </row>
    <row r="1888" spans="1:13" x14ac:dyDescent="0.3">
      <c r="A1888" t="s">
        <v>370</v>
      </c>
      <c r="B1888" s="18">
        <v>45648</v>
      </c>
      <c r="C1888" t="s">
        <v>39</v>
      </c>
      <c r="D1888" t="s">
        <v>146</v>
      </c>
      <c r="E1888">
        <v>6</v>
      </c>
      <c r="F1888">
        <v>3422.96</v>
      </c>
      <c r="G1888" s="18">
        <v>45677</v>
      </c>
      <c r="H1888" s="18">
        <v>45676</v>
      </c>
      <c r="I1888">
        <v>6</v>
      </c>
      <c r="J1888">
        <v>20537.759999999998</v>
      </c>
      <c r="K1888">
        <f>IF(tblPO[[#This Row],[Actual_Delivery_Date]]&lt;=tblPO[[#This Row],[Expected_Delivery_Date]],1,0)</f>
        <v>1</v>
      </c>
      <c r="L1888">
        <f>IF(tblPO[[#This Row],[Actual_Delivery_Date]]&gt;tblPO[[#This Row],[Expected_Delivery_Date]],1,0)</f>
        <v>0</v>
      </c>
      <c r="M1888">
        <f>tblPO[[#This Row],[Actual_Delivery_Date]]-tblPO[[#This Row],[PO_Date]]</f>
        <v>28</v>
      </c>
    </row>
    <row r="1889" spans="1:13" x14ac:dyDescent="0.3">
      <c r="A1889" t="s">
        <v>369</v>
      </c>
      <c r="B1889" s="18">
        <v>45630</v>
      </c>
      <c r="C1889" t="s">
        <v>52</v>
      </c>
      <c r="D1889" t="s">
        <v>229</v>
      </c>
      <c r="E1889">
        <v>23</v>
      </c>
      <c r="F1889">
        <v>1810.26</v>
      </c>
      <c r="G1889" s="18">
        <v>45637</v>
      </c>
      <c r="H1889" s="18">
        <v>45637</v>
      </c>
      <c r="I1889">
        <v>23</v>
      </c>
      <c r="J1889">
        <v>41635.980000000003</v>
      </c>
      <c r="K1889">
        <f>IF(tblPO[[#This Row],[Actual_Delivery_Date]]&lt;=tblPO[[#This Row],[Expected_Delivery_Date]],1,0)</f>
        <v>1</v>
      </c>
      <c r="L1889">
        <f>IF(tblPO[[#This Row],[Actual_Delivery_Date]]&gt;tblPO[[#This Row],[Expected_Delivery_Date]],1,0)</f>
        <v>0</v>
      </c>
      <c r="M1889">
        <f>tblPO[[#This Row],[Actual_Delivery_Date]]-tblPO[[#This Row],[PO_Date]]</f>
        <v>7</v>
      </c>
    </row>
    <row r="1890" spans="1:13" x14ac:dyDescent="0.3">
      <c r="A1890" t="s">
        <v>368</v>
      </c>
      <c r="B1890" s="18">
        <v>45639</v>
      </c>
      <c r="C1890" t="s">
        <v>58</v>
      </c>
      <c r="D1890" t="s">
        <v>160</v>
      </c>
      <c r="E1890">
        <v>200</v>
      </c>
      <c r="F1890">
        <v>116.78</v>
      </c>
      <c r="G1890" s="18">
        <v>45669</v>
      </c>
      <c r="H1890" s="18">
        <v>45667</v>
      </c>
      <c r="I1890">
        <v>200</v>
      </c>
      <c r="J1890">
        <v>23356</v>
      </c>
      <c r="K1890">
        <f>IF(tblPO[[#This Row],[Actual_Delivery_Date]]&lt;=tblPO[[#This Row],[Expected_Delivery_Date]],1,0)</f>
        <v>1</v>
      </c>
      <c r="L1890">
        <f>IF(tblPO[[#This Row],[Actual_Delivery_Date]]&gt;tblPO[[#This Row],[Expected_Delivery_Date]],1,0)</f>
        <v>0</v>
      </c>
      <c r="M1890">
        <f>tblPO[[#This Row],[Actual_Delivery_Date]]-tblPO[[#This Row],[PO_Date]]</f>
        <v>28</v>
      </c>
    </row>
    <row r="1891" spans="1:13" x14ac:dyDescent="0.3">
      <c r="A1891" t="s">
        <v>367</v>
      </c>
      <c r="B1891" s="18">
        <v>45639</v>
      </c>
      <c r="C1891" t="s">
        <v>44</v>
      </c>
      <c r="D1891" t="s">
        <v>201</v>
      </c>
      <c r="E1891">
        <v>613</v>
      </c>
      <c r="F1891">
        <v>35.700000000000003</v>
      </c>
      <c r="G1891" s="18">
        <v>45669</v>
      </c>
      <c r="H1891" s="18">
        <v>45669</v>
      </c>
      <c r="I1891">
        <v>613</v>
      </c>
      <c r="J1891">
        <v>21884.1</v>
      </c>
      <c r="K1891">
        <f>IF(tblPO[[#This Row],[Actual_Delivery_Date]]&lt;=tblPO[[#This Row],[Expected_Delivery_Date]],1,0)</f>
        <v>1</v>
      </c>
      <c r="L1891">
        <f>IF(tblPO[[#This Row],[Actual_Delivery_Date]]&gt;tblPO[[#This Row],[Expected_Delivery_Date]],1,0)</f>
        <v>0</v>
      </c>
      <c r="M1891">
        <f>tblPO[[#This Row],[Actual_Delivery_Date]]-tblPO[[#This Row],[PO_Date]]</f>
        <v>30</v>
      </c>
    </row>
    <row r="1892" spans="1:13" x14ac:dyDescent="0.3">
      <c r="A1892" t="s">
        <v>366</v>
      </c>
      <c r="B1892" s="18">
        <v>45644</v>
      </c>
      <c r="C1892" t="s">
        <v>39</v>
      </c>
      <c r="D1892" t="s">
        <v>146</v>
      </c>
      <c r="E1892">
        <v>2</v>
      </c>
      <c r="F1892">
        <v>3391.02</v>
      </c>
      <c r="G1892" s="18">
        <v>45671</v>
      </c>
      <c r="H1892" s="18">
        <v>45668</v>
      </c>
      <c r="I1892">
        <v>2</v>
      </c>
      <c r="J1892">
        <v>6782.04</v>
      </c>
      <c r="K1892">
        <f>IF(tblPO[[#This Row],[Actual_Delivery_Date]]&lt;=tblPO[[#This Row],[Expected_Delivery_Date]],1,0)</f>
        <v>1</v>
      </c>
      <c r="L1892">
        <f>IF(tblPO[[#This Row],[Actual_Delivery_Date]]&gt;tblPO[[#This Row],[Expected_Delivery_Date]],1,0)</f>
        <v>0</v>
      </c>
      <c r="M1892">
        <f>tblPO[[#This Row],[Actual_Delivery_Date]]-tblPO[[#This Row],[PO_Date]]</f>
        <v>24</v>
      </c>
    </row>
    <row r="1893" spans="1:13" x14ac:dyDescent="0.3">
      <c r="A1893" t="s">
        <v>365</v>
      </c>
      <c r="B1893" s="18">
        <v>45652</v>
      </c>
      <c r="C1893" t="s">
        <v>67</v>
      </c>
      <c r="D1893" t="s">
        <v>90</v>
      </c>
      <c r="E1893">
        <v>4</v>
      </c>
      <c r="F1893">
        <v>31741.95</v>
      </c>
      <c r="G1893" s="18">
        <v>45680</v>
      </c>
      <c r="H1893" s="18">
        <v>45679</v>
      </c>
      <c r="I1893">
        <v>4</v>
      </c>
      <c r="J1893">
        <v>126967.8</v>
      </c>
      <c r="K1893">
        <f>IF(tblPO[[#This Row],[Actual_Delivery_Date]]&lt;=tblPO[[#This Row],[Expected_Delivery_Date]],1,0)</f>
        <v>1</v>
      </c>
      <c r="L1893">
        <f>IF(tblPO[[#This Row],[Actual_Delivery_Date]]&gt;tblPO[[#This Row],[Expected_Delivery_Date]],1,0)</f>
        <v>0</v>
      </c>
      <c r="M1893">
        <f>tblPO[[#This Row],[Actual_Delivery_Date]]-tblPO[[#This Row],[PO_Date]]</f>
        <v>27</v>
      </c>
    </row>
    <row r="1894" spans="1:13" x14ac:dyDescent="0.3">
      <c r="A1894" t="s">
        <v>364</v>
      </c>
      <c r="B1894" s="18">
        <v>45651</v>
      </c>
      <c r="C1894" t="s">
        <v>41</v>
      </c>
      <c r="D1894" t="s">
        <v>183</v>
      </c>
      <c r="E1894">
        <v>246</v>
      </c>
      <c r="F1894">
        <v>10.7</v>
      </c>
      <c r="G1894" s="18">
        <v>45662</v>
      </c>
      <c r="H1894" s="18">
        <v>45660</v>
      </c>
      <c r="I1894">
        <v>246</v>
      </c>
      <c r="J1894">
        <v>2632.2</v>
      </c>
      <c r="K1894">
        <f>IF(tblPO[[#This Row],[Actual_Delivery_Date]]&lt;=tblPO[[#This Row],[Expected_Delivery_Date]],1,0)</f>
        <v>1</v>
      </c>
      <c r="L1894">
        <f>IF(tblPO[[#This Row],[Actual_Delivery_Date]]&gt;tblPO[[#This Row],[Expected_Delivery_Date]],1,0)</f>
        <v>0</v>
      </c>
      <c r="M1894">
        <f>tblPO[[#This Row],[Actual_Delivery_Date]]-tblPO[[#This Row],[PO_Date]]</f>
        <v>9</v>
      </c>
    </row>
    <row r="1895" spans="1:13" x14ac:dyDescent="0.3">
      <c r="A1895" t="s">
        <v>363</v>
      </c>
      <c r="B1895" s="18">
        <v>45647</v>
      </c>
      <c r="C1895" t="s">
        <v>45</v>
      </c>
      <c r="D1895" t="s">
        <v>233</v>
      </c>
      <c r="E1895">
        <v>79</v>
      </c>
      <c r="F1895">
        <v>205.08</v>
      </c>
      <c r="G1895" s="18">
        <v>45651</v>
      </c>
      <c r="H1895" s="18">
        <v>45649</v>
      </c>
      <c r="I1895">
        <v>79</v>
      </c>
      <c r="J1895">
        <v>16201.32</v>
      </c>
      <c r="K1895">
        <f>IF(tblPO[[#This Row],[Actual_Delivery_Date]]&lt;=tblPO[[#This Row],[Expected_Delivery_Date]],1,0)</f>
        <v>1</v>
      </c>
      <c r="L1895">
        <f>IF(tblPO[[#This Row],[Actual_Delivery_Date]]&gt;tblPO[[#This Row],[Expected_Delivery_Date]],1,0)</f>
        <v>0</v>
      </c>
      <c r="M1895">
        <f>tblPO[[#This Row],[Actual_Delivery_Date]]-tblPO[[#This Row],[PO_Date]]</f>
        <v>2</v>
      </c>
    </row>
    <row r="1896" spans="1:13" x14ac:dyDescent="0.3">
      <c r="A1896" t="s">
        <v>362</v>
      </c>
      <c r="B1896" s="18">
        <v>45654</v>
      </c>
      <c r="C1896" t="s">
        <v>38</v>
      </c>
      <c r="D1896" t="s">
        <v>237</v>
      </c>
      <c r="E1896">
        <v>733</v>
      </c>
      <c r="F1896">
        <v>84.49</v>
      </c>
      <c r="G1896" s="18">
        <v>45670</v>
      </c>
      <c r="H1896" s="18">
        <v>45670</v>
      </c>
      <c r="I1896">
        <v>649</v>
      </c>
      <c r="J1896">
        <v>61931.17</v>
      </c>
      <c r="K1896">
        <f>IF(tblPO[[#This Row],[Actual_Delivery_Date]]&lt;=tblPO[[#This Row],[Expected_Delivery_Date]],1,0)</f>
        <v>1</v>
      </c>
      <c r="L1896">
        <f>IF(tblPO[[#This Row],[Actual_Delivery_Date]]&gt;tblPO[[#This Row],[Expected_Delivery_Date]],1,0)</f>
        <v>0</v>
      </c>
      <c r="M1896">
        <f>tblPO[[#This Row],[Actual_Delivery_Date]]-tblPO[[#This Row],[PO_Date]]</f>
        <v>16</v>
      </c>
    </row>
    <row r="1897" spans="1:13" x14ac:dyDescent="0.3">
      <c r="A1897" t="s">
        <v>361</v>
      </c>
      <c r="B1897" s="18">
        <v>45643</v>
      </c>
      <c r="C1897" t="s">
        <v>43</v>
      </c>
      <c r="D1897" t="s">
        <v>149</v>
      </c>
      <c r="E1897">
        <v>446</v>
      </c>
      <c r="F1897">
        <v>67.290000000000006</v>
      </c>
      <c r="G1897" s="18">
        <v>45652</v>
      </c>
      <c r="H1897" s="18">
        <v>45650</v>
      </c>
      <c r="I1897">
        <v>446</v>
      </c>
      <c r="J1897">
        <v>30011.34</v>
      </c>
      <c r="K1897">
        <f>IF(tblPO[[#This Row],[Actual_Delivery_Date]]&lt;=tblPO[[#This Row],[Expected_Delivery_Date]],1,0)</f>
        <v>1</v>
      </c>
      <c r="L1897">
        <f>IF(tblPO[[#This Row],[Actual_Delivery_Date]]&gt;tblPO[[#This Row],[Expected_Delivery_Date]],1,0)</f>
        <v>0</v>
      </c>
      <c r="M1897">
        <f>tblPO[[#This Row],[Actual_Delivery_Date]]-tblPO[[#This Row],[PO_Date]]</f>
        <v>7</v>
      </c>
    </row>
    <row r="1898" spans="1:13" x14ac:dyDescent="0.3">
      <c r="A1898" t="s">
        <v>360</v>
      </c>
      <c r="B1898" s="18">
        <v>45628</v>
      </c>
      <c r="C1898" t="s">
        <v>65</v>
      </c>
      <c r="D1898" t="s">
        <v>199</v>
      </c>
      <c r="E1898">
        <v>16</v>
      </c>
      <c r="F1898">
        <v>298.74</v>
      </c>
      <c r="G1898" s="18">
        <v>45633</v>
      </c>
      <c r="H1898" s="18">
        <v>45630</v>
      </c>
      <c r="I1898">
        <v>16</v>
      </c>
      <c r="J1898">
        <v>4779.84</v>
      </c>
      <c r="K1898">
        <f>IF(tblPO[[#This Row],[Actual_Delivery_Date]]&lt;=tblPO[[#This Row],[Expected_Delivery_Date]],1,0)</f>
        <v>1</v>
      </c>
      <c r="L1898">
        <f>IF(tblPO[[#This Row],[Actual_Delivery_Date]]&gt;tblPO[[#This Row],[Expected_Delivery_Date]],1,0)</f>
        <v>0</v>
      </c>
      <c r="M1898">
        <f>tblPO[[#This Row],[Actual_Delivery_Date]]-tblPO[[#This Row],[PO_Date]]</f>
        <v>2</v>
      </c>
    </row>
    <row r="1899" spans="1:13" x14ac:dyDescent="0.3">
      <c r="A1899" t="s">
        <v>359</v>
      </c>
      <c r="B1899" s="18">
        <v>45646</v>
      </c>
      <c r="C1899" t="s">
        <v>49</v>
      </c>
      <c r="D1899" t="s">
        <v>201</v>
      </c>
      <c r="E1899">
        <v>694</v>
      </c>
      <c r="F1899">
        <v>38.270000000000003</v>
      </c>
      <c r="G1899" s="18">
        <v>45651</v>
      </c>
      <c r="H1899" s="18">
        <v>45650</v>
      </c>
      <c r="I1899">
        <v>641</v>
      </c>
      <c r="J1899">
        <v>26559.38</v>
      </c>
      <c r="K1899">
        <f>IF(tblPO[[#This Row],[Actual_Delivery_Date]]&lt;=tblPO[[#This Row],[Expected_Delivery_Date]],1,0)</f>
        <v>1</v>
      </c>
      <c r="L1899">
        <f>IF(tblPO[[#This Row],[Actual_Delivery_Date]]&gt;tblPO[[#This Row],[Expected_Delivery_Date]],1,0)</f>
        <v>0</v>
      </c>
      <c r="M1899">
        <f>tblPO[[#This Row],[Actual_Delivery_Date]]-tblPO[[#This Row],[PO_Date]]</f>
        <v>4</v>
      </c>
    </row>
    <row r="1900" spans="1:13" x14ac:dyDescent="0.3">
      <c r="A1900" t="s">
        <v>358</v>
      </c>
      <c r="B1900" s="18">
        <v>45633</v>
      </c>
      <c r="C1900" t="s">
        <v>39</v>
      </c>
      <c r="D1900" t="s">
        <v>172</v>
      </c>
      <c r="E1900">
        <v>584</v>
      </c>
      <c r="F1900">
        <v>38.86</v>
      </c>
      <c r="G1900" s="18">
        <v>45663</v>
      </c>
      <c r="H1900" s="18">
        <v>45663</v>
      </c>
      <c r="I1900">
        <v>584</v>
      </c>
      <c r="J1900">
        <v>22694.240000000002</v>
      </c>
      <c r="K1900">
        <f>IF(tblPO[[#This Row],[Actual_Delivery_Date]]&lt;=tblPO[[#This Row],[Expected_Delivery_Date]],1,0)</f>
        <v>1</v>
      </c>
      <c r="L1900">
        <f>IF(tblPO[[#This Row],[Actual_Delivery_Date]]&gt;tblPO[[#This Row],[Expected_Delivery_Date]],1,0)</f>
        <v>0</v>
      </c>
      <c r="M1900">
        <f>tblPO[[#This Row],[Actual_Delivery_Date]]-tblPO[[#This Row],[PO_Date]]</f>
        <v>30</v>
      </c>
    </row>
    <row r="1901" spans="1:13" x14ac:dyDescent="0.3">
      <c r="A1901" t="s">
        <v>357</v>
      </c>
      <c r="B1901" s="18">
        <v>45647</v>
      </c>
      <c r="C1901" t="s">
        <v>65</v>
      </c>
      <c r="D1901" t="s">
        <v>209</v>
      </c>
      <c r="E1901">
        <v>275</v>
      </c>
      <c r="F1901">
        <v>17.14</v>
      </c>
      <c r="G1901" s="18">
        <v>45658</v>
      </c>
      <c r="H1901" s="18">
        <v>45658</v>
      </c>
      <c r="I1901">
        <v>275</v>
      </c>
      <c r="J1901">
        <v>4713.5</v>
      </c>
      <c r="K1901">
        <f>IF(tblPO[[#This Row],[Actual_Delivery_Date]]&lt;=tblPO[[#This Row],[Expected_Delivery_Date]],1,0)</f>
        <v>1</v>
      </c>
      <c r="L1901">
        <f>IF(tblPO[[#This Row],[Actual_Delivery_Date]]&gt;tblPO[[#This Row],[Expected_Delivery_Date]],1,0)</f>
        <v>0</v>
      </c>
      <c r="M1901">
        <f>tblPO[[#This Row],[Actual_Delivery_Date]]-tblPO[[#This Row],[PO_Date]]</f>
        <v>11</v>
      </c>
    </row>
    <row r="1902" spans="1:13" x14ac:dyDescent="0.3">
      <c r="A1902" t="s">
        <v>356</v>
      </c>
      <c r="B1902" s="18">
        <v>45628</v>
      </c>
      <c r="C1902" t="s">
        <v>43</v>
      </c>
      <c r="D1902" t="s">
        <v>158</v>
      </c>
      <c r="E1902">
        <v>51</v>
      </c>
      <c r="F1902">
        <v>97.27</v>
      </c>
      <c r="G1902" s="18">
        <v>45645</v>
      </c>
      <c r="H1902" s="18">
        <v>45649</v>
      </c>
      <c r="I1902">
        <v>51</v>
      </c>
      <c r="J1902">
        <v>4960.7700000000004</v>
      </c>
      <c r="K1902">
        <f>IF(tblPO[[#This Row],[Actual_Delivery_Date]]&lt;=tblPO[[#This Row],[Expected_Delivery_Date]],1,0)</f>
        <v>0</v>
      </c>
      <c r="L1902">
        <f>IF(tblPO[[#This Row],[Actual_Delivery_Date]]&gt;tblPO[[#This Row],[Expected_Delivery_Date]],1,0)</f>
        <v>1</v>
      </c>
      <c r="M1902">
        <f>tblPO[[#This Row],[Actual_Delivery_Date]]-tblPO[[#This Row],[PO_Date]]</f>
        <v>21</v>
      </c>
    </row>
    <row r="1903" spans="1:13" x14ac:dyDescent="0.3">
      <c r="A1903" t="s">
        <v>355</v>
      </c>
      <c r="B1903" s="18">
        <v>45631</v>
      </c>
      <c r="C1903" t="s">
        <v>41</v>
      </c>
      <c r="D1903" t="s">
        <v>197</v>
      </c>
      <c r="E1903">
        <v>162</v>
      </c>
      <c r="F1903">
        <v>261.13</v>
      </c>
      <c r="G1903" s="18">
        <v>45645</v>
      </c>
      <c r="H1903" s="18">
        <v>45642</v>
      </c>
      <c r="I1903">
        <v>162</v>
      </c>
      <c r="J1903">
        <v>42303.06</v>
      </c>
      <c r="K1903">
        <f>IF(tblPO[[#This Row],[Actual_Delivery_Date]]&lt;=tblPO[[#This Row],[Expected_Delivery_Date]],1,0)</f>
        <v>1</v>
      </c>
      <c r="L1903">
        <f>IF(tblPO[[#This Row],[Actual_Delivery_Date]]&gt;tblPO[[#This Row],[Expected_Delivery_Date]],1,0)</f>
        <v>0</v>
      </c>
      <c r="M1903">
        <f>tblPO[[#This Row],[Actual_Delivery_Date]]-tblPO[[#This Row],[PO_Date]]</f>
        <v>11</v>
      </c>
    </row>
    <row r="1904" spans="1:13" x14ac:dyDescent="0.3">
      <c r="A1904" t="s">
        <v>354</v>
      </c>
      <c r="B1904" s="18">
        <v>45656</v>
      </c>
      <c r="C1904" t="s">
        <v>60</v>
      </c>
      <c r="D1904" t="s">
        <v>127</v>
      </c>
      <c r="E1904">
        <v>17</v>
      </c>
      <c r="F1904">
        <v>4031.28</v>
      </c>
      <c r="G1904" s="18">
        <v>45671</v>
      </c>
      <c r="H1904" s="18">
        <v>45679</v>
      </c>
      <c r="I1904">
        <v>17</v>
      </c>
      <c r="J1904">
        <v>68531.759999999995</v>
      </c>
      <c r="K1904">
        <f>IF(tblPO[[#This Row],[Actual_Delivery_Date]]&lt;=tblPO[[#This Row],[Expected_Delivery_Date]],1,0)</f>
        <v>0</v>
      </c>
      <c r="L1904">
        <f>IF(tblPO[[#This Row],[Actual_Delivery_Date]]&gt;tblPO[[#This Row],[Expected_Delivery_Date]],1,0)</f>
        <v>1</v>
      </c>
      <c r="M1904">
        <f>tblPO[[#This Row],[Actual_Delivery_Date]]-tblPO[[#This Row],[PO_Date]]</f>
        <v>23</v>
      </c>
    </row>
    <row r="1905" spans="1:13" x14ac:dyDescent="0.3">
      <c r="A1905" t="s">
        <v>353</v>
      </c>
      <c r="B1905" s="18">
        <v>45627</v>
      </c>
      <c r="C1905" t="s">
        <v>40</v>
      </c>
      <c r="D1905" t="s">
        <v>113</v>
      </c>
      <c r="E1905">
        <v>77</v>
      </c>
      <c r="F1905">
        <v>508.1</v>
      </c>
      <c r="G1905" s="18">
        <v>45642</v>
      </c>
      <c r="H1905" s="18">
        <v>45641</v>
      </c>
      <c r="I1905">
        <v>69</v>
      </c>
      <c r="J1905">
        <v>39123.699999999997</v>
      </c>
      <c r="K1905">
        <f>IF(tblPO[[#This Row],[Actual_Delivery_Date]]&lt;=tblPO[[#This Row],[Expected_Delivery_Date]],1,0)</f>
        <v>1</v>
      </c>
      <c r="L1905">
        <f>IF(tblPO[[#This Row],[Actual_Delivery_Date]]&gt;tblPO[[#This Row],[Expected_Delivery_Date]],1,0)</f>
        <v>0</v>
      </c>
      <c r="M1905">
        <f>tblPO[[#This Row],[Actual_Delivery_Date]]-tblPO[[#This Row],[PO_Date]]</f>
        <v>14</v>
      </c>
    </row>
    <row r="1906" spans="1:13" x14ac:dyDescent="0.3">
      <c r="A1906" t="s">
        <v>352</v>
      </c>
      <c r="B1906" s="18">
        <v>45656</v>
      </c>
      <c r="C1906" t="s">
        <v>55</v>
      </c>
      <c r="D1906" t="s">
        <v>239</v>
      </c>
      <c r="E1906">
        <v>141</v>
      </c>
      <c r="F1906">
        <v>106.01</v>
      </c>
      <c r="G1906" s="18">
        <v>45672</v>
      </c>
      <c r="H1906" s="18">
        <v>45675</v>
      </c>
      <c r="I1906">
        <v>141</v>
      </c>
      <c r="J1906">
        <v>14947.41</v>
      </c>
      <c r="K1906">
        <f>IF(tblPO[[#This Row],[Actual_Delivery_Date]]&lt;=tblPO[[#This Row],[Expected_Delivery_Date]],1,0)</f>
        <v>0</v>
      </c>
      <c r="L1906">
        <f>IF(tblPO[[#This Row],[Actual_Delivery_Date]]&gt;tblPO[[#This Row],[Expected_Delivery_Date]],1,0)</f>
        <v>1</v>
      </c>
      <c r="M1906">
        <f>tblPO[[#This Row],[Actual_Delivery_Date]]-tblPO[[#This Row],[PO_Date]]</f>
        <v>19</v>
      </c>
    </row>
    <row r="1907" spans="1:13" x14ac:dyDescent="0.3">
      <c r="A1907" t="s">
        <v>351</v>
      </c>
      <c r="B1907" s="18">
        <v>45630</v>
      </c>
      <c r="C1907" t="s">
        <v>52</v>
      </c>
      <c r="D1907" t="s">
        <v>241</v>
      </c>
      <c r="E1907">
        <v>14</v>
      </c>
      <c r="F1907">
        <v>3030.15</v>
      </c>
      <c r="G1907" s="18">
        <v>45647</v>
      </c>
      <c r="H1907" s="18">
        <v>45644</v>
      </c>
      <c r="I1907">
        <v>14</v>
      </c>
      <c r="J1907">
        <v>42422.1</v>
      </c>
      <c r="K1907">
        <f>IF(tblPO[[#This Row],[Actual_Delivery_Date]]&lt;=tblPO[[#This Row],[Expected_Delivery_Date]],1,0)</f>
        <v>1</v>
      </c>
      <c r="L1907">
        <f>IF(tblPO[[#This Row],[Actual_Delivery_Date]]&gt;tblPO[[#This Row],[Expected_Delivery_Date]],1,0)</f>
        <v>0</v>
      </c>
      <c r="M1907">
        <f>tblPO[[#This Row],[Actual_Delivery_Date]]-tblPO[[#This Row],[PO_Date]]</f>
        <v>14</v>
      </c>
    </row>
    <row r="1908" spans="1:13" x14ac:dyDescent="0.3">
      <c r="A1908" t="s">
        <v>350</v>
      </c>
      <c r="B1908" s="18">
        <v>45648</v>
      </c>
      <c r="C1908" t="s">
        <v>43</v>
      </c>
      <c r="D1908" t="s">
        <v>170</v>
      </c>
      <c r="E1908">
        <v>218</v>
      </c>
      <c r="F1908">
        <v>72.16</v>
      </c>
      <c r="G1908" s="18">
        <v>45654</v>
      </c>
      <c r="H1908" s="18">
        <v>45652</v>
      </c>
      <c r="I1908">
        <v>194</v>
      </c>
      <c r="J1908">
        <v>15730.88</v>
      </c>
      <c r="K1908">
        <f>IF(tblPO[[#This Row],[Actual_Delivery_Date]]&lt;=tblPO[[#This Row],[Expected_Delivery_Date]],1,0)</f>
        <v>1</v>
      </c>
      <c r="L1908">
        <f>IF(tblPO[[#This Row],[Actual_Delivery_Date]]&gt;tblPO[[#This Row],[Expected_Delivery_Date]],1,0)</f>
        <v>0</v>
      </c>
      <c r="M1908">
        <f>tblPO[[#This Row],[Actual_Delivery_Date]]-tblPO[[#This Row],[PO_Date]]</f>
        <v>4</v>
      </c>
    </row>
    <row r="1909" spans="1:13" x14ac:dyDescent="0.3">
      <c r="A1909" t="s">
        <v>349</v>
      </c>
      <c r="B1909" s="18">
        <v>45648</v>
      </c>
      <c r="C1909" t="s">
        <v>47</v>
      </c>
      <c r="D1909" t="s">
        <v>225</v>
      </c>
      <c r="E1909">
        <v>141</v>
      </c>
      <c r="F1909">
        <v>172.31</v>
      </c>
      <c r="G1909" s="18">
        <v>45661</v>
      </c>
      <c r="H1909" s="18">
        <v>45661</v>
      </c>
      <c r="I1909">
        <v>141</v>
      </c>
      <c r="J1909">
        <v>24295.71</v>
      </c>
      <c r="K1909">
        <f>IF(tblPO[[#This Row],[Actual_Delivery_Date]]&lt;=tblPO[[#This Row],[Expected_Delivery_Date]],1,0)</f>
        <v>1</v>
      </c>
      <c r="L1909">
        <f>IF(tblPO[[#This Row],[Actual_Delivery_Date]]&gt;tblPO[[#This Row],[Expected_Delivery_Date]],1,0)</f>
        <v>0</v>
      </c>
      <c r="M1909">
        <f>tblPO[[#This Row],[Actual_Delivery_Date]]-tblPO[[#This Row],[PO_Date]]</f>
        <v>13</v>
      </c>
    </row>
    <row r="1910" spans="1:13" x14ac:dyDescent="0.3">
      <c r="A1910" t="s">
        <v>348</v>
      </c>
      <c r="B1910" s="18">
        <v>45633</v>
      </c>
      <c r="C1910" t="s">
        <v>40</v>
      </c>
      <c r="D1910" t="s">
        <v>132</v>
      </c>
      <c r="E1910">
        <v>8</v>
      </c>
      <c r="F1910">
        <v>2910.83</v>
      </c>
      <c r="G1910" s="18">
        <v>45650</v>
      </c>
      <c r="H1910" s="18">
        <v>45649</v>
      </c>
      <c r="I1910">
        <v>8</v>
      </c>
      <c r="J1910">
        <v>23286.639999999999</v>
      </c>
      <c r="K1910">
        <f>IF(tblPO[[#This Row],[Actual_Delivery_Date]]&lt;=tblPO[[#This Row],[Expected_Delivery_Date]],1,0)</f>
        <v>1</v>
      </c>
      <c r="L1910">
        <f>IF(tblPO[[#This Row],[Actual_Delivery_Date]]&gt;tblPO[[#This Row],[Expected_Delivery_Date]],1,0)</f>
        <v>0</v>
      </c>
      <c r="M1910">
        <f>tblPO[[#This Row],[Actual_Delivery_Date]]-tblPO[[#This Row],[PO_Date]]</f>
        <v>16</v>
      </c>
    </row>
    <row r="1911" spans="1:13" x14ac:dyDescent="0.3">
      <c r="A1911" t="s">
        <v>347</v>
      </c>
      <c r="B1911" s="18">
        <v>45654</v>
      </c>
      <c r="C1911" t="s">
        <v>40</v>
      </c>
      <c r="D1911" t="s">
        <v>123</v>
      </c>
      <c r="E1911">
        <v>7</v>
      </c>
      <c r="F1911">
        <v>1214.56</v>
      </c>
      <c r="G1911" s="18">
        <v>45667</v>
      </c>
      <c r="H1911" s="18">
        <v>45667</v>
      </c>
      <c r="I1911">
        <v>7</v>
      </c>
      <c r="J1911">
        <v>8501.92</v>
      </c>
      <c r="K1911">
        <f>IF(tblPO[[#This Row],[Actual_Delivery_Date]]&lt;=tblPO[[#This Row],[Expected_Delivery_Date]],1,0)</f>
        <v>1</v>
      </c>
      <c r="L1911">
        <f>IF(tblPO[[#This Row],[Actual_Delivery_Date]]&gt;tblPO[[#This Row],[Expected_Delivery_Date]],1,0)</f>
        <v>0</v>
      </c>
      <c r="M1911">
        <f>tblPO[[#This Row],[Actual_Delivery_Date]]-tblPO[[#This Row],[PO_Date]]</f>
        <v>13</v>
      </c>
    </row>
    <row r="1912" spans="1:13" x14ac:dyDescent="0.3">
      <c r="A1912" t="s">
        <v>346</v>
      </c>
      <c r="B1912" s="18">
        <v>45640</v>
      </c>
      <c r="C1912" t="s">
        <v>59</v>
      </c>
      <c r="D1912" t="s">
        <v>110</v>
      </c>
      <c r="E1912">
        <v>5</v>
      </c>
      <c r="F1912">
        <v>3502.73</v>
      </c>
      <c r="G1912" s="18">
        <v>45651</v>
      </c>
      <c r="H1912" s="18">
        <v>45648</v>
      </c>
      <c r="I1912">
        <v>5</v>
      </c>
      <c r="J1912">
        <v>17513.650000000001</v>
      </c>
      <c r="K1912">
        <f>IF(tblPO[[#This Row],[Actual_Delivery_Date]]&lt;=tblPO[[#This Row],[Expected_Delivery_Date]],1,0)</f>
        <v>1</v>
      </c>
      <c r="L1912">
        <f>IF(tblPO[[#This Row],[Actual_Delivery_Date]]&gt;tblPO[[#This Row],[Expected_Delivery_Date]],1,0)</f>
        <v>0</v>
      </c>
      <c r="M1912">
        <f>tblPO[[#This Row],[Actual_Delivery_Date]]-tblPO[[#This Row],[PO_Date]]</f>
        <v>8</v>
      </c>
    </row>
    <row r="1913" spans="1:13" x14ac:dyDescent="0.3">
      <c r="A1913" t="s">
        <v>345</v>
      </c>
      <c r="B1913" s="18">
        <v>45639</v>
      </c>
      <c r="C1913" t="s">
        <v>53</v>
      </c>
      <c r="D1913" t="s">
        <v>104</v>
      </c>
      <c r="E1913">
        <v>36</v>
      </c>
      <c r="F1913">
        <v>443.36</v>
      </c>
      <c r="G1913" s="18">
        <v>45666</v>
      </c>
      <c r="H1913" s="18">
        <v>45664</v>
      </c>
      <c r="I1913">
        <v>36</v>
      </c>
      <c r="J1913">
        <v>15960.96</v>
      </c>
      <c r="K1913">
        <f>IF(tblPO[[#This Row],[Actual_Delivery_Date]]&lt;=tblPO[[#This Row],[Expected_Delivery_Date]],1,0)</f>
        <v>1</v>
      </c>
      <c r="L1913">
        <f>IF(tblPO[[#This Row],[Actual_Delivery_Date]]&gt;tblPO[[#This Row],[Expected_Delivery_Date]],1,0)</f>
        <v>0</v>
      </c>
      <c r="M1913">
        <f>tblPO[[#This Row],[Actual_Delivery_Date]]-tblPO[[#This Row],[PO_Date]]</f>
        <v>25</v>
      </c>
    </row>
    <row r="1914" spans="1:13" x14ac:dyDescent="0.3">
      <c r="A1914" t="s">
        <v>344</v>
      </c>
      <c r="B1914" s="18">
        <v>45643</v>
      </c>
      <c r="C1914" t="s">
        <v>50</v>
      </c>
      <c r="D1914" t="s">
        <v>119</v>
      </c>
      <c r="E1914">
        <v>23</v>
      </c>
      <c r="F1914">
        <v>8871.7900000000009</v>
      </c>
      <c r="G1914" s="18">
        <v>45651</v>
      </c>
      <c r="H1914" s="18">
        <v>45648</v>
      </c>
      <c r="I1914">
        <v>20</v>
      </c>
      <c r="J1914">
        <v>204051.17</v>
      </c>
      <c r="K1914">
        <f>IF(tblPO[[#This Row],[Actual_Delivery_Date]]&lt;=tblPO[[#This Row],[Expected_Delivery_Date]],1,0)</f>
        <v>1</v>
      </c>
      <c r="L1914">
        <f>IF(tblPO[[#This Row],[Actual_Delivery_Date]]&gt;tblPO[[#This Row],[Expected_Delivery_Date]],1,0)</f>
        <v>0</v>
      </c>
      <c r="M1914">
        <f>tblPO[[#This Row],[Actual_Delivery_Date]]-tblPO[[#This Row],[PO_Date]]</f>
        <v>5</v>
      </c>
    </row>
    <row r="1915" spans="1:13" x14ac:dyDescent="0.3">
      <c r="A1915" t="s">
        <v>343</v>
      </c>
      <c r="B1915" s="18">
        <v>45644</v>
      </c>
      <c r="C1915" t="s">
        <v>45</v>
      </c>
      <c r="D1915" t="s">
        <v>247</v>
      </c>
      <c r="E1915">
        <v>160</v>
      </c>
      <c r="F1915">
        <v>606.82000000000005</v>
      </c>
      <c r="G1915" s="18">
        <v>45652</v>
      </c>
      <c r="H1915" s="18">
        <v>45650</v>
      </c>
      <c r="I1915">
        <v>160</v>
      </c>
      <c r="J1915">
        <v>97091.199999999997</v>
      </c>
      <c r="K1915">
        <f>IF(tblPO[[#This Row],[Actual_Delivery_Date]]&lt;=tblPO[[#This Row],[Expected_Delivery_Date]],1,0)</f>
        <v>1</v>
      </c>
      <c r="L1915">
        <f>IF(tblPO[[#This Row],[Actual_Delivery_Date]]&gt;tblPO[[#This Row],[Expected_Delivery_Date]],1,0)</f>
        <v>0</v>
      </c>
      <c r="M1915">
        <f>tblPO[[#This Row],[Actual_Delivery_Date]]-tblPO[[#This Row],[PO_Date]]</f>
        <v>6</v>
      </c>
    </row>
    <row r="1916" spans="1:13" x14ac:dyDescent="0.3">
      <c r="A1916" t="s">
        <v>342</v>
      </c>
      <c r="B1916" s="18">
        <v>45645</v>
      </c>
      <c r="C1916" t="s">
        <v>42</v>
      </c>
      <c r="D1916" t="s">
        <v>81</v>
      </c>
      <c r="E1916">
        <v>3</v>
      </c>
      <c r="F1916">
        <v>27857.08</v>
      </c>
      <c r="G1916" s="18">
        <v>45674</v>
      </c>
      <c r="H1916" s="18">
        <v>45674</v>
      </c>
      <c r="I1916">
        <v>3</v>
      </c>
      <c r="J1916">
        <v>83571.240000000005</v>
      </c>
      <c r="K1916">
        <f>IF(tblPO[[#This Row],[Actual_Delivery_Date]]&lt;=tblPO[[#This Row],[Expected_Delivery_Date]],1,0)</f>
        <v>1</v>
      </c>
      <c r="L1916">
        <f>IF(tblPO[[#This Row],[Actual_Delivery_Date]]&gt;tblPO[[#This Row],[Expected_Delivery_Date]],1,0)</f>
        <v>0</v>
      </c>
      <c r="M1916">
        <f>tblPO[[#This Row],[Actual_Delivery_Date]]-tblPO[[#This Row],[PO_Date]]</f>
        <v>29</v>
      </c>
    </row>
    <row r="1917" spans="1:13" x14ac:dyDescent="0.3">
      <c r="A1917" t="s">
        <v>341</v>
      </c>
      <c r="B1917" s="18">
        <v>45654</v>
      </c>
      <c r="C1917" t="s">
        <v>55</v>
      </c>
      <c r="D1917" t="s">
        <v>212</v>
      </c>
      <c r="E1917">
        <v>119</v>
      </c>
      <c r="F1917">
        <v>356.62</v>
      </c>
      <c r="G1917" s="18">
        <v>45673</v>
      </c>
      <c r="H1917" s="18">
        <v>45671</v>
      </c>
      <c r="I1917">
        <v>119</v>
      </c>
      <c r="J1917">
        <v>42437.78</v>
      </c>
      <c r="K1917">
        <f>IF(tblPO[[#This Row],[Actual_Delivery_Date]]&lt;=tblPO[[#This Row],[Expected_Delivery_Date]],1,0)</f>
        <v>1</v>
      </c>
      <c r="L1917">
        <f>IF(tblPO[[#This Row],[Actual_Delivery_Date]]&gt;tblPO[[#This Row],[Expected_Delivery_Date]],1,0)</f>
        <v>0</v>
      </c>
      <c r="M1917">
        <f>tblPO[[#This Row],[Actual_Delivery_Date]]-tblPO[[#This Row],[PO_Date]]</f>
        <v>17</v>
      </c>
    </row>
    <row r="1918" spans="1:13" x14ac:dyDescent="0.3">
      <c r="A1918" t="s">
        <v>340</v>
      </c>
      <c r="B1918" s="18">
        <v>45648</v>
      </c>
      <c r="C1918" t="s">
        <v>59</v>
      </c>
      <c r="D1918" t="s">
        <v>84</v>
      </c>
      <c r="E1918">
        <v>149</v>
      </c>
      <c r="F1918">
        <v>138.91999999999999</v>
      </c>
      <c r="G1918" s="18">
        <v>45661</v>
      </c>
      <c r="H1918" s="18">
        <v>45660</v>
      </c>
      <c r="I1918">
        <v>149</v>
      </c>
      <c r="J1918">
        <v>20699.080000000002</v>
      </c>
      <c r="K1918">
        <f>IF(tblPO[[#This Row],[Actual_Delivery_Date]]&lt;=tblPO[[#This Row],[Expected_Delivery_Date]],1,0)</f>
        <v>1</v>
      </c>
      <c r="L1918">
        <f>IF(tblPO[[#This Row],[Actual_Delivery_Date]]&gt;tblPO[[#This Row],[Expected_Delivery_Date]],1,0)</f>
        <v>0</v>
      </c>
      <c r="M1918">
        <f>tblPO[[#This Row],[Actual_Delivery_Date]]-tblPO[[#This Row],[PO_Date]]</f>
        <v>12</v>
      </c>
    </row>
    <row r="1919" spans="1:13" x14ac:dyDescent="0.3">
      <c r="A1919" t="s">
        <v>339</v>
      </c>
      <c r="B1919" s="18">
        <v>45627</v>
      </c>
      <c r="C1919" t="s">
        <v>46</v>
      </c>
      <c r="D1919" t="s">
        <v>86</v>
      </c>
      <c r="E1919">
        <v>199</v>
      </c>
      <c r="F1919">
        <v>348.59</v>
      </c>
      <c r="G1919" s="18">
        <v>45654</v>
      </c>
      <c r="H1919" s="18">
        <v>45654</v>
      </c>
      <c r="I1919">
        <v>199</v>
      </c>
      <c r="J1919">
        <v>69369.41</v>
      </c>
      <c r="K1919">
        <f>IF(tblPO[[#This Row],[Actual_Delivery_Date]]&lt;=tblPO[[#This Row],[Expected_Delivery_Date]],1,0)</f>
        <v>1</v>
      </c>
      <c r="L1919">
        <f>IF(tblPO[[#This Row],[Actual_Delivery_Date]]&gt;tblPO[[#This Row],[Expected_Delivery_Date]],1,0)</f>
        <v>0</v>
      </c>
      <c r="M1919">
        <f>tblPO[[#This Row],[Actual_Delivery_Date]]-tblPO[[#This Row],[PO_Date]]</f>
        <v>27</v>
      </c>
    </row>
    <row r="1920" spans="1:13" x14ac:dyDescent="0.3">
      <c r="A1920" t="s">
        <v>338</v>
      </c>
      <c r="B1920" s="18">
        <v>45642</v>
      </c>
      <c r="C1920" t="s">
        <v>67</v>
      </c>
      <c r="D1920" t="s">
        <v>81</v>
      </c>
      <c r="E1920">
        <v>8</v>
      </c>
      <c r="F1920">
        <v>25157.29</v>
      </c>
      <c r="G1920" s="18">
        <v>45655</v>
      </c>
      <c r="H1920" s="18">
        <v>45655</v>
      </c>
      <c r="I1920">
        <v>8</v>
      </c>
      <c r="J1920">
        <v>201258.32</v>
      </c>
      <c r="K1920">
        <f>IF(tblPO[[#This Row],[Actual_Delivery_Date]]&lt;=tblPO[[#This Row],[Expected_Delivery_Date]],1,0)</f>
        <v>1</v>
      </c>
      <c r="L1920">
        <f>IF(tblPO[[#This Row],[Actual_Delivery_Date]]&gt;tblPO[[#This Row],[Expected_Delivery_Date]],1,0)</f>
        <v>0</v>
      </c>
      <c r="M1920">
        <f>tblPO[[#This Row],[Actual_Delivery_Date]]-tblPO[[#This Row],[PO_Date]]</f>
        <v>13</v>
      </c>
    </row>
    <row r="1921" spans="1:13" x14ac:dyDescent="0.3">
      <c r="A1921" t="s">
        <v>337</v>
      </c>
      <c r="B1921" s="18">
        <v>45654</v>
      </c>
      <c r="C1921" t="s">
        <v>46</v>
      </c>
      <c r="D1921" t="s">
        <v>98</v>
      </c>
      <c r="E1921">
        <v>6</v>
      </c>
      <c r="F1921">
        <v>10264.99</v>
      </c>
      <c r="G1921" s="18">
        <v>45666</v>
      </c>
      <c r="H1921" s="18">
        <v>45663</v>
      </c>
      <c r="I1921">
        <v>6</v>
      </c>
      <c r="J1921">
        <v>61589.94</v>
      </c>
      <c r="K1921">
        <f>IF(tblPO[[#This Row],[Actual_Delivery_Date]]&lt;=tblPO[[#This Row],[Expected_Delivery_Date]],1,0)</f>
        <v>1</v>
      </c>
      <c r="L1921">
        <f>IF(tblPO[[#This Row],[Actual_Delivery_Date]]&gt;tblPO[[#This Row],[Expected_Delivery_Date]],1,0)</f>
        <v>0</v>
      </c>
      <c r="M1921">
        <f>tblPO[[#This Row],[Actual_Delivery_Date]]-tblPO[[#This Row],[PO_Date]]</f>
        <v>9</v>
      </c>
    </row>
    <row r="1922" spans="1:13" x14ac:dyDescent="0.3">
      <c r="A1922" t="s">
        <v>336</v>
      </c>
      <c r="B1922" s="18">
        <v>45632</v>
      </c>
      <c r="C1922" t="s">
        <v>63</v>
      </c>
      <c r="D1922" t="s">
        <v>172</v>
      </c>
      <c r="E1922">
        <v>225</v>
      </c>
      <c r="F1922">
        <v>39.6</v>
      </c>
      <c r="G1922" s="18">
        <v>45651</v>
      </c>
      <c r="H1922" s="18">
        <v>45650</v>
      </c>
      <c r="I1922">
        <v>225</v>
      </c>
      <c r="J1922">
        <v>8910</v>
      </c>
      <c r="K1922">
        <f>IF(tblPO[[#This Row],[Actual_Delivery_Date]]&lt;=tblPO[[#This Row],[Expected_Delivery_Date]],1,0)</f>
        <v>1</v>
      </c>
      <c r="L1922">
        <f>IF(tblPO[[#This Row],[Actual_Delivery_Date]]&gt;tblPO[[#This Row],[Expected_Delivery_Date]],1,0)</f>
        <v>0</v>
      </c>
      <c r="M1922">
        <f>tblPO[[#This Row],[Actual_Delivery_Date]]-tblPO[[#This Row],[PO_Date]]</f>
        <v>18</v>
      </c>
    </row>
    <row r="1923" spans="1:13" x14ac:dyDescent="0.3">
      <c r="A1923" t="s">
        <v>335</v>
      </c>
      <c r="B1923" s="18">
        <v>45654</v>
      </c>
      <c r="C1923" t="s">
        <v>38</v>
      </c>
      <c r="D1923" t="s">
        <v>247</v>
      </c>
      <c r="E1923">
        <v>183</v>
      </c>
      <c r="F1923">
        <v>644.41</v>
      </c>
      <c r="G1923" s="18">
        <v>45668</v>
      </c>
      <c r="H1923" s="18">
        <v>45667</v>
      </c>
      <c r="I1923">
        <v>183</v>
      </c>
      <c r="J1923">
        <v>117927.03</v>
      </c>
      <c r="K1923">
        <f>IF(tblPO[[#This Row],[Actual_Delivery_Date]]&lt;=tblPO[[#This Row],[Expected_Delivery_Date]],1,0)</f>
        <v>1</v>
      </c>
      <c r="L1923">
        <f>IF(tblPO[[#This Row],[Actual_Delivery_Date]]&gt;tblPO[[#This Row],[Expected_Delivery_Date]],1,0)</f>
        <v>0</v>
      </c>
      <c r="M1923">
        <f>tblPO[[#This Row],[Actual_Delivery_Date]]-tblPO[[#This Row],[PO_Date]]</f>
        <v>13</v>
      </c>
    </row>
    <row r="1924" spans="1:13" x14ac:dyDescent="0.3">
      <c r="A1924" t="s">
        <v>334</v>
      </c>
      <c r="B1924" s="18">
        <v>45635</v>
      </c>
      <c r="C1924" t="s">
        <v>40</v>
      </c>
      <c r="D1924" t="s">
        <v>127</v>
      </c>
      <c r="E1924">
        <v>23</v>
      </c>
      <c r="F1924">
        <v>5976.92</v>
      </c>
      <c r="G1924" s="18">
        <v>45650</v>
      </c>
      <c r="H1924" s="18">
        <v>45647</v>
      </c>
      <c r="I1924">
        <v>23</v>
      </c>
      <c r="J1924">
        <v>137469.16</v>
      </c>
      <c r="K1924">
        <f>IF(tblPO[[#This Row],[Actual_Delivery_Date]]&lt;=tblPO[[#This Row],[Expected_Delivery_Date]],1,0)</f>
        <v>1</v>
      </c>
      <c r="L1924">
        <f>IF(tblPO[[#This Row],[Actual_Delivery_Date]]&gt;tblPO[[#This Row],[Expected_Delivery_Date]],1,0)</f>
        <v>0</v>
      </c>
      <c r="M1924">
        <f>tblPO[[#This Row],[Actual_Delivery_Date]]-tblPO[[#This Row],[PO_Date]]</f>
        <v>12</v>
      </c>
    </row>
    <row r="1925" spans="1:13" x14ac:dyDescent="0.3">
      <c r="A1925" t="s">
        <v>333</v>
      </c>
      <c r="B1925" s="18">
        <v>45645</v>
      </c>
      <c r="C1925" t="s">
        <v>39</v>
      </c>
      <c r="D1925" t="s">
        <v>152</v>
      </c>
      <c r="E1925">
        <v>124</v>
      </c>
      <c r="F1925">
        <v>107.47</v>
      </c>
      <c r="G1925" s="18">
        <v>45661</v>
      </c>
      <c r="H1925" s="18">
        <v>45661</v>
      </c>
      <c r="I1925">
        <v>124</v>
      </c>
      <c r="J1925">
        <v>13326.28</v>
      </c>
      <c r="K1925">
        <f>IF(tblPO[[#This Row],[Actual_Delivery_Date]]&lt;=tblPO[[#This Row],[Expected_Delivery_Date]],1,0)</f>
        <v>1</v>
      </c>
      <c r="L1925">
        <f>IF(tblPO[[#This Row],[Actual_Delivery_Date]]&gt;tblPO[[#This Row],[Expected_Delivery_Date]],1,0)</f>
        <v>0</v>
      </c>
      <c r="M1925">
        <f>tblPO[[#This Row],[Actual_Delivery_Date]]-tblPO[[#This Row],[PO_Date]]</f>
        <v>16</v>
      </c>
    </row>
    <row r="1926" spans="1:13" x14ac:dyDescent="0.3">
      <c r="A1926" t="s">
        <v>332</v>
      </c>
      <c r="B1926" s="18">
        <v>45644</v>
      </c>
      <c r="C1926" t="s">
        <v>41</v>
      </c>
      <c r="D1926" t="s">
        <v>183</v>
      </c>
      <c r="E1926">
        <v>90</v>
      </c>
      <c r="F1926">
        <v>11.12</v>
      </c>
      <c r="G1926" s="18">
        <v>45655</v>
      </c>
      <c r="H1926" s="18">
        <v>45654</v>
      </c>
      <c r="I1926">
        <v>90</v>
      </c>
      <c r="J1926">
        <v>1000.8</v>
      </c>
      <c r="K1926">
        <f>IF(tblPO[[#This Row],[Actual_Delivery_Date]]&lt;=tblPO[[#This Row],[Expected_Delivery_Date]],1,0)</f>
        <v>1</v>
      </c>
      <c r="L1926">
        <f>IF(tblPO[[#This Row],[Actual_Delivery_Date]]&gt;tblPO[[#This Row],[Expected_Delivery_Date]],1,0)</f>
        <v>0</v>
      </c>
      <c r="M1926">
        <f>tblPO[[#This Row],[Actual_Delivery_Date]]-tblPO[[#This Row],[PO_Date]]</f>
        <v>10</v>
      </c>
    </row>
    <row r="1927" spans="1:13" x14ac:dyDescent="0.3">
      <c r="A1927" t="s">
        <v>331</v>
      </c>
      <c r="B1927" s="18">
        <v>45631</v>
      </c>
      <c r="C1927" t="s">
        <v>51</v>
      </c>
      <c r="D1927" t="s">
        <v>149</v>
      </c>
      <c r="E1927">
        <v>212</v>
      </c>
      <c r="F1927">
        <v>58.83</v>
      </c>
      <c r="G1927" s="18">
        <v>45635</v>
      </c>
      <c r="H1927" s="18">
        <v>45636</v>
      </c>
      <c r="I1927">
        <v>212</v>
      </c>
      <c r="J1927">
        <v>12471.96</v>
      </c>
      <c r="K1927">
        <f>IF(tblPO[[#This Row],[Actual_Delivery_Date]]&lt;=tblPO[[#This Row],[Expected_Delivery_Date]],1,0)</f>
        <v>0</v>
      </c>
      <c r="L1927">
        <f>IF(tblPO[[#This Row],[Actual_Delivery_Date]]&gt;tblPO[[#This Row],[Expected_Delivery_Date]],1,0)</f>
        <v>1</v>
      </c>
      <c r="M1927">
        <f>tblPO[[#This Row],[Actual_Delivery_Date]]-tblPO[[#This Row],[PO_Date]]</f>
        <v>5</v>
      </c>
    </row>
    <row r="1928" spans="1:13" x14ac:dyDescent="0.3">
      <c r="A1928" t="s">
        <v>330</v>
      </c>
      <c r="B1928" s="18">
        <v>45650</v>
      </c>
      <c r="C1928" t="s">
        <v>46</v>
      </c>
      <c r="D1928" t="s">
        <v>88</v>
      </c>
      <c r="E1928">
        <v>7</v>
      </c>
      <c r="F1928">
        <v>19730.939999999999</v>
      </c>
      <c r="G1928" s="18">
        <v>45670</v>
      </c>
      <c r="H1928" s="18">
        <v>45669</v>
      </c>
      <c r="I1928">
        <v>7</v>
      </c>
      <c r="J1928">
        <v>138116.57999999999</v>
      </c>
      <c r="K1928">
        <f>IF(tblPO[[#This Row],[Actual_Delivery_Date]]&lt;=tblPO[[#This Row],[Expected_Delivery_Date]],1,0)</f>
        <v>1</v>
      </c>
      <c r="L1928">
        <f>IF(tblPO[[#This Row],[Actual_Delivery_Date]]&gt;tblPO[[#This Row],[Expected_Delivery_Date]],1,0)</f>
        <v>0</v>
      </c>
      <c r="M1928">
        <f>tblPO[[#This Row],[Actual_Delivery_Date]]-tblPO[[#This Row],[PO_Date]]</f>
        <v>19</v>
      </c>
    </row>
    <row r="1929" spans="1:13" x14ac:dyDescent="0.3">
      <c r="A1929" t="s">
        <v>329</v>
      </c>
      <c r="B1929" s="18">
        <v>45654</v>
      </c>
      <c r="C1929" t="s">
        <v>57</v>
      </c>
      <c r="D1929" t="s">
        <v>201</v>
      </c>
      <c r="E1929">
        <v>395</v>
      </c>
      <c r="F1929">
        <v>44.52</v>
      </c>
      <c r="G1929" s="18">
        <v>45682</v>
      </c>
      <c r="H1929" s="18">
        <v>45679</v>
      </c>
      <c r="I1929">
        <v>395</v>
      </c>
      <c r="J1929">
        <v>17585.400000000001</v>
      </c>
      <c r="K1929">
        <f>IF(tblPO[[#This Row],[Actual_Delivery_Date]]&lt;=tblPO[[#This Row],[Expected_Delivery_Date]],1,0)</f>
        <v>1</v>
      </c>
      <c r="L1929">
        <f>IF(tblPO[[#This Row],[Actual_Delivery_Date]]&gt;tblPO[[#This Row],[Expected_Delivery_Date]],1,0)</f>
        <v>0</v>
      </c>
      <c r="M1929">
        <f>tblPO[[#This Row],[Actual_Delivery_Date]]-tblPO[[#This Row],[PO_Date]]</f>
        <v>25</v>
      </c>
    </row>
    <row r="1930" spans="1:13" x14ac:dyDescent="0.3">
      <c r="A1930" t="s">
        <v>328</v>
      </c>
      <c r="B1930" s="18">
        <v>45644</v>
      </c>
      <c r="C1930" t="s">
        <v>41</v>
      </c>
      <c r="D1930" t="s">
        <v>201</v>
      </c>
      <c r="E1930">
        <v>691</v>
      </c>
      <c r="F1930">
        <v>40.89</v>
      </c>
      <c r="G1930" s="18">
        <v>45661</v>
      </c>
      <c r="H1930" s="18">
        <v>45679</v>
      </c>
      <c r="I1930">
        <v>691</v>
      </c>
      <c r="J1930">
        <v>28254.99</v>
      </c>
      <c r="K1930">
        <f>IF(tblPO[[#This Row],[Actual_Delivery_Date]]&lt;=tblPO[[#This Row],[Expected_Delivery_Date]],1,0)</f>
        <v>0</v>
      </c>
      <c r="L1930">
        <f>IF(tblPO[[#This Row],[Actual_Delivery_Date]]&gt;tblPO[[#This Row],[Expected_Delivery_Date]],1,0)</f>
        <v>1</v>
      </c>
      <c r="M1930">
        <f>tblPO[[#This Row],[Actual_Delivery_Date]]-tblPO[[#This Row],[PO_Date]]</f>
        <v>35</v>
      </c>
    </row>
    <row r="1931" spans="1:13" x14ac:dyDescent="0.3">
      <c r="A1931" t="s">
        <v>327</v>
      </c>
      <c r="B1931" s="18">
        <v>45634</v>
      </c>
      <c r="C1931" t="s">
        <v>52</v>
      </c>
      <c r="D1931" t="s">
        <v>223</v>
      </c>
      <c r="E1931">
        <v>55</v>
      </c>
      <c r="F1931">
        <v>154.82</v>
      </c>
      <c r="G1931" s="18">
        <v>45649</v>
      </c>
      <c r="H1931" s="18">
        <v>45649</v>
      </c>
      <c r="I1931">
        <v>55</v>
      </c>
      <c r="J1931">
        <v>8515.1</v>
      </c>
      <c r="K1931">
        <f>IF(tblPO[[#This Row],[Actual_Delivery_Date]]&lt;=tblPO[[#This Row],[Expected_Delivery_Date]],1,0)</f>
        <v>1</v>
      </c>
      <c r="L1931">
        <f>IF(tblPO[[#This Row],[Actual_Delivery_Date]]&gt;tblPO[[#This Row],[Expected_Delivery_Date]],1,0)</f>
        <v>0</v>
      </c>
      <c r="M1931">
        <f>tblPO[[#This Row],[Actual_Delivery_Date]]-tblPO[[#This Row],[PO_Date]]</f>
        <v>15</v>
      </c>
    </row>
    <row r="1932" spans="1:13" x14ac:dyDescent="0.3">
      <c r="A1932" t="s">
        <v>326</v>
      </c>
      <c r="B1932" s="18">
        <v>45627</v>
      </c>
      <c r="C1932" t="s">
        <v>39</v>
      </c>
      <c r="D1932" t="s">
        <v>152</v>
      </c>
      <c r="E1932">
        <v>241</v>
      </c>
      <c r="F1932">
        <v>107.76</v>
      </c>
      <c r="G1932" s="18">
        <v>45653</v>
      </c>
      <c r="H1932" s="18">
        <v>45650</v>
      </c>
      <c r="I1932">
        <v>241</v>
      </c>
      <c r="J1932">
        <v>25970.16</v>
      </c>
      <c r="K1932">
        <f>IF(tblPO[[#This Row],[Actual_Delivery_Date]]&lt;=tblPO[[#This Row],[Expected_Delivery_Date]],1,0)</f>
        <v>1</v>
      </c>
      <c r="L1932">
        <f>IF(tblPO[[#This Row],[Actual_Delivery_Date]]&gt;tblPO[[#This Row],[Expected_Delivery_Date]],1,0)</f>
        <v>0</v>
      </c>
      <c r="M1932">
        <f>tblPO[[#This Row],[Actual_Delivery_Date]]-tblPO[[#This Row],[PO_Date]]</f>
        <v>23</v>
      </c>
    </row>
    <row r="1933" spans="1:13" x14ac:dyDescent="0.3">
      <c r="A1933" t="s">
        <v>325</v>
      </c>
      <c r="B1933" s="18">
        <v>45641</v>
      </c>
      <c r="C1933" t="s">
        <v>48</v>
      </c>
      <c r="D1933" t="s">
        <v>174</v>
      </c>
      <c r="E1933">
        <v>729</v>
      </c>
      <c r="F1933">
        <v>50.27</v>
      </c>
      <c r="G1933" s="18">
        <v>45668</v>
      </c>
      <c r="H1933" s="18">
        <v>45668</v>
      </c>
      <c r="I1933">
        <v>729</v>
      </c>
      <c r="J1933">
        <v>36646.83</v>
      </c>
      <c r="K1933">
        <f>IF(tblPO[[#This Row],[Actual_Delivery_Date]]&lt;=tblPO[[#This Row],[Expected_Delivery_Date]],1,0)</f>
        <v>1</v>
      </c>
      <c r="L1933">
        <f>IF(tblPO[[#This Row],[Actual_Delivery_Date]]&gt;tblPO[[#This Row],[Expected_Delivery_Date]],1,0)</f>
        <v>0</v>
      </c>
      <c r="M1933">
        <f>tblPO[[#This Row],[Actual_Delivery_Date]]-tblPO[[#This Row],[PO_Date]]</f>
        <v>27</v>
      </c>
    </row>
    <row r="1934" spans="1:13" x14ac:dyDescent="0.3">
      <c r="A1934" t="s">
        <v>324</v>
      </c>
      <c r="B1934" s="18">
        <v>45656</v>
      </c>
      <c r="C1934" t="s">
        <v>51</v>
      </c>
      <c r="D1934" t="s">
        <v>172</v>
      </c>
      <c r="E1934">
        <v>638</v>
      </c>
      <c r="F1934">
        <v>27.98</v>
      </c>
      <c r="G1934" s="18">
        <v>45672</v>
      </c>
      <c r="H1934" s="18">
        <v>45670</v>
      </c>
      <c r="I1934">
        <v>638</v>
      </c>
      <c r="J1934">
        <v>17851.240000000002</v>
      </c>
      <c r="K1934">
        <f>IF(tblPO[[#This Row],[Actual_Delivery_Date]]&lt;=tblPO[[#This Row],[Expected_Delivery_Date]],1,0)</f>
        <v>1</v>
      </c>
      <c r="L1934">
        <f>IF(tblPO[[#This Row],[Actual_Delivery_Date]]&gt;tblPO[[#This Row],[Expected_Delivery_Date]],1,0)</f>
        <v>0</v>
      </c>
      <c r="M1934">
        <f>tblPO[[#This Row],[Actual_Delivery_Date]]-tblPO[[#This Row],[PO_Date]]</f>
        <v>14</v>
      </c>
    </row>
    <row r="1935" spans="1:13" x14ac:dyDescent="0.3">
      <c r="A1935" t="s">
        <v>323</v>
      </c>
      <c r="B1935" s="18">
        <v>45633</v>
      </c>
      <c r="C1935" t="s">
        <v>51</v>
      </c>
      <c r="D1935" t="s">
        <v>172</v>
      </c>
      <c r="E1935">
        <v>640</v>
      </c>
      <c r="F1935">
        <v>26.81</v>
      </c>
      <c r="G1935" s="18">
        <v>45651</v>
      </c>
      <c r="H1935" s="18">
        <v>45657</v>
      </c>
      <c r="I1935">
        <v>640</v>
      </c>
      <c r="J1935">
        <v>17158.400000000001</v>
      </c>
      <c r="K1935">
        <f>IF(tblPO[[#This Row],[Actual_Delivery_Date]]&lt;=tblPO[[#This Row],[Expected_Delivery_Date]],1,0)</f>
        <v>0</v>
      </c>
      <c r="L1935">
        <f>IF(tblPO[[#This Row],[Actual_Delivery_Date]]&gt;tblPO[[#This Row],[Expected_Delivery_Date]],1,0)</f>
        <v>1</v>
      </c>
      <c r="M1935">
        <f>tblPO[[#This Row],[Actual_Delivery_Date]]-tblPO[[#This Row],[PO_Date]]</f>
        <v>24</v>
      </c>
    </row>
    <row r="1936" spans="1:13" x14ac:dyDescent="0.3">
      <c r="A1936" t="s">
        <v>322</v>
      </c>
      <c r="B1936" s="18">
        <v>45627</v>
      </c>
      <c r="C1936" t="s">
        <v>42</v>
      </c>
      <c r="D1936" t="s">
        <v>94</v>
      </c>
      <c r="E1936">
        <v>144</v>
      </c>
      <c r="F1936">
        <v>504.95</v>
      </c>
      <c r="G1936" s="18">
        <v>45651</v>
      </c>
      <c r="H1936" s="18">
        <v>45649</v>
      </c>
      <c r="I1936">
        <v>144</v>
      </c>
      <c r="J1936">
        <v>72712.800000000003</v>
      </c>
      <c r="K1936">
        <f>IF(tblPO[[#This Row],[Actual_Delivery_Date]]&lt;=tblPO[[#This Row],[Expected_Delivery_Date]],1,0)</f>
        <v>1</v>
      </c>
      <c r="L1936">
        <f>IF(tblPO[[#This Row],[Actual_Delivery_Date]]&gt;tblPO[[#This Row],[Expected_Delivery_Date]],1,0)</f>
        <v>0</v>
      </c>
      <c r="M1936">
        <f>tblPO[[#This Row],[Actual_Delivery_Date]]-tblPO[[#This Row],[PO_Date]]</f>
        <v>22</v>
      </c>
    </row>
    <row r="1937" spans="1:13" x14ac:dyDescent="0.3">
      <c r="A1937" t="s">
        <v>321</v>
      </c>
      <c r="B1937" s="18">
        <v>45648</v>
      </c>
      <c r="C1937" t="s">
        <v>41</v>
      </c>
      <c r="D1937" t="s">
        <v>185</v>
      </c>
      <c r="E1937">
        <v>161</v>
      </c>
      <c r="F1937">
        <v>7.68</v>
      </c>
      <c r="G1937" s="18">
        <v>45662</v>
      </c>
      <c r="H1937" s="18">
        <v>45662</v>
      </c>
      <c r="I1937">
        <v>161</v>
      </c>
      <c r="J1937">
        <v>1236.48</v>
      </c>
      <c r="K1937">
        <f>IF(tblPO[[#This Row],[Actual_Delivery_Date]]&lt;=tblPO[[#This Row],[Expected_Delivery_Date]],1,0)</f>
        <v>1</v>
      </c>
      <c r="L1937">
        <f>IF(tblPO[[#This Row],[Actual_Delivery_Date]]&gt;tblPO[[#This Row],[Expected_Delivery_Date]],1,0)</f>
        <v>0</v>
      </c>
      <c r="M1937">
        <f>tblPO[[#This Row],[Actual_Delivery_Date]]-tblPO[[#This Row],[PO_Date]]</f>
        <v>14</v>
      </c>
    </row>
    <row r="1938" spans="1:13" x14ac:dyDescent="0.3">
      <c r="A1938" t="s">
        <v>320</v>
      </c>
      <c r="B1938" s="18">
        <v>45645</v>
      </c>
      <c r="C1938" t="s">
        <v>49</v>
      </c>
      <c r="D1938" t="s">
        <v>190</v>
      </c>
      <c r="E1938">
        <v>126</v>
      </c>
      <c r="F1938">
        <v>104.18</v>
      </c>
      <c r="G1938" s="18">
        <v>45649</v>
      </c>
      <c r="H1938" s="18">
        <v>45646</v>
      </c>
      <c r="I1938">
        <v>126</v>
      </c>
      <c r="J1938">
        <v>13126.68</v>
      </c>
      <c r="K1938">
        <f>IF(tblPO[[#This Row],[Actual_Delivery_Date]]&lt;=tblPO[[#This Row],[Expected_Delivery_Date]],1,0)</f>
        <v>1</v>
      </c>
      <c r="L1938">
        <f>IF(tblPO[[#This Row],[Actual_Delivery_Date]]&gt;tblPO[[#This Row],[Expected_Delivery_Date]],1,0)</f>
        <v>0</v>
      </c>
      <c r="M1938">
        <f>tblPO[[#This Row],[Actual_Delivery_Date]]-tblPO[[#This Row],[PO_Date]]</f>
        <v>1</v>
      </c>
    </row>
    <row r="1939" spans="1:13" x14ac:dyDescent="0.3">
      <c r="A1939" t="s">
        <v>319</v>
      </c>
      <c r="B1939" s="18">
        <v>45637</v>
      </c>
      <c r="C1939" t="s">
        <v>71</v>
      </c>
      <c r="D1939" t="s">
        <v>146</v>
      </c>
      <c r="E1939">
        <v>25</v>
      </c>
      <c r="F1939">
        <v>2584.61</v>
      </c>
      <c r="G1939" s="18">
        <v>45651</v>
      </c>
      <c r="H1939" s="18">
        <v>45649</v>
      </c>
      <c r="I1939">
        <v>25</v>
      </c>
      <c r="J1939">
        <v>64615.25</v>
      </c>
      <c r="K1939">
        <f>IF(tblPO[[#This Row],[Actual_Delivery_Date]]&lt;=tblPO[[#This Row],[Expected_Delivery_Date]],1,0)</f>
        <v>1</v>
      </c>
      <c r="L1939">
        <f>IF(tblPO[[#This Row],[Actual_Delivery_Date]]&gt;tblPO[[#This Row],[Expected_Delivery_Date]],1,0)</f>
        <v>0</v>
      </c>
      <c r="M1939">
        <f>tblPO[[#This Row],[Actual_Delivery_Date]]-tblPO[[#This Row],[PO_Date]]</f>
        <v>12</v>
      </c>
    </row>
    <row r="1940" spans="1:13" x14ac:dyDescent="0.3">
      <c r="A1940" t="s">
        <v>318</v>
      </c>
      <c r="B1940" s="18">
        <v>45633</v>
      </c>
      <c r="C1940" t="s">
        <v>41</v>
      </c>
      <c r="D1940" t="s">
        <v>197</v>
      </c>
      <c r="E1940">
        <v>110</v>
      </c>
      <c r="F1940">
        <v>256.79000000000002</v>
      </c>
      <c r="G1940" s="18">
        <v>45640</v>
      </c>
      <c r="H1940" s="18">
        <v>45639</v>
      </c>
      <c r="I1940">
        <v>110</v>
      </c>
      <c r="J1940">
        <v>28246.9</v>
      </c>
      <c r="K1940">
        <f>IF(tblPO[[#This Row],[Actual_Delivery_Date]]&lt;=tblPO[[#This Row],[Expected_Delivery_Date]],1,0)</f>
        <v>1</v>
      </c>
      <c r="L1940">
        <f>IF(tblPO[[#This Row],[Actual_Delivery_Date]]&gt;tblPO[[#This Row],[Expected_Delivery_Date]],1,0)</f>
        <v>0</v>
      </c>
      <c r="M1940">
        <f>tblPO[[#This Row],[Actual_Delivery_Date]]-tblPO[[#This Row],[PO_Date]]</f>
        <v>6</v>
      </c>
    </row>
    <row r="1941" spans="1:13" x14ac:dyDescent="0.3">
      <c r="A1941" t="s">
        <v>317</v>
      </c>
      <c r="B1941" s="18">
        <v>45648</v>
      </c>
      <c r="C1941" t="s">
        <v>40</v>
      </c>
      <c r="D1941" t="s">
        <v>136</v>
      </c>
      <c r="E1941">
        <v>44</v>
      </c>
      <c r="F1941">
        <v>689.81</v>
      </c>
      <c r="G1941" s="18">
        <v>45659</v>
      </c>
      <c r="H1941" s="18">
        <v>45657</v>
      </c>
      <c r="I1941">
        <v>44</v>
      </c>
      <c r="J1941">
        <v>30351.64</v>
      </c>
      <c r="K1941">
        <f>IF(tblPO[[#This Row],[Actual_Delivery_Date]]&lt;=tblPO[[#This Row],[Expected_Delivery_Date]],1,0)</f>
        <v>1</v>
      </c>
      <c r="L1941">
        <f>IF(tblPO[[#This Row],[Actual_Delivery_Date]]&gt;tblPO[[#This Row],[Expected_Delivery_Date]],1,0)</f>
        <v>0</v>
      </c>
      <c r="M1941">
        <f>tblPO[[#This Row],[Actual_Delivery_Date]]-tblPO[[#This Row],[PO_Date]]</f>
        <v>9</v>
      </c>
    </row>
    <row r="1942" spans="1:13" x14ac:dyDescent="0.3">
      <c r="A1942" t="s">
        <v>316</v>
      </c>
      <c r="B1942" s="18">
        <v>45656</v>
      </c>
      <c r="C1942" t="s">
        <v>40</v>
      </c>
      <c r="D1942" t="s">
        <v>136</v>
      </c>
      <c r="E1942">
        <v>156</v>
      </c>
      <c r="F1942">
        <v>685.02</v>
      </c>
      <c r="G1942" s="18">
        <v>45662</v>
      </c>
      <c r="H1942" s="18">
        <v>45660</v>
      </c>
      <c r="I1942">
        <v>156</v>
      </c>
      <c r="J1942">
        <v>106863.12</v>
      </c>
      <c r="K1942">
        <f>IF(tblPO[[#This Row],[Actual_Delivery_Date]]&lt;=tblPO[[#This Row],[Expected_Delivery_Date]],1,0)</f>
        <v>1</v>
      </c>
      <c r="L1942">
        <f>IF(tblPO[[#This Row],[Actual_Delivery_Date]]&gt;tblPO[[#This Row],[Expected_Delivery_Date]],1,0)</f>
        <v>0</v>
      </c>
      <c r="M1942">
        <f>tblPO[[#This Row],[Actual_Delivery_Date]]-tblPO[[#This Row],[PO_Date]]</f>
        <v>4</v>
      </c>
    </row>
    <row r="1943" spans="1:13" x14ac:dyDescent="0.3">
      <c r="A1943" t="s">
        <v>315</v>
      </c>
      <c r="B1943" s="18">
        <v>45632</v>
      </c>
      <c r="C1943" t="s">
        <v>68</v>
      </c>
      <c r="D1943" t="s">
        <v>156</v>
      </c>
      <c r="E1943">
        <v>385</v>
      </c>
      <c r="F1943">
        <v>43.52</v>
      </c>
      <c r="G1943" s="18">
        <v>45645</v>
      </c>
      <c r="H1943" s="18">
        <v>45649</v>
      </c>
      <c r="I1943">
        <v>385</v>
      </c>
      <c r="J1943">
        <v>16755.2</v>
      </c>
      <c r="K1943">
        <f>IF(tblPO[[#This Row],[Actual_Delivery_Date]]&lt;=tblPO[[#This Row],[Expected_Delivery_Date]],1,0)</f>
        <v>0</v>
      </c>
      <c r="L1943">
        <f>IF(tblPO[[#This Row],[Actual_Delivery_Date]]&gt;tblPO[[#This Row],[Expected_Delivery_Date]],1,0)</f>
        <v>1</v>
      </c>
      <c r="M1943">
        <f>tblPO[[#This Row],[Actual_Delivery_Date]]-tblPO[[#This Row],[PO_Date]]</f>
        <v>17</v>
      </c>
    </row>
    <row r="1944" spans="1:13" x14ac:dyDescent="0.3">
      <c r="A1944" t="s">
        <v>314</v>
      </c>
      <c r="B1944" s="18">
        <v>45632</v>
      </c>
      <c r="C1944" t="s">
        <v>57</v>
      </c>
      <c r="D1944" t="s">
        <v>199</v>
      </c>
      <c r="E1944">
        <v>157</v>
      </c>
      <c r="F1944">
        <v>304.47000000000003</v>
      </c>
      <c r="G1944" s="18">
        <v>45656</v>
      </c>
      <c r="H1944" s="18">
        <v>45665</v>
      </c>
      <c r="I1944">
        <v>157</v>
      </c>
      <c r="J1944">
        <v>47801.79</v>
      </c>
      <c r="K1944">
        <f>IF(tblPO[[#This Row],[Actual_Delivery_Date]]&lt;=tblPO[[#This Row],[Expected_Delivery_Date]],1,0)</f>
        <v>0</v>
      </c>
      <c r="L1944">
        <f>IF(tblPO[[#This Row],[Actual_Delivery_Date]]&gt;tblPO[[#This Row],[Expected_Delivery_Date]],1,0)</f>
        <v>1</v>
      </c>
      <c r="M1944">
        <f>tblPO[[#This Row],[Actual_Delivery_Date]]-tblPO[[#This Row],[PO_Date]]</f>
        <v>33</v>
      </c>
    </row>
    <row r="1945" spans="1:13" x14ac:dyDescent="0.3">
      <c r="A1945" t="s">
        <v>313</v>
      </c>
      <c r="B1945" s="18">
        <v>45652</v>
      </c>
      <c r="C1945" t="s">
        <v>40</v>
      </c>
      <c r="D1945" t="s">
        <v>136</v>
      </c>
      <c r="E1945">
        <v>165</v>
      </c>
      <c r="F1945">
        <v>673.95</v>
      </c>
      <c r="G1945" s="18">
        <v>45666</v>
      </c>
      <c r="H1945" s="18">
        <v>45663</v>
      </c>
      <c r="I1945">
        <v>165</v>
      </c>
      <c r="J1945">
        <v>111201.75</v>
      </c>
      <c r="K1945">
        <f>IF(tblPO[[#This Row],[Actual_Delivery_Date]]&lt;=tblPO[[#This Row],[Expected_Delivery_Date]],1,0)</f>
        <v>1</v>
      </c>
      <c r="L1945">
        <f>IF(tblPO[[#This Row],[Actual_Delivery_Date]]&gt;tblPO[[#This Row],[Expected_Delivery_Date]],1,0)</f>
        <v>0</v>
      </c>
      <c r="M1945">
        <f>tblPO[[#This Row],[Actual_Delivery_Date]]-tblPO[[#This Row],[PO_Date]]</f>
        <v>11</v>
      </c>
    </row>
    <row r="1946" spans="1:13" x14ac:dyDescent="0.3">
      <c r="A1946" t="s">
        <v>312</v>
      </c>
      <c r="B1946" s="18">
        <v>45657</v>
      </c>
      <c r="C1946" t="s">
        <v>46</v>
      </c>
      <c r="D1946" t="s">
        <v>98</v>
      </c>
      <c r="E1946">
        <v>2</v>
      </c>
      <c r="F1946">
        <v>10142.77</v>
      </c>
      <c r="G1946" s="18">
        <v>45684</v>
      </c>
      <c r="H1946" s="18">
        <v>45684</v>
      </c>
      <c r="I1946">
        <v>2</v>
      </c>
      <c r="J1946">
        <v>20285.54</v>
      </c>
      <c r="K1946">
        <f>IF(tblPO[[#This Row],[Actual_Delivery_Date]]&lt;=tblPO[[#This Row],[Expected_Delivery_Date]],1,0)</f>
        <v>1</v>
      </c>
      <c r="L1946">
        <f>IF(tblPO[[#This Row],[Actual_Delivery_Date]]&gt;tblPO[[#This Row],[Expected_Delivery_Date]],1,0)</f>
        <v>0</v>
      </c>
      <c r="M1946">
        <f>tblPO[[#This Row],[Actual_Delivery_Date]]-tblPO[[#This Row],[PO_Date]]</f>
        <v>27</v>
      </c>
    </row>
    <row r="1947" spans="1:13" x14ac:dyDescent="0.3">
      <c r="A1947" t="s">
        <v>311</v>
      </c>
      <c r="B1947" s="18">
        <v>45637</v>
      </c>
      <c r="C1947" t="s">
        <v>48</v>
      </c>
      <c r="D1947" t="s">
        <v>160</v>
      </c>
      <c r="E1947">
        <v>674</v>
      </c>
      <c r="F1947">
        <v>121.76</v>
      </c>
      <c r="G1947" s="18">
        <v>45664</v>
      </c>
      <c r="H1947" s="18">
        <v>45663</v>
      </c>
      <c r="I1947">
        <v>674</v>
      </c>
      <c r="J1947">
        <v>82066.240000000005</v>
      </c>
      <c r="K1947">
        <f>IF(tblPO[[#This Row],[Actual_Delivery_Date]]&lt;=tblPO[[#This Row],[Expected_Delivery_Date]],1,0)</f>
        <v>1</v>
      </c>
      <c r="L1947">
        <f>IF(tblPO[[#This Row],[Actual_Delivery_Date]]&gt;tblPO[[#This Row],[Expected_Delivery_Date]],1,0)</f>
        <v>0</v>
      </c>
      <c r="M1947">
        <f>tblPO[[#This Row],[Actual_Delivery_Date]]-tblPO[[#This Row],[PO_Date]]</f>
        <v>26</v>
      </c>
    </row>
    <row r="1948" spans="1:13" x14ac:dyDescent="0.3">
      <c r="A1948" t="s">
        <v>310</v>
      </c>
      <c r="B1948" s="18">
        <v>45647</v>
      </c>
      <c r="C1948" t="s">
        <v>60</v>
      </c>
      <c r="D1948" t="s">
        <v>136</v>
      </c>
      <c r="E1948">
        <v>88</v>
      </c>
      <c r="F1948">
        <v>449.56</v>
      </c>
      <c r="G1948" s="18">
        <v>45653</v>
      </c>
      <c r="H1948" s="18">
        <v>45673</v>
      </c>
      <c r="I1948">
        <v>88</v>
      </c>
      <c r="J1948">
        <v>39561.279999999999</v>
      </c>
      <c r="K1948">
        <f>IF(tblPO[[#This Row],[Actual_Delivery_Date]]&lt;=tblPO[[#This Row],[Expected_Delivery_Date]],1,0)</f>
        <v>0</v>
      </c>
      <c r="L1948">
        <f>IF(tblPO[[#This Row],[Actual_Delivery_Date]]&gt;tblPO[[#This Row],[Expected_Delivery_Date]],1,0)</f>
        <v>1</v>
      </c>
      <c r="M1948">
        <f>tblPO[[#This Row],[Actual_Delivery_Date]]-tblPO[[#This Row],[PO_Date]]</f>
        <v>26</v>
      </c>
    </row>
    <row r="1949" spans="1:13" x14ac:dyDescent="0.3">
      <c r="A1949" t="s">
        <v>309</v>
      </c>
      <c r="B1949" s="18">
        <v>45656</v>
      </c>
      <c r="C1949" t="s">
        <v>39</v>
      </c>
      <c r="D1949" t="s">
        <v>158</v>
      </c>
      <c r="E1949">
        <v>38</v>
      </c>
      <c r="F1949">
        <v>125.38</v>
      </c>
      <c r="G1949" s="18">
        <v>45683</v>
      </c>
      <c r="H1949" s="18">
        <v>45681</v>
      </c>
      <c r="I1949">
        <v>35</v>
      </c>
      <c r="J1949">
        <v>4764.4399999999996</v>
      </c>
      <c r="K1949">
        <f>IF(tblPO[[#This Row],[Actual_Delivery_Date]]&lt;=tblPO[[#This Row],[Expected_Delivery_Date]],1,0)</f>
        <v>1</v>
      </c>
      <c r="L1949">
        <f>IF(tblPO[[#This Row],[Actual_Delivery_Date]]&gt;tblPO[[#This Row],[Expected_Delivery_Date]],1,0)</f>
        <v>0</v>
      </c>
      <c r="M1949">
        <f>tblPO[[#This Row],[Actual_Delivery_Date]]-tblPO[[#This Row],[PO_Date]]</f>
        <v>25</v>
      </c>
    </row>
    <row r="1950" spans="1:13" x14ac:dyDescent="0.3">
      <c r="A1950" t="s">
        <v>308</v>
      </c>
      <c r="B1950" s="18">
        <v>45635</v>
      </c>
      <c r="C1950" t="s">
        <v>53</v>
      </c>
      <c r="D1950" t="s">
        <v>88</v>
      </c>
      <c r="E1950">
        <v>4</v>
      </c>
      <c r="F1950">
        <v>17587.740000000002</v>
      </c>
      <c r="G1950" s="18">
        <v>45648</v>
      </c>
      <c r="H1950" s="18">
        <v>45647</v>
      </c>
      <c r="I1950">
        <v>4</v>
      </c>
      <c r="J1950">
        <v>70350.960000000006</v>
      </c>
      <c r="K1950">
        <f>IF(tblPO[[#This Row],[Actual_Delivery_Date]]&lt;=tblPO[[#This Row],[Expected_Delivery_Date]],1,0)</f>
        <v>1</v>
      </c>
      <c r="L1950">
        <f>IF(tblPO[[#This Row],[Actual_Delivery_Date]]&gt;tblPO[[#This Row],[Expected_Delivery_Date]],1,0)</f>
        <v>0</v>
      </c>
      <c r="M1950">
        <f>tblPO[[#This Row],[Actual_Delivery_Date]]-tblPO[[#This Row],[PO_Date]]</f>
        <v>12</v>
      </c>
    </row>
    <row r="1951" spans="1:13" x14ac:dyDescent="0.3">
      <c r="A1951" t="s">
        <v>307</v>
      </c>
      <c r="B1951" s="18">
        <v>45641</v>
      </c>
      <c r="C1951" t="s">
        <v>56</v>
      </c>
      <c r="D1951" t="s">
        <v>134</v>
      </c>
      <c r="E1951">
        <v>11</v>
      </c>
      <c r="F1951">
        <v>3655.47</v>
      </c>
      <c r="G1951" s="18">
        <v>45647</v>
      </c>
      <c r="H1951" s="18">
        <v>45646</v>
      </c>
      <c r="I1951">
        <v>11</v>
      </c>
      <c r="J1951">
        <v>40210.17</v>
      </c>
      <c r="K1951">
        <f>IF(tblPO[[#This Row],[Actual_Delivery_Date]]&lt;=tblPO[[#This Row],[Expected_Delivery_Date]],1,0)</f>
        <v>1</v>
      </c>
      <c r="L1951">
        <f>IF(tblPO[[#This Row],[Actual_Delivery_Date]]&gt;tblPO[[#This Row],[Expected_Delivery_Date]],1,0)</f>
        <v>0</v>
      </c>
      <c r="M1951">
        <f>tblPO[[#This Row],[Actual_Delivery_Date]]-tblPO[[#This Row],[PO_Date]]</f>
        <v>5</v>
      </c>
    </row>
    <row r="1952" spans="1:13" x14ac:dyDescent="0.3">
      <c r="A1952" t="s">
        <v>306</v>
      </c>
      <c r="B1952" s="18">
        <v>45646</v>
      </c>
      <c r="C1952" t="s">
        <v>56</v>
      </c>
      <c r="D1952" t="s">
        <v>136</v>
      </c>
      <c r="E1952">
        <v>103</v>
      </c>
      <c r="F1952">
        <v>595.71</v>
      </c>
      <c r="G1952" s="18">
        <v>45655</v>
      </c>
      <c r="H1952" s="18">
        <v>45655</v>
      </c>
      <c r="I1952">
        <v>103</v>
      </c>
      <c r="J1952">
        <v>61358.13</v>
      </c>
      <c r="K1952">
        <f>IF(tblPO[[#This Row],[Actual_Delivery_Date]]&lt;=tblPO[[#This Row],[Expected_Delivery_Date]],1,0)</f>
        <v>1</v>
      </c>
      <c r="L1952">
        <f>IF(tblPO[[#This Row],[Actual_Delivery_Date]]&gt;tblPO[[#This Row],[Expected_Delivery_Date]],1,0)</f>
        <v>0</v>
      </c>
      <c r="M1952">
        <f>tblPO[[#This Row],[Actual_Delivery_Date]]-tblPO[[#This Row],[PO_Date]]</f>
        <v>9</v>
      </c>
    </row>
    <row r="1953" spans="1:13" x14ac:dyDescent="0.3">
      <c r="A1953" t="s">
        <v>305</v>
      </c>
      <c r="B1953" s="18">
        <v>45641</v>
      </c>
      <c r="C1953" t="s">
        <v>39</v>
      </c>
      <c r="D1953" t="s">
        <v>160</v>
      </c>
      <c r="E1953">
        <v>486</v>
      </c>
      <c r="F1953">
        <v>108.49</v>
      </c>
      <c r="G1953" s="18">
        <v>45663</v>
      </c>
      <c r="H1953" s="18">
        <v>45662</v>
      </c>
      <c r="I1953">
        <v>486</v>
      </c>
      <c r="J1953">
        <v>52726.14</v>
      </c>
      <c r="K1953">
        <f>IF(tblPO[[#This Row],[Actual_Delivery_Date]]&lt;=tblPO[[#This Row],[Expected_Delivery_Date]],1,0)</f>
        <v>1</v>
      </c>
      <c r="L1953">
        <f>IF(tblPO[[#This Row],[Actual_Delivery_Date]]&gt;tblPO[[#This Row],[Expected_Delivery_Date]],1,0)</f>
        <v>0</v>
      </c>
      <c r="M1953">
        <f>tblPO[[#This Row],[Actual_Delivery_Date]]-tblPO[[#This Row],[PO_Date]]</f>
        <v>21</v>
      </c>
    </row>
    <row r="1954" spans="1:13" x14ac:dyDescent="0.3">
      <c r="A1954" t="s">
        <v>304</v>
      </c>
      <c r="B1954" s="18">
        <v>45652</v>
      </c>
      <c r="C1954" t="s">
        <v>52</v>
      </c>
      <c r="D1954" t="s">
        <v>243</v>
      </c>
      <c r="E1954">
        <v>174</v>
      </c>
      <c r="F1954">
        <v>177.35</v>
      </c>
      <c r="G1954" s="18">
        <v>45658</v>
      </c>
      <c r="H1954" s="18">
        <v>45655</v>
      </c>
      <c r="I1954">
        <v>159</v>
      </c>
      <c r="J1954">
        <v>30858.9</v>
      </c>
      <c r="K1954">
        <f>IF(tblPO[[#This Row],[Actual_Delivery_Date]]&lt;=tblPO[[#This Row],[Expected_Delivery_Date]],1,0)</f>
        <v>1</v>
      </c>
      <c r="L1954">
        <f>IF(tblPO[[#This Row],[Actual_Delivery_Date]]&gt;tblPO[[#This Row],[Expected_Delivery_Date]],1,0)</f>
        <v>0</v>
      </c>
      <c r="M1954">
        <f>tblPO[[#This Row],[Actual_Delivery_Date]]-tblPO[[#This Row],[PO_Date]]</f>
        <v>3</v>
      </c>
    </row>
    <row r="1955" spans="1:13" x14ac:dyDescent="0.3">
      <c r="A1955" t="s">
        <v>303</v>
      </c>
      <c r="B1955" s="18">
        <v>45657</v>
      </c>
      <c r="C1955" t="s">
        <v>45</v>
      </c>
      <c r="D1955" t="s">
        <v>223</v>
      </c>
      <c r="E1955">
        <v>145</v>
      </c>
      <c r="F1955">
        <v>155.28</v>
      </c>
      <c r="G1955" s="18">
        <v>45663</v>
      </c>
      <c r="H1955" s="18">
        <v>45663</v>
      </c>
      <c r="I1955">
        <v>145</v>
      </c>
      <c r="J1955">
        <v>22515.599999999999</v>
      </c>
      <c r="K1955">
        <f>IF(tblPO[[#This Row],[Actual_Delivery_Date]]&lt;=tblPO[[#This Row],[Expected_Delivery_Date]],1,0)</f>
        <v>1</v>
      </c>
      <c r="L1955">
        <f>IF(tblPO[[#This Row],[Actual_Delivery_Date]]&gt;tblPO[[#This Row],[Expected_Delivery_Date]],1,0)</f>
        <v>0</v>
      </c>
      <c r="M1955">
        <f>tblPO[[#This Row],[Actual_Delivery_Date]]-tblPO[[#This Row],[PO_Date]]</f>
        <v>6</v>
      </c>
    </row>
    <row r="1956" spans="1:13" x14ac:dyDescent="0.3">
      <c r="A1956" t="s">
        <v>302</v>
      </c>
      <c r="B1956" s="18">
        <v>45651</v>
      </c>
      <c r="C1956" t="s">
        <v>45</v>
      </c>
      <c r="D1956" t="s">
        <v>212</v>
      </c>
      <c r="E1956">
        <v>43</v>
      </c>
      <c r="F1956">
        <v>309.64999999999998</v>
      </c>
      <c r="G1956" s="18">
        <v>45669</v>
      </c>
      <c r="H1956" s="18">
        <v>45668</v>
      </c>
      <c r="I1956">
        <v>43</v>
      </c>
      <c r="J1956">
        <v>13314.95</v>
      </c>
      <c r="K1956">
        <f>IF(tblPO[[#This Row],[Actual_Delivery_Date]]&lt;=tblPO[[#This Row],[Expected_Delivery_Date]],1,0)</f>
        <v>1</v>
      </c>
      <c r="L1956">
        <f>IF(tblPO[[#This Row],[Actual_Delivery_Date]]&gt;tblPO[[#This Row],[Expected_Delivery_Date]],1,0)</f>
        <v>0</v>
      </c>
      <c r="M1956">
        <f>tblPO[[#This Row],[Actual_Delivery_Date]]-tblPO[[#This Row],[PO_Date]]</f>
        <v>17</v>
      </c>
    </row>
    <row r="1957" spans="1:13" x14ac:dyDescent="0.3">
      <c r="A1957" t="s">
        <v>301</v>
      </c>
      <c r="B1957" s="18">
        <v>45654</v>
      </c>
      <c r="C1957" t="s">
        <v>60</v>
      </c>
      <c r="D1957" t="s">
        <v>115</v>
      </c>
      <c r="E1957">
        <v>19</v>
      </c>
      <c r="F1957">
        <v>2306.63</v>
      </c>
      <c r="G1957" s="18">
        <v>45668</v>
      </c>
      <c r="H1957" s="18">
        <v>45666</v>
      </c>
      <c r="I1957">
        <v>19</v>
      </c>
      <c r="J1957">
        <v>43825.97</v>
      </c>
      <c r="K1957">
        <f>IF(tblPO[[#This Row],[Actual_Delivery_Date]]&lt;=tblPO[[#This Row],[Expected_Delivery_Date]],1,0)</f>
        <v>1</v>
      </c>
      <c r="L1957">
        <f>IF(tblPO[[#This Row],[Actual_Delivery_Date]]&gt;tblPO[[#This Row],[Expected_Delivery_Date]],1,0)</f>
        <v>0</v>
      </c>
      <c r="M1957">
        <f>tblPO[[#This Row],[Actual_Delivery_Date]]-tblPO[[#This Row],[PO_Date]]</f>
        <v>12</v>
      </c>
    </row>
    <row r="1958" spans="1:13" x14ac:dyDescent="0.3">
      <c r="A1958" t="s">
        <v>300</v>
      </c>
      <c r="B1958" s="18">
        <v>45640</v>
      </c>
      <c r="C1958" t="s">
        <v>39</v>
      </c>
      <c r="D1958" t="s">
        <v>160</v>
      </c>
      <c r="E1958">
        <v>488</v>
      </c>
      <c r="F1958">
        <v>114.87</v>
      </c>
      <c r="G1958" s="18">
        <v>45653</v>
      </c>
      <c r="H1958" s="18">
        <v>45658</v>
      </c>
      <c r="I1958">
        <v>488</v>
      </c>
      <c r="J1958">
        <v>56056.56</v>
      </c>
      <c r="K1958">
        <f>IF(tblPO[[#This Row],[Actual_Delivery_Date]]&lt;=tblPO[[#This Row],[Expected_Delivery_Date]],1,0)</f>
        <v>0</v>
      </c>
      <c r="L1958">
        <f>IF(tblPO[[#This Row],[Actual_Delivery_Date]]&gt;tblPO[[#This Row],[Expected_Delivery_Date]],1,0)</f>
        <v>1</v>
      </c>
      <c r="M1958">
        <f>tblPO[[#This Row],[Actual_Delivery_Date]]-tblPO[[#This Row],[PO_Date]]</f>
        <v>18</v>
      </c>
    </row>
    <row r="1959" spans="1:13" x14ac:dyDescent="0.3">
      <c r="A1959" t="s">
        <v>299</v>
      </c>
      <c r="B1959" s="18">
        <v>45636</v>
      </c>
      <c r="C1959" t="s">
        <v>38</v>
      </c>
      <c r="D1959" t="s">
        <v>223</v>
      </c>
      <c r="E1959">
        <v>81</v>
      </c>
      <c r="F1959">
        <v>165.51</v>
      </c>
      <c r="G1959" s="18">
        <v>45644</v>
      </c>
      <c r="H1959" s="18">
        <v>45643</v>
      </c>
      <c r="I1959">
        <v>81</v>
      </c>
      <c r="J1959">
        <v>13406.31</v>
      </c>
      <c r="K1959">
        <f>IF(tblPO[[#This Row],[Actual_Delivery_Date]]&lt;=tblPO[[#This Row],[Expected_Delivery_Date]],1,0)</f>
        <v>1</v>
      </c>
      <c r="L1959">
        <f>IF(tblPO[[#This Row],[Actual_Delivery_Date]]&gt;tblPO[[#This Row],[Expected_Delivery_Date]],1,0)</f>
        <v>0</v>
      </c>
      <c r="M1959">
        <f>tblPO[[#This Row],[Actual_Delivery_Date]]-tblPO[[#This Row],[PO_Date]]</f>
        <v>7</v>
      </c>
    </row>
    <row r="1960" spans="1:13" x14ac:dyDescent="0.3">
      <c r="A1960" t="s">
        <v>298</v>
      </c>
      <c r="B1960" s="18">
        <v>45644</v>
      </c>
      <c r="C1960" t="s">
        <v>68</v>
      </c>
      <c r="D1960" t="s">
        <v>154</v>
      </c>
      <c r="E1960">
        <v>336</v>
      </c>
      <c r="F1960">
        <v>54.71</v>
      </c>
      <c r="G1960" s="18">
        <v>45657</v>
      </c>
      <c r="H1960" s="18">
        <v>45661</v>
      </c>
      <c r="I1960">
        <v>336</v>
      </c>
      <c r="J1960">
        <v>18382.560000000001</v>
      </c>
      <c r="K1960">
        <f>IF(tblPO[[#This Row],[Actual_Delivery_Date]]&lt;=tblPO[[#This Row],[Expected_Delivery_Date]],1,0)</f>
        <v>0</v>
      </c>
      <c r="L1960">
        <f>IF(tblPO[[#This Row],[Actual_Delivery_Date]]&gt;tblPO[[#This Row],[Expected_Delivery_Date]],1,0)</f>
        <v>1</v>
      </c>
      <c r="M1960">
        <f>tblPO[[#This Row],[Actual_Delivery_Date]]-tblPO[[#This Row],[PO_Date]]</f>
        <v>17</v>
      </c>
    </row>
    <row r="1961" spans="1:13" x14ac:dyDescent="0.3">
      <c r="A1961" t="s">
        <v>297</v>
      </c>
      <c r="B1961" s="18">
        <v>45653</v>
      </c>
      <c r="C1961" t="s">
        <v>41</v>
      </c>
      <c r="D1961" t="s">
        <v>183</v>
      </c>
      <c r="E1961">
        <v>779</v>
      </c>
      <c r="F1961">
        <v>11.36</v>
      </c>
      <c r="G1961" s="18">
        <v>45665</v>
      </c>
      <c r="H1961" s="18">
        <v>45663</v>
      </c>
      <c r="I1961">
        <v>779</v>
      </c>
      <c r="J1961">
        <v>8849.44</v>
      </c>
      <c r="K1961">
        <f>IF(tblPO[[#This Row],[Actual_Delivery_Date]]&lt;=tblPO[[#This Row],[Expected_Delivery_Date]],1,0)</f>
        <v>1</v>
      </c>
      <c r="L1961">
        <f>IF(tblPO[[#This Row],[Actual_Delivery_Date]]&gt;tblPO[[#This Row],[Expected_Delivery_Date]],1,0)</f>
        <v>0</v>
      </c>
      <c r="M1961">
        <f>tblPO[[#This Row],[Actual_Delivery_Date]]-tblPO[[#This Row],[PO_Date]]</f>
        <v>10</v>
      </c>
    </row>
    <row r="1962" spans="1:13" x14ac:dyDescent="0.3">
      <c r="A1962" t="s">
        <v>296</v>
      </c>
      <c r="B1962" s="18">
        <v>45652</v>
      </c>
      <c r="C1962" t="s">
        <v>39</v>
      </c>
      <c r="D1962" t="s">
        <v>158</v>
      </c>
      <c r="E1962">
        <v>31</v>
      </c>
      <c r="F1962">
        <v>134.06</v>
      </c>
      <c r="G1962" s="18">
        <v>45677</v>
      </c>
      <c r="H1962" s="18">
        <v>45683</v>
      </c>
      <c r="I1962">
        <v>31</v>
      </c>
      <c r="J1962">
        <v>4155.8599999999997</v>
      </c>
      <c r="K1962">
        <f>IF(tblPO[[#This Row],[Actual_Delivery_Date]]&lt;=tblPO[[#This Row],[Expected_Delivery_Date]],1,0)</f>
        <v>0</v>
      </c>
      <c r="L1962">
        <f>IF(tblPO[[#This Row],[Actual_Delivery_Date]]&gt;tblPO[[#This Row],[Expected_Delivery_Date]],1,0)</f>
        <v>1</v>
      </c>
      <c r="M1962">
        <f>tblPO[[#This Row],[Actual_Delivery_Date]]-tblPO[[#This Row],[PO_Date]]</f>
        <v>31</v>
      </c>
    </row>
    <row r="1963" spans="1:13" x14ac:dyDescent="0.3">
      <c r="A1963" t="s">
        <v>295</v>
      </c>
      <c r="B1963" s="18">
        <v>45628</v>
      </c>
      <c r="C1963" t="s">
        <v>51</v>
      </c>
      <c r="D1963" t="s">
        <v>149</v>
      </c>
      <c r="E1963">
        <v>90</v>
      </c>
      <c r="F1963">
        <v>58.78</v>
      </c>
      <c r="G1963" s="18">
        <v>45635</v>
      </c>
      <c r="H1963" s="18">
        <v>45638</v>
      </c>
      <c r="I1963">
        <v>90</v>
      </c>
      <c r="J1963">
        <v>5290.2</v>
      </c>
      <c r="K1963">
        <f>IF(tblPO[[#This Row],[Actual_Delivery_Date]]&lt;=tblPO[[#This Row],[Expected_Delivery_Date]],1,0)</f>
        <v>0</v>
      </c>
      <c r="L1963">
        <f>IF(tblPO[[#This Row],[Actual_Delivery_Date]]&gt;tblPO[[#This Row],[Expected_Delivery_Date]],1,0)</f>
        <v>1</v>
      </c>
      <c r="M1963">
        <f>tblPO[[#This Row],[Actual_Delivery_Date]]-tblPO[[#This Row],[PO_Date]]</f>
        <v>10</v>
      </c>
    </row>
    <row r="1964" spans="1:13" x14ac:dyDescent="0.3">
      <c r="A1964" t="s">
        <v>294</v>
      </c>
      <c r="B1964" s="18">
        <v>45629</v>
      </c>
      <c r="C1964" t="s">
        <v>45</v>
      </c>
      <c r="D1964" t="s">
        <v>215</v>
      </c>
      <c r="E1964">
        <v>9</v>
      </c>
      <c r="F1964">
        <v>3652.55</v>
      </c>
      <c r="G1964" s="18">
        <v>45639</v>
      </c>
      <c r="H1964" s="18">
        <v>45636</v>
      </c>
      <c r="I1964">
        <v>9</v>
      </c>
      <c r="J1964">
        <v>32872.949999999997</v>
      </c>
      <c r="K1964">
        <f>IF(tblPO[[#This Row],[Actual_Delivery_Date]]&lt;=tblPO[[#This Row],[Expected_Delivery_Date]],1,0)</f>
        <v>1</v>
      </c>
      <c r="L1964">
        <f>IF(tblPO[[#This Row],[Actual_Delivery_Date]]&gt;tblPO[[#This Row],[Expected_Delivery_Date]],1,0)</f>
        <v>0</v>
      </c>
      <c r="M1964">
        <f>tblPO[[#This Row],[Actual_Delivery_Date]]-tblPO[[#This Row],[PO_Date]]</f>
        <v>7</v>
      </c>
    </row>
    <row r="1965" spans="1:13" x14ac:dyDescent="0.3">
      <c r="A1965" t="s">
        <v>293</v>
      </c>
      <c r="B1965" s="18">
        <v>45627</v>
      </c>
      <c r="C1965" t="s">
        <v>39</v>
      </c>
      <c r="D1965" t="s">
        <v>149</v>
      </c>
      <c r="E1965">
        <v>263</v>
      </c>
      <c r="F1965">
        <v>83.72</v>
      </c>
      <c r="G1965" s="18">
        <v>45649</v>
      </c>
      <c r="H1965" s="18">
        <v>45646</v>
      </c>
      <c r="I1965">
        <v>263</v>
      </c>
      <c r="J1965">
        <v>22018.36</v>
      </c>
      <c r="K1965">
        <f>IF(tblPO[[#This Row],[Actual_Delivery_Date]]&lt;=tblPO[[#This Row],[Expected_Delivery_Date]],1,0)</f>
        <v>1</v>
      </c>
      <c r="L1965">
        <f>IF(tblPO[[#This Row],[Actual_Delivery_Date]]&gt;tblPO[[#This Row],[Expected_Delivery_Date]],1,0)</f>
        <v>0</v>
      </c>
      <c r="M1965">
        <f>tblPO[[#This Row],[Actual_Delivery_Date]]-tblPO[[#This Row],[PO_Date]]</f>
        <v>19</v>
      </c>
    </row>
    <row r="1966" spans="1:13" x14ac:dyDescent="0.3">
      <c r="A1966" t="s">
        <v>292</v>
      </c>
      <c r="B1966" s="18">
        <v>45650</v>
      </c>
      <c r="C1966" t="s">
        <v>50</v>
      </c>
      <c r="D1966" t="s">
        <v>121</v>
      </c>
      <c r="E1966">
        <v>152</v>
      </c>
      <c r="F1966">
        <v>700.98</v>
      </c>
      <c r="G1966" s="18">
        <v>45658</v>
      </c>
      <c r="H1966" s="18">
        <v>45657</v>
      </c>
      <c r="I1966">
        <v>152</v>
      </c>
      <c r="J1966">
        <v>106548.96</v>
      </c>
      <c r="K1966">
        <f>IF(tblPO[[#This Row],[Actual_Delivery_Date]]&lt;=tblPO[[#This Row],[Expected_Delivery_Date]],1,0)</f>
        <v>1</v>
      </c>
      <c r="L1966">
        <f>IF(tblPO[[#This Row],[Actual_Delivery_Date]]&gt;tblPO[[#This Row],[Expected_Delivery_Date]],1,0)</f>
        <v>0</v>
      </c>
      <c r="M1966">
        <f>tblPO[[#This Row],[Actual_Delivery_Date]]-tblPO[[#This Row],[PO_Date]]</f>
        <v>7</v>
      </c>
    </row>
    <row r="1967" spans="1:13" x14ac:dyDescent="0.3">
      <c r="A1967" t="s">
        <v>291</v>
      </c>
      <c r="B1967" s="18">
        <v>45639</v>
      </c>
      <c r="C1967" t="s">
        <v>72</v>
      </c>
      <c r="D1967" t="s">
        <v>219</v>
      </c>
      <c r="E1967">
        <v>442</v>
      </c>
      <c r="F1967">
        <v>64.73</v>
      </c>
      <c r="G1967" s="18">
        <v>45657</v>
      </c>
      <c r="H1967" s="18">
        <v>45655</v>
      </c>
      <c r="I1967">
        <v>442</v>
      </c>
      <c r="J1967">
        <v>28610.66</v>
      </c>
      <c r="K1967">
        <f>IF(tblPO[[#This Row],[Actual_Delivery_Date]]&lt;=tblPO[[#This Row],[Expected_Delivery_Date]],1,0)</f>
        <v>1</v>
      </c>
      <c r="L1967">
        <f>IF(tblPO[[#This Row],[Actual_Delivery_Date]]&gt;tblPO[[#This Row],[Expected_Delivery_Date]],1,0)</f>
        <v>0</v>
      </c>
      <c r="M1967">
        <f>tblPO[[#This Row],[Actual_Delivery_Date]]-tblPO[[#This Row],[PO_Date]]</f>
        <v>16</v>
      </c>
    </row>
    <row r="1968" spans="1:13" x14ac:dyDescent="0.3">
      <c r="A1968" t="s">
        <v>290</v>
      </c>
      <c r="B1968" s="18">
        <v>45647</v>
      </c>
      <c r="C1968" t="s">
        <v>38</v>
      </c>
      <c r="D1968" t="s">
        <v>223</v>
      </c>
      <c r="E1968">
        <v>84</v>
      </c>
      <c r="F1968">
        <v>167.9</v>
      </c>
      <c r="G1968" s="18">
        <v>45663</v>
      </c>
      <c r="H1968" s="18">
        <v>45660</v>
      </c>
      <c r="I1968">
        <v>84</v>
      </c>
      <c r="J1968">
        <v>14103.6</v>
      </c>
      <c r="K1968">
        <f>IF(tblPO[[#This Row],[Actual_Delivery_Date]]&lt;=tblPO[[#This Row],[Expected_Delivery_Date]],1,0)</f>
        <v>1</v>
      </c>
      <c r="L1968">
        <f>IF(tblPO[[#This Row],[Actual_Delivery_Date]]&gt;tblPO[[#This Row],[Expected_Delivery_Date]],1,0)</f>
        <v>0</v>
      </c>
      <c r="M1968">
        <f>tblPO[[#This Row],[Actual_Delivery_Date]]-tblPO[[#This Row],[PO_Date]]</f>
        <v>13</v>
      </c>
    </row>
    <row r="1969" spans="1:13" x14ac:dyDescent="0.3">
      <c r="A1969" t="s">
        <v>289</v>
      </c>
      <c r="B1969" s="18">
        <v>45649</v>
      </c>
      <c r="C1969" t="s">
        <v>44</v>
      </c>
      <c r="D1969" t="s">
        <v>181</v>
      </c>
      <c r="E1969">
        <v>1612</v>
      </c>
      <c r="F1969">
        <v>3.69</v>
      </c>
      <c r="G1969" s="18">
        <v>45666</v>
      </c>
      <c r="H1969" s="18">
        <v>45676</v>
      </c>
      <c r="I1969">
        <v>1612</v>
      </c>
      <c r="J1969">
        <v>5948.28</v>
      </c>
      <c r="K1969">
        <f>IF(tblPO[[#This Row],[Actual_Delivery_Date]]&lt;=tblPO[[#This Row],[Expected_Delivery_Date]],1,0)</f>
        <v>0</v>
      </c>
      <c r="L1969">
        <f>IF(tblPO[[#This Row],[Actual_Delivery_Date]]&gt;tblPO[[#This Row],[Expected_Delivery_Date]],1,0)</f>
        <v>1</v>
      </c>
      <c r="M1969">
        <f>tblPO[[#This Row],[Actual_Delivery_Date]]-tblPO[[#This Row],[PO_Date]]</f>
        <v>27</v>
      </c>
    </row>
    <row r="1970" spans="1:13" x14ac:dyDescent="0.3">
      <c r="A1970" t="s">
        <v>288</v>
      </c>
      <c r="B1970" s="18">
        <v>45649</v>
      </c>
      <c r="C1970" t="s">
        <v>38</v>
      </c>
      <c r="D1970" t="s">
        <v>247</v>
      </c>
      <c r="E1970">
        <v>54</v>
      </c>
      <c r="F1970">
        <v>621.28</v>
      </c>
      <c r="G1970" s="18">
        <v>45655</v>
      </c>
      <c r="H1970" s="18">
        <v>45653</v>
      </c>
      <c r="I1970">
        <v>54</v>
      </c>
      <c r="J1970">
        <v>33549.120000000003</v>
      </c>
      <c r="K1970">
        <f>IF(tblPO[[#This Row],[Actual_Delivery_Date]]&lt;=tblPO[[#This Row],[Expected_Delivery_Date]],1,0)</f>
        <v>1</v>
      </c>
      <c r="L1970">
        <f>IF(tblPO[[#This Row],[Actual_Delivery_Date]]&gt;tblPO[[#This Row],[Expected_Delivery_Date]],1,0)</f>
        <v>0</v>
      </c>
      <c r="M1970">
        <f>tblPO[[#This Row],[Actual_Delivery_Date]]-tblPO[[#This Row],[PO_Date]]</f>
        <v>4</v>
      </c>
    </row>
    <row r="1971" spans="1:13" x14ac:dyDescent="0.3">
      <c r="A1971" t="s">
        <v>287</v>
      </c>
      <c r="B1971" s="18">
        <v>45655</v>
      </c>
      <c r="C1971" t="s">
        <v>38</v>
      </c>
      <c r="D1971" t="s">
        <v>243</v>
      </c>
      <c r="E1971">
        <v>46</v>
      </c>
      <c r="F1971">
        <v>175.68</v>
      </c>
      <c r="G1971" s="18">
        <v>45658</v>
      </c>
      <c r="H1971" s="18">
        <v>45655</v>
      </c>
      <c r="I1971">
        <v>44</v>
      </c>
      <c r="J1971">
        <v>8081.28</v>
      </c>
      <c r="K1971">
        <f>IF(tblPO[[#This Row],[Actual_Delivery_Date]]&lt;=tblPO[[#This Row],[Expected_Delivery_Date]],1,0)</f>
        <v>1</v>
      </c>
      <c r="L1971">
        <f>IF(tblPO[[#This Row],[Actual_Delivery_Date]]&gt;tblPO[[#This Row],[Expected_Delivery_Date]],1,0)</f>
        <v>0</v>
      </c>
      <c r="M1971">
        <f>tblPO[[#This Row],[Actual_Delivery_Date]]-tblPO[[#This Row],[PO_Date]]</f>
        <v>0</v>
      </c>
    </row>
    <row r="1972" spans="1:13" x14ac:dyDescent="0.3">
      <c r="A1972" t="s">
        <v>286</v>
      </c>
      <c r="B1972" s="18">
        <v>45635</v>
      </c>
      <c r="C1972" t="s">
        <v>38</v>
      </c>
      <c r="D1972" t="s">
        <v>247</v>
      </c>
      <c r="E1972">
        <v>116</v>
      </c>
      <c r="F1972">
        <v>620.97</v>
      </c>
      <c r="G1972" s="18">
        <v>45653</v>
      </c>
      <c r="H1972" s="18">
        <v>45653</v>
      </c>
      <c r="I1972">
        <v>116</v>
      </c>
      <c r="J1972">
        <v>72032.52</v>
      </c>
      <c r="K1972">
        <f>IF(tblPO[[#This Row],[Actual_Delivery_Date]]&lt;=tblPO[[#This Row],[Expected_Delivery_Date]],1,0)</f>
        <v>1</v>
      </c>
      <c r="L1972">
        <f>IF(tblPO[[#This Row],[Actual_Delivery_Date]]&gt;tblPO[[#This Row],[Expected_Delivery_Date]],1,0)</f>
        <v>0</v>
      </c>
      <c r="M1972">
        <f>tblPO[[#This Row],[Actual_Delivery_Date]]-tblPO[[#This Row],[PO_Date]]</f>
        <v>18</v>
      </c>
    </row>
    <row r="1973" spans="1:13" x14ac:dyDescent="0.3">
      <c r="A1973" t="s">
        <v>285</v>
      </c>
      <c r="B1973" s="18">
        <v>45639</v>
      </c>
      <c r="C1973" t="s">
        <v>53</v>
      </c>
      <c r="D1973" t="s">
        <v>94</v>
      </c>
      <c r="E1973">
        <v>130</v>
      </c>
      <c r="F1973">
        <v>470.06</v>
      </c>
      <c r="G1973" s="18">
        <v>45667</v>
      </c>
      <c r="H1973" s="18">
        <v>45667</v>
      </c>
      <c r="I1973">
        <v>130</v>
      </c>
      <c r="J1973">
        <v>61107.8</v>
      </c>
      <c r="K1973">
        <f>IF(tblPO[[#This Row],[Actual_Delivery_Date]]&lt;=tblPO[[#This Row],[Expected_Delivery_Date]],1,0)</f>
        <v>1</v>
      </c>
      <c r="L1973">
        <f>IF(tblPO[[#This Row],[Actual_Delivery_Date]]&gt;tblPO[[#This Row],[Expected_Delivery_Date]],1,0)</f>
        <v>0</v>
      </c>
      <c r="M1973">
        <f>tblPO[[#This Row],[Actual_Delivery_Date]]-tblPO[[#This Row],[PO_Date]]</f>
        <v>28</v>
      </c>
    </row>
    <row r="1974" spans="1:13" x14ac:dyDescent="0.3">
      <c r="A1974" t="s">
        <v>284</v>
      </c>
      <c r="B1974" s="18">
        <v>45641</v>
      </c>
      <c r="C1974" t="s">
        <v>54</v>
      </c>
      <c r="D1974" t="s">
        <v>205</v>
      </c>
      <c r="E1974">
        <v>132</v>
      </c>
      <c r="F1974">
        <v>362.23</v>
      </c>
      <c r="G1974" s="18">
        <v>45654</v>
      </c>
      <c r="H1974" s="18">
        <v>45653</v>
      </c>
      <c r="I1974">
        <v>132</v>
      </c>
      <c r="J1974">
        <v>47814.36</v>
      </c>
      <c r="K1974">
        <f>IF(tblPO[[#This Row],[Actual_Delivery_Date]]&lt;=tblPO[[#This Row],[Expected_Delivery_Date]],1,0)</f>
        <v>1</v>
      </c>
      <c r="L1974">
        <f>IF(tblPO[[#This Row],[Actual_Delivery_Date]]&gt;tblPO[[#This Row],[Expected_Delivery_Date]],1,0)</f>
        <v>0</v>
      </c>
      <c r="M1974">
        <f>tblPO[[#This Row],[Actual_Delivery_Date]]-tblPO[[#This Row],[PO_Date]]</f>
        <v>12</v>
      </c>
    </row>
    <row r="1975" spans="1:13" x14ac:dyDescent="0.3">
      <c r="A1975" t="s">
        <v>283</v>
      </c>
      <c r="B1975" s="18">
        <v>45631</v>
      </c>
      <c r="C1975" t="s">
        <v>46</v>
      </c>
      <c r="D1975" t="s">
        <v>102</v>
      </c>
      <c r="E1975">
        <v>107</v>
      </c>
      <c r="F1975">
        <v>649.16</v>
      </c>
      <c r="G1975" s="18">
        <v>45661</v>
      </c>
      <c r="H1975" s="18">
        <v>45660</v>
      </c>
      <c r="I1975">
        <v>107</v>
      </c>
      <c r="J1975">
        <v>69460.12</v>
      </c>
      <c r="K1975">
        <f>IF(tblPO[[#This Row],[Actual_Delivery_Date]]&lt;=tblPO[[#This Row],[Expected_Delivery_Date]],1,0)</f>
        <v>1</v>
      </c>
      <c r="L1975">
        <f>IF(tblPO[[#This Row],[Actual_Delivery_Date]]&gt;tblPO[[#This Row],[Expected_Delivery_Date]],1,0)</f>
        <v>0</v>
      </c>
      <c r="M1975">
        <f>tblPO[[#This Row],[Actual_Delivery_Date]]-tblPO[[#This Row],[PO_Date]]</f>
        <v>29</v>
      </c>
    </row>
    <row r="1976" spans="1:13" x14ac:dyDescent="0.3">
      <c r="A1976" t="s">
        <v>282</v>
      </c>
      <c r="B1976" s="18">
        <v>45639</v>
      </c>
      <c r="C1976" t="s">
        <v>67</v>
      </c>
      <c r="D1976" t="s">
        <v>108</v>
      </c>
      <c r="E1976">
        <v>8</v>
      </c>
      <c r="F1976">
        <v>13211.54</v>
      </c>
      <c r="G1976" s="18">
        <v>45668</v>
      </c>
      <c r="H1976" s="18">
        <v>45665</v>
      </c>
      <c r="I1976">
        <v>8</v>
      </c>
      <c r="J1976">
        <v>105692.32</v>
      </c>
      <c r="K1976">
        <f>IF(tblPO[[#This Row],[Actual_Delivery_Date]]&lt;=tblPO[[#This Row],[Expected_Delivery_Date]],1,0)</f>
        <v>1</v>
      </c>
      <c r="L1976">
        <f>IF(tblPO[[#This Row],[Actual_Delivery_Date]]&gt;tblPO[[#This Row],[Expected_Delivery_Date]],1,0)</f>
        <v>0</v>
      </c>
      <c r="M1976">
        <f>tblPO[[#This Row],[Actual_Delivery_Date]]-tblPO[[#This Row],[PO_Date]]</f>
        <v>26</v>
      </c>
    </row>
    <row r="1977" spans="1:13" x14ac:dyDescent="0.3">
      <c r="A1977" t="s">
        <v>281</v>
      </c>
      <c r="B1977" s="18">
        <v>45641</v>
      </c>
      <c r="C1977" t="s">
        <v>71</v>
      </c>
      <c r="D1977" t="s">
        <v>160</v>
      </c>
      <c r="E1977">
        <v>785</v>
      </c>
      <c r="F1977">
        <v>89.98</v>
      </c>
      <c r="G1977" s="18">
        <v>45647</v>
      </c>
      <c r="H1977" s="18">
        <v>45645</v>
      </c>
      <c r="I1977">
        <v>750</v>
      </c>
      <c r="J1977">
        <v>70634.3</v>
      </c>
      <c r="K1977">
        <f>IF(tblPO[[#This Row],[Actual_Delivery_Date]]&lt;=tblPO[[#This Row],[Expected_Delivery_Date]],1,0)</f>
        <v>1</v>
      </c>
      <c r="L1977">
        <f>IF(tblPO[[#This Row],[Actual_Delivery_Date]]&gt;tblPO[[#This Row],[Expected_Delivery_Date]],1,0)</f>
        <v>0</v>
      </c>
      <c r="M1977">
        <f>tblPO[[#This Row],[Actual_Delivery_Date]]-tblPO[[#This Row],[PO_Date]]</f>
        <v>4</v>
      </c>
    </row>
    <row r="1978" spans="1:13" x14ac:dyDescent="0.3">
      <c r="A1978" t="s">
        <v>280</v>
      </c>
      <c r="B1978" s="18">
        <v>45650</v>
      </c>
      <c r="C1978" t="s">
        <v>39</v>
      </c>
      <c r="D1978" t="s">
        <v>170</v>
      </c>
      <c r="E1978">
        <v>784</v>
      </c>
      <c r="F1978">
        <v>91.62</v>
      </c>
      <c r="G1978" s="18">
        <v>45668</v>
      </c>
      <c r="H1978" s="18">
        <v>45666</v>
      </c>
      <c r="I1978">
        <v>784</v>
      </c>
      <c r="J1978">
        <v>71830.080000000002</v>
      </c>
      <c r="K1978">
        <f>IF(tblPO[[#This Row],[Actual_Delivery_Date]]&lt;=tblPO[[#This Row],[Expected_Delivery_Date]],1,0)</f>
        <v>1</v>
      </c>
      <c r="L1978">
        <f>IF(tblPO[[#This Row],[Actual_Delivery_Date]]&gt;tblPO[[#This Row],[Expected_Delivery_Date]],1,0)</f>
        <v>0</v>
      </c>
      <c r="M1978">
        <f>tblPO[[#This Row],[Actual_Delivery_Date]]-tblPO[[#This Row],[PO_Date]]</f>
        <v>16</v>
      </c>
    </row>
    <row r="1979" spans="1:13" x14ac:dyDescent="0.3">
      <c r="A1979" t="s">
        <v>279</v>
      </c>
      <c r="B1979" s="18">
        <v>45632</v>
      </c>
      <c r="C1979" t="s">
        <v>67</v>
      </c>
      <c r="D1979" t="s">
        <v>81</v>
      </c>
      <c r="E1979">
        <v>3</v>
      </c>
      <c r="F1979">
        <v>23288.66</v>
      </c>
      <c r="G1979" s="18">
        <v>45648</v>
      </c>
      <c r="H1979" s="18">
        <v>45646</v>
      </c>
      <c r="I1979">
        <v>3</v>
      </c>
      <c r="J1979">
        <v>69865.98</v>
      </c>
      <c r="K1979">
        <f>IF(tblPO[[#This Row],[Actual_Delivery_Date]]&lt;=tblPO[[#This Row],[Expected_Delivery_Date]],1,0)</f>
        <v>1</v>
      </c>
      <c r="L1979">
        <f>IF(tblPO[[#This Row],[Actual_Delivery_Date]]&gt;tblPO[[#This Row],[Expected_Delivery_Date]],1,0)</f>
        <v>0</v>
      </c>
      <c r="M1979">
        <f>tblPO[[#This Row],[Actual_Delivery_Date]]-tblPO[[#This Row],[PO_Date]]</f>
        <v>14</v>
      </c>
    </row>
    <row r="1980" spans="1:13" x14ac:dyDescent="0.3">
      <c r="A1980" t="s">
        <v>278</v>
      </c>
      <c r="B1980" s="18">
        <v>45650</v>
      </c>
      <c r="C1980" t="s">
        <v>59</v>
      </c>
      <c r="D1980" t="s">
        <v>81</v>
      </c>
      <c r="E1980">
        <v>2</v>
      </c>
      <c r="F1980">
        <v>16065.97</v>
      </c>
      <c r="G1980" s="18">
        <v>45666</v>
      </c>
      <c r="H1980" s="18">
        <v>45682</v>
      </c>
      <c r="I1980">
        <v>2</v>
      </c>
      <c r="J1980">
        <v>32131.94</v>
      </c>
      <c r="K1980">
        <f>IF(tblPO[[#This Row],[Actual_Delivery_Date]]&lt;=tblPO[[#This Row],[Expected_Delivery_Date]],1,0)</f>
        <v>0</v>
      </c>
      <c r="L1980">
        <f>IF(tblPO[[#This Row],[Actual_Delivery_Date]]&gt;tblPO[[#This Row],[Expected_Delivery_Date]],1,0)</f>
        <v>1</v>
      </c>
      <c r="M1980">
        <f>tblPO[[#This Row],[Actual_Delivery_Date]]-tblPO[[#This Row],[PO_Date]]</f>
        <v>32</v>
      </c>
    </row>
    <row r="1981" spans="1:13" x14ac:dyDescent="0.3">
      <c r="A1981" t="s">
        <v>277</v>
      </c>
      <c r="B1981" s="18">
        <v>45644</v>
      </c>
      <c r="C1981" t="s">
        <v>55</v>
      </c>
      <c r="D1981" t="s">
        <v>247</v>
      </c>
      <c r="E1981">
        <v>70</v>
      </c>
      <c r="F1981">
        <v>702.2</v>
      </c>
      <c r="G1981" s="18">
        <v>45673</v>
      </c>
      <c r="H1981" s="18">
        <v>45671</v>
      </c>
      <c r="I1981">
        <v>70</v>
      </c>
      <c r="J1981">
        <v>49154</v>
      </c>
      <c r="K1981">
        <f>IF(tblPO[[#This Row],[Actual_Delivery_Date]]&lt;=tblPO[[#This Row],[Expected_Delivery_Date]],1,0)</f>
        <v>1</v>
      </c>
      <c r="L1981">
        <f>IF(tblPO[[#This Row],[Actual_Delivery_Date]]&gt;tblPO[[#This Row],[Expected_Delivery_Date]],1,0)</f>
        <v>0</v>
      </c>
      <c r="M1981">
        <f>tblPO[[#This Row],[Actual_Delivery_Date]]-tblPO[[#This Row],[PO_Date]]</f>
        <v>27</v>
      </c>
    </row>
    <row r="1982" spans="1:13" x14ac:dyDescent="0.3">
      <c r="A1982" t="s">
        <v>276</v>
      </c>
      <c r="B1982" s="18">
        <v>45652</v>
      </c>
      <c r="C1982" t="s">
        <v>52</v>
      </c>
      <c r="D1982" t="s">
        <v>229</v>
      </c>
      <c r="E1982">
        <v>9</v>
      </c>
      <c r="F1982">
        <v>1774.28</v>
      </c>
      <c r="G1982" s="18">
        <v>45661</v>
      </c>
      <c r="H1982" s="18">
        <v>45660</v>
      </c>
      <c r="I1982">
        <v>9</v>
      </c>
      <c r="J1982">
        <v>15968.52</v>
      </c>
      <c r="K1982">
        <f>IF(tblPO[[#This Row],[Actual_Delivery_Date]]&lt;=tblPO[[#This Row],[Expected_Delivery_Date]],1,0)</f>
        <v>1</v>
      </c>
      <c r="L1982">
        <f>IF(tblPO[[#This Row],[Actual_Delivery_Date]]&gt;tblPO[[#This Row],[Expected_Delivery_Date]],1,0)</f>
        <v>0</v>
      </c>
      <c r="M1982">
        <f>tblPO[[#This Row],[Actual_Delivery_Date]]-tblPO[[#This Row],[PO_Date]]</f>
        <v>8</v>
      </c>
    </row>
    <row r="1983" spans="1:13" x14ac:dyDescent="0.3">
      <c r="A1983" t="s">
        <v>275</v>
      </c>
      <c r="B1983" s="18">
        <v>45650</v>
      </c>
      <c r="C1983" t="s">
        <v>46</v>
      </c>
      <c r="D1983" t="s">
        <v>108</v>
      </c>
      <c r="E1983">
        <v>8</v>
      </c>
      <c r="F1983">
        <v>14986.92</v>
      </c>
      <c r="G1983" s="18">
        <v>45677</v>
      </c>
      <c r="H1983" s="18">
        <v>45677</v>
      </c>
      <c r="I1983">
        <v>8</v>
      </c>
      <c r="J1983">
        <v>119895.36</v>
      </c>
      <c r="K1983">
        <f>IF(tblPO[[#This Row],[Actual_Delivery_Date]]&lt;=tblPO[[#This Row],[Expected_Delivery_Date]],1,0)</f>
        <v>1</v>
      </c>
      <c r="L1983">
        <f>IF(tblPO[[#This Row],[Actual_Delivery_Date]]&gt;tblPO[[#This Row],[Expected_Delivery_Date]],1,0)</f>
        <v>0</v>
      </c>
      <c r="M1983">
        <f>tblPO[[#This Row],[Actual_Delivery_Date]]-tblPO[[#This Row],[PO_Date]]</f>
        <v>27</v>
      </c>
    </row>
    <row r="1984" spans="1:13" x14ac:dyDescent="0.3">
      <c r="A1984" t="s">
        <v>274</v>
      </c>
      <c r="B1984" s="18">
        <v>45654</v>
      </c>
      <c r="C1984" t="s">
        <v>38</v>
      </c>
      <c r="D1984" t="s">
        <v>251</v>
      </c>
      <c r="E1984">
        <v>317</v>
      </c>
      <c r="F1984">
        <v>85.48</v>
      </c>
      <c r="G1984" s="18">
        <v>45665</v>
      </c>
      <c r="H1984" s="18">
        <v>45665</v>
      </c>
      <c r="I1984">
        <v>317</v>
      </c>
      <c r="J1984">
        <v>27097.16</v>
      </c>
      <c r="K1984">
        <f>IF(tblPO[[#This Row],[Actual_Delivery_Date]]&lt;=tblPO[[#This Row],[Expected_Delivery_Date]],1,0)</f>
        <v>1</v>
      </c>
      <c r="L1984">
        <f>IF(tblPO[[#This Row],[Actual_Delivery_Date]]&gt;tblPO[[#This Row],[Expected_Delivery_Date]],1,0)</f>
        <v>0</v>
      </c>
      <c r="M1984">
        <f>tblPO[[#This Row],[Actual_Delivery_Date]]-tblPO[[#This Row],[PO_Date]]</f>
        <v>11</v>
      </c>
    </row>
    <row r="1985" spans="1:13" x14ac:dyDescent="0.3">
      <c r="A1985" t="s">
        <v>273</v>
      </c>
      <c r="B1985" s="18">
        <v>45641</v>
      </c>
      <c r="C1985" t="s">
        <v>62</v>
      </c>
      <c r="D1985" t="s">
        <v>185</v>
      </c>
      <c r="E1985">
        <v>1929</v>
      </c>
      <c r="F1985">
        <v>7.66</v>
      </c>
      <c r="G1985" s="18">
        <v>45658</v>
      </c>
      <c r="H1985" s="18">
        <v>45656</v>
      </c>
      <c r="I1985">
        <v>1929</v>
      </c>
      <c r="J1985">
        <v>14776.14</v>
      </c>
      <c r="K1985">
        <f>IF(tblPO[[#This Row],[Actual_Delivery_Date]]&lt;=tblPO[[#This Row],[Expected_Delivery_Date]],1,0)</f>
        <v>1</v>
      </c>
      <c r="L1985">
        <f>IF(tblPO[[#This Row],[Actual_Delivery_Date]]&gt;tblPO[[#This Row],[Expected_Delivery_Date]],1,0)</f>
        <v>0</v>
      </c>
      <c r="M1985">
        <f>tblPO[[#This Row],[Actual_Delivery_Date]]-tblPO[[#This Row],[PO_Date]]</f>
        <v>15</v>
      </c>
    </row>
    <row r="1986" spans="1:13" x14ac:dyDescent="0.3">
      <c r="A1986" t="s">
        <v>272</v>
      </c>
      <c r="B1986" s="18">
        <v>45648</v>
      </c>
      <c r="C1986" t="s">
        <v>40</v>
      </c>
      <c r="D1986" t="s">
        <v>138</v>
      </c>
      <c r="E1986">
        <v>9</v>
      </c>
      <c r="F1986">
        <v>3848.1</v>
      </c>
      <c r="G1986" s="18">
        <v>45665</v>
      </c>
      <c r="H1986" s="18">
        <v>45665</v>
      </c>
      <c r="I1986">
        <v>9</v>
      </c>
      <c r="J1986">
        <v>34632.9</v>
      </c>
      <c r="K1986">
        <f>IF(tblPO[[#This Row],[Actual_Delivery_Date]]&lt;=tblPO[[#This Row],[Expected_Delivery_Date]],1,0)</f>
        <v>1</v>
      </c>
      <c r="L1986">
        <f>IF(tblPO[[#This Row],[Actual_Delivery_Date]]&gt;tblPO[[#This Row],[Expected_Delivery_Date]],1,0)</f>
        <v>0</v>
      </c>
      <c r="M1986">
        <f>tblPO[[#This Row],[Actual_Delivery_Date]]-tblPO[[#This Row],[PO_Date]]</f>
        <v>17</v>
      </c>
    </row>
    <row r="1987" spans="1:13" x14ac:dyDescent="0.3">
      <c r="A1987" t="s">
        <v>271</v>
      </c>
      <c r="B1987" s="18">
        <v>45631</v>
      </c>
      <c r="C1987" t="s">
        <v>38</v>
      </c>
      <c r="D1987" t="s">
        <v>239</v>
      </c>
      <c r="E1987">
        <v>384</v>
      </c>
      <c r="F1987">
        <v>94.93</v>
      </c>
      <c r="G1987" s="18">
        <v>45641</v>
      </c>
      <c r="H1987" s="18">
        <v>45638</v>
      </c>
      <c r="I1987">
        <v>384</v>
      </c>
      <c r="J1987">
        <v>36453.120000000003</v>
      </c>
      <c r="K1987">
        <f>IF(tblPO[[#This Row],[Actual_Delivery_Date]]&lt;=tblPO[[#This Row],[Expected_Delivery_Date]],1,0)</f>
        <v>1</v>
      </c>
      <c r="L1987">
        <f>IF(tblPO[[#This Row],[Actual_Delivery_Date]]&gt;tblPO[[#This Row],[Expected_Delivery_Date]],1,0)</f>
        <v>0</v>
      </c>
      <c r="M1987">
        <f>tblPO[[#This Row],[Actual_Delivery_Date]]-tblPO[[#This Row],[PO_Date]]</f>
        <v>7</v>
      </c>
    </row>
    <row r="1988" spans="1:13" x14ac:dyDescent="0.3">
      <c r="A1988" t="s">
        <v>270</v>
      </c>
      <c r="B1988" s="18">
        <v>45652</v>
      </c>
      <c r="C1988" t="s">
        <v>56</v>
      </c>
      <c r="D1988" t="s">
        <v>117</v>
      </c>
      <c r="E1988">
        <v>44</v>
      </c>
      <c r="F1988">
        <v>298.88</v>
      </c>
      <c r="G1988" s="18">
        <v>45666</v>
      </c>
      <c r="H1988" s="18">
        <v>45663</v>
      </c>
      <c r="I1988">
        <v>44</v>
      </c>
      <c r="J1988">
        <v>13150.72</v>
      </c>
      <c r="K1988">
        <f>IF(tblPO[[#This Row],[Actual_Delivery_Date]]&lt;=tblPO[[#This Row],[Expected_Delivery_Date]],1,0)</f>
        <v>1</v>
      </c>
      <c r="L1988">
        <f>IF(tblPO[[#This Row],[Actual_Delivery_Date]]&gt;tblPO[[#This Row],[Expected_Delivery_Date]],1,0)</f>
        <v>0</v>
      </c>
      <c r="M1988">
        <f>tblPO[[#This Row],[Actual_Delivery_Date]]-tblPO[[#This Row],[PO_Date]]</f>
        <v>11</v>
      </c>
    </row>
    <row r="1989" spans="1:13" x14ac:dyDescent="0.3">
      <c r="A1989" t="s">
        <v>269</v>
      </c>
      <c r="B1989" s="18">
        <v>45635</v>
      </c>
      <c r="C1989" t="s">
        <v>48</v>
      </c>
      <c r="D1989" t="s">
        <v>172</v>
      </c>
      <c r="E1989">
        <v>95</v>
      </c>
      <c r="F1989">
        <v>40.06</v>
      </c>
      <c r="G1989" s="18">
        <v>45664</v>
      </c>
      <c r="H1989" s="18">
        <v>45664</v>
      </c>
      <c r="I1989">
        <v>95</v>
      </c>
      <c r="J1989">
        <v>3805.7</v>
      </c>
      <c r="K1989">
        <f>IF(tblPO[[#This Row],[Actual_Delivery_Date]]&lt;=tblPO[[#This Row],[Expected_Delivery_Date]],1,0)</f>
        <v>1</v>
      </c>
      <c r="L1989">
        <f>IF(tblPO[[#This Row],[Actual_Delivery_Date]]&gt;tblPO[[#This Row],[Expected_Delivery_Date]],1,0)</f>
        <v>0</v>
      </c>
      <c r="M1989">
        <f>tblPO[[#This Row],[Actual_Delivery_Date]]-tblPO[[#This Row],[PO_Date]]</f>
        <v>29</v>
      </c>
    </row>
    <row r="1990" spans="1:13" x14ac:dyDescent="0.3">
      <c r="A1990" t="s">
        <v>268</v>
      </c>
      <c r="B1990" s="18">
        <v>45638</v>
      </c>
      <c r="C1990" t="s">
        <v>42</v>
      </c>
      <c r="D1990" t="s">
        <v>94</v>
      </c>
      <c r="E1990">
        <v>122</v>
      </c>
      <c r="F1990">
        <v>527.30999999999995</v>
      </c>
      <c r="G1990" s="18">
        <v>45656</v>
      </c>
      <c r="H1990" s="18">
        <v>45655</v>
      </c>
      <c r="I1990">
        <v>122</v>
      </c>
      <c r="J1990">
        <v>64331.82</v>
      </c>
      <c r="K1990">
        <f>IF(tblPO[[#This Row],[Actual_Delivery_Date]]&lt;=tblPO[[#This Row],[Expected_Delivery_Date]],1,0)</f>
        <v>1</v>
      </c>
      <c r="L1990">
        <f>IF(tblPO[[#This Row],[Actual_Delivery_Date]]&gt;tblPO[[#This Row],[Expected_Delivery_Date]],1,0)</f>
        <v>0</v>
      </c>
      <c r="M1990">
        <f>tblPO[[#This Row],[Actual_Delivery_Date]]-tblPO[[#This Row],[PO_Date]]</f>
        <v>17</v>
      </c>
    </row>
    <row r="1991" spans="1:13" x14ac:dyDescent="0.3">
      <c r="A1991" t="s">
        <v>267</v>
      </c>
      <c r="B1991" s="18">
        <v>45644</v>
      </c>
      <c r="C1991" t="s">
        <v>44</v>
      </c>
      <c r="D1991" t="s">
        <v>199</v>
      </c>
      <c r="E1991">
        <v>173</v>
      </c>
      <c r="F1991">
        <v>255.78</v>
      </c>
      <c r="G1991" s="18">
        <v>45668</v>
      </c>
      <c r="H1991" s="18">
        <v>45686</v>
      </c>
      <c r="I1991">
        <v>173</v>
      </c>
      <c r="J1991">
        <v>44249.94</v>
      </c>
      <c r="K1991">
        <f>IF(tblPO[[#This Row],[Actual_Delivery_Date]]&lt;=tblPO[[#This Row],[Expected_Delivery_Date]],1,0)</f>
        <v>0</v>
      </c>
      <c r="L1991">
        <f>IF(tblPO[[#This Row],[Actual_Delivery_Date]]&gt;tblPO[[#This Row],[Expected_Delivery_Date]],1,0)</f>
        <v>1</v>
      </c>
      <c r="M1991">
        <f>tblPO[[#This Row],[Actual_Delivery_Date]]-tblPO[[#This Row],[PO_Date]]</f>
        <v>42</v>
      </c>
    </row>
    <row r="1992" spans="1:13" x14ac:dyDescent="0.3">
      <c r="A1992" t="s">
        <v>266</v>
      </c>
      <c r="B1992" s="18">
        <v>45636</v>
      </c>
      <c r="C1992" t="s">
        <v>47</v>
      </c>
      <c r="D1992" t="s">
        <v>249</v>
      </c>
      <c r="E1992">
        <v>334</v>
      </c>
      <c r="F1992">
        <v>56.23</v>
      </c>
      <c r="G1992" s="18">
        <v>45646</v>
      </c>
      <c r="H1992" s="18">
        <v>45662</v>
      </c>
      <c r="I1992">
        <v>334</v>
      </c>
      <c r="J1992">
        <v>18780.82</v>
      </c>
      <c r="K1992">
        <f>IF(tblPO[[#This Row],[Actual_Delivery_Date]]&lt;=tblPO[[#This Row],[Expected_Delivery_Date]],1,0)</f>
        <v>0</v>
      </c>
      <c r="L1992">
        <f>IF(tblPO[[#This Row],[Actual_Delivery_Date]]&gt;tblPO[[#This Row],[Expected_Delivery_Date]],1,0)</f>
        <v>1</v>
      </c>
      <c r="M1992">
        <f>tblPO[[#This Row],[Actual_Delivery_Date]]-tblPO[[#This Row],[PO_Date]]</f>
        <v>26</v>
      </c>
    </row>
    <row r="1993" spans="1:13" x14ac:dyDescent="0.3">
      <c r="A1993" t="s">
        <v>265</v>
      </c>
      <c r="B1993" s="18">
        <v>45637</v>
      </c>
      <c r="C1993" t="s">
        <v>58</v>
      </c>
      <c r="D1993" t="s">
        <v>158</v>
      </c>
      <c r="E1993">
        <v>156</v>
      </c>
      <c r="F1993">
        <v>135.75</v>
      </c>
      <c r="G1993" s="18">
        <v>45652</v>
      </c>
      <c r="H1993" s="18">
        <v>45651</v>
      </c>
      <c r="I1993">
        <v>156</v>
      </c>
      <c r="J1993">
        <v>21177</v>
      </c>
      <c r="K1993">
        <f>IF(tblPO[[#This Row],[Actual_Delivery_Date]]&lt;=tblPO[[#This Row],[Expected_Delivery_Date]],1,0)</f>
        <v>1</v>
      </c>
      <c r="L1993">
        <f>IF(tblPO[[#This Row],[Actual_Delivery_Date]]&gt;tblPO[[#This Row],[Expected_Delivery_Date]],1,0)</f>
        <v>0</v>
      </c>
      <c r="M1993">
        <f>tblPO[[#This Row],[Actual_Delivery_Date]]-tblPO[[#This Row],[PO_Date]]</f>
        <v>14</v>
      </c>
    </row>
    <row r="1994" spans="1:13" x14ac:dyDescent="0.3">
      <c r="A1994" t="s">
        <v>264</v>
      </c>
      <c r="B1994" s="18">
        <v>45627</v>
      </c>
      <c r="C1994" t="s">
        <v>46</v>
      </c>
      <c r="D1994" t="s">
        <v>106</v>
      </c>
      <c r="E1994">
        <v>2</v>
      </c>
      <c r="F1994">
        <v>23965.07</v>
      </c>
      <c r="G1994" s="18">
        <v>45643</v>
      </c>
      <c r="H1994" s="18">
        <v>45641</v>
      </c>
      <c r="I1994">
        <v>2</v>
      </c>
      <c r="J1994">
        <v>47930.14</v>
      </c>
      <c r="K1994">
        <f>IF(tblPO[[#This Row],[Actual_Delivery_Date]]&lt;=tblPO[[#This Row],[Expected_Delivery_Date]],1,0)</f>
        <v>1</v>
      </c>
      <c r="L1994">
        <f>IF(tblPO[[#This Row],[Actual_Delivery_Date]]&gt;tblPO[[#This Row],[Expected_Delivery_Date]],1,0)</f>
        <v>0</v>
      </c>
      <c r="M1994">
        <f>tblPO[[#This Row],[Actual_Delivery_Date]]-tblPO[[#This Row],[PO_Date]]</f>
        <v>14</v>
      </c>
    </row>
    <row r="1995" spans="1:13" x14ac:dyDescent="0.3">
      <c r="A1995" t="s">
        <v>263</v>
      </c>
      <c r="B1995" s="18">
        <v>45627</v>
      </c>
      <c r="C1995" t="s">
        <v>38</v>
      </c>
      <c r="D1995" t="s">
        <v>215</v>
      </c>
      <c r="E1995">
        <v>23</v>
      </c>
      <c r="F1995">
        <v>3875.78</v>
      </c>
      <c r="G1995" s="18">
        <v>45632</v>
      </c>
      <c r="H1995" s="18">
        <v>45632</v>
      </c>
      <c r="I1995">
        <v>23</v>
      </c>
      <c r="J1995">
        <v>89142.94</v>
      </c>
      <c r="K1995">
        <f>IF(tblPO[[#This Row],[Actual_Delivery_Date]]&lt;=tblPO[[#This Row],[Expected_Delivery_Date]],1,0)</f>
        <v>1</v>
      </c>
      <c r="L1995">
        <f>IF(tblPO[[#This Row],[Actual_Delivery_Date]]&gt;tblPO[[#This Row],[Expected_Delivery_Date]],1,0)</f>
        <v>0</v>
      </c>
      <c r="M1995">
        <f>tblPO[[#This Row],[Actual_Delivery_Date]]-tblPO[[#This Row],[PO_Date]]</f>
        <v>5</v>
      </c>
    </row>
    <row r="1996" spans="1:13" x14ac:dyDescent="0.3">
      <c r="A1996" t="s">
        <v>262</v>
      </c>
      <c r="B1996" s="18">
        <v>45628</v>
      </c>
      <c r="C1996" t="s">
        <v>51</v>
      </c>
      <c r="D1996" t="s">
        <v>149</v>
      </c>
      <c r="E1996">
        <v>247</v>
      </c>
      <c r="F1996">
        <v>62.35</v>
      </c>
      <c r="G1996" s="18">
        <v>45637</v>
      </c>
      <c r="H1996" s="18">
        <v>45652</v>
      </c>
      <c r="I1996">
        <v>247</v>
      </c>
      <c r="J1996">
        <v>15400.45</v>
      </c>
      <c r="K1996">
        <f>IF(tblPO[[#This Row],[Actual_Delivery_Date]]&lt;=tblPO[[#This Row],[Expected_Delivery_Date]],1,0)</f>
        <v>0</v>
      </c>
      <c r="L1996">
        <f>IF(tblPO[[#This Row],[Actual_Delivery_Date]]&gt;tblPO[[#This Row],[Expected_Delivery_Date]],1,0)</f>
        <v>1</v>
      </c>
      <c r="M1996">
        <f>tblPO[[#This Row],[Actual_Delivery_Date]]-tblPO[[#This Row],[PO_Date]]</f>
        <v>24</v>
      </c>
    </row>
    <row r="1997" spans="1:13" x14ac:dyDescent="0.3">
      <c r="A1997" t="s">
        <v>261</v>
      </c>
      <c r="B1997" s="18">
        <v>45645</v>
      </c>
      <c r="C1997" t="s">
        <v>42</v>
      </c>
      <c r="D1997" t="s">
        <v>96</v>
      </c>
      <c r="E1997">
        <v>185</v>
      </c>
      <c r="F1997">
        <v>766.52</v>
      </c>
      <c r="G1997" s="18">
        <v>45672</v>
      </c>
      <c r="H1997" s="18">
        <v>45669</v>
      </c>
      <c r="I1997">
        <v>185</v>
      </c>
      <c r="J1997">
        <v>141806.20000000001</v>
      </c>
      <c r="K1997">
        <f>IF(tblPO[[#This Row],[Actual_Delivery_Date]]&lt;=tblPO[[#This Row],[Expected_Delivery_Date]],1,0)</f>
        <v>1</v>
      </c>
      <c r="L1997">
        <f>IF(tblPO[[#This Row],[Actual_Delivery_Date]]&gt;tblPO[[#This Row],[Expected_Delivery_Date]],1,0)</f>
        <v>0</v>
      </c>
      <c r="M1997">
        <f>tblPO[[#This Row],[Actual_Delivery_Date]]-tblPO[[#This Row],[PO_Date]]</f>
        <v>24</v>
      </c>
    </row>
    <row r="1998" spans="1:13" x14ac:dyDescent="0.3">
      <c r="A1998" t="s">
        <v>260</v>
      </c>
      <c r="B1998" s="18">
        <v>45631</v>
      </c>
      <c r="C1998" t="s">
        <v>49</v>
      </c>
      <c r="D1998" t="s">
        <v>209</v>
      </c>
      <c r="E1998">
        <v>799</v>
      </c>
      <c r="F1998">
        <v>16.45</v>
      </c>
      <c r="G1998" s="18">
        <v>45637</v>
      </c>
      <c r="H1998" s="18">
        <v>45634</v>
      </c>
      <c r="I1998">
        <v>799</v>
      </c>
      <c r="J1998">
        <v>13143.55</v>
      </c>
      <c r="K1998">
        <f>IF(tblPO[[#This Row],[Actual_Delivery_Date]]&lt;=tblPO[[#This Row],[Expected_Delivery_Date]],1,0)</f>
        <v>1</v>
      </c>
      <c r="L1998">
        <f>IF(tblPO[[#This Row],[Actual_Delivery_Date]]&gt;tblPO[[#This Row],[Expected_Delivery_Date]],1,0)</f>
        <v>0</v>
      </c>
      <c r="M1998">
        <f>tblPO[[#This Row],[Actual_Delivery_Date]]-tblPO[[#This Row],[PO_Date]]</f>
        <v>3</v>
      </c>
    </row>
    <row r="1999" spans="1:13" x14ac:dyDescent="0.3">
      <c r="A1999" t="s">
        <v>259</v>
      </c>
      <c r="B1999" s="18">
        <v>45640</v>
      </c>
      <c r="C1999" t="s">
        <v>46</v>
      </c>
      <c r="D1999" t="s">
        <v>81</v>
      </c>
      <c r="E1999">
        <v>8</v>
      </c>
      <c r="F1999">
        <v>27940.880000000001</v>
      </c>
      <c r="G1999" s="18">
        <v>45666</v>
      </c>
      <c r="H1999" s="18">
        <v>45664</v>
      </c>
      <c r="I1999">
        <v>7</v>
      </c>
      <c r="J1999">
        <v>223527.04000000001</v>
      </c>
      <c r="K1999">
        <f>IF(tblPO[[#This Row],[Actual_Delivery_Date]]&lt;=tblPO[[#This Row],[Expected_Delivery_Date]],1,0)</f>
        <v>1</v>
      </c>
      <c r="L1999">
        <f>IF(tblPO[[#This Row],[Actual_Delivery_Date]]&gt;tblPO[[#This Row],[Expected_Delivery_Date]],1,0)</f>
        <v>0</v>
      </c>
      <c r="M1999">
        <f>tblPO[[#This Row],[Actual_Delivery_Date]]-tblPO[[#This Row],[PO_Date]]</f>
        <v>24</v>
      </c>
    </row>
    <row r="2000" spans="1:13" x14ac:dyDescent="0.3">
      <c r="A2000" t="s">
        <v>258</v>
      </c>
      <c r="B2000" s="18">
        <v>45630</v>
      </c>
      <c r="C2000" t="s">
        <v>53</v>
      </c>
      <c r="D2000" t="s">
        <v>88</v>
      </c>
      <c r="E2000">
        <v>2</v>
      </c>
      <c r="F2000">
        <v>18072.32</v>
      </c>
      <c r="G2000" s="18">
        <v>45654</v>
      </c>
      <c r="H2000" s="18">
        <v>45652</v>
      </c>
      <c r="I2000">
        <v>2</v>
      </c>
      <c r="J2000">
        <v>36144.639999999999</v>
      </c>
      <c r="K2000">
        <f>IF(tblPO[[#This Row],[Actual_Delivery_Date]]&lt;=tblPO[[#This Row],[Expected_Delivery_Date]],1,0)</f>
        <v>1</v>
      </c>
      <c r="L2000">
        <f>IF(tblPO[[#This Row],[Actual_Delivery_Date]]&gt;tblPO[[#This Row],[Expected_Delivery_Date]],1,0)</f>
        <v>0</v>
      </c>
      <c r="M2000">
        <f>tblPO[[#This Row],[Actual_Delivery_Date]]-tblPO[[#This Row],[PO_Date]]</f>
        <v>22</v>
      </c>
    </row>
    <row r="2001" spans="1:13" x14ac:dyDescent="0.3">
      <c r="A2001" t="s">
        <v>257</v>
      </c>
      <c r="B2001" s="18">
        <v>45628</v>
      </c>
      <c r="C2001" t="s">
        <v>57</v>
      </c>
      <c r="D2001" t="s">
        <v>209</v>
      </c>
      <c r="E2001">
        <v>788</v>
      </c>
      <c r="F2001">
        <v>17.22</v>
      </c>
      <c r="G2001" s="18">
        <v>45654</v>
      </c>
      <c r="H2001" s="18">
        <v>45653</v>
      </c>
      <c r="I2001">
        <v>788</v>
      </c>
      <c r="J2001">
        <v>13569.36</v>
      </c>
      <c r="K2001">
        <f>IF(tblPO[[#This Row],[Actual_Delivery_Date]]&lt;=tblPO[[#This Row],[Expected_Delivery_Date]],1,0)</f>
        <v>1</v>
      </c>
      <c r="L2001">
        <f>IF(tblPO[[#This Row],[Actual_Delivery_Date]]&gt;tblPO[[#This Row],[Expected_Delivery_Date]],1,0)</f>
        <v>0</v>
      </c>
      <c r="M2001">
        <f>tblPO[[#This Row],[Actual_Delivery_Date]]-tblPO[[#This Row],[PO_Date]]</f>
        <v>25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3CECE-7349-4841-9D88-1C706F41FE15}">
  <dimension ref="A1:L36"/>
  <sheetViews>
    <sheetView topLeftCell="D16" workbookViewId="0">
      <selection activeCell="F31" sqref="F31"/>
    </sheetView>
  </sheetViews>
  <sheetFormatPr defaultRowHeight="14.4" x14ac:dyDescent="0.3"/>
  <cols>
    <col min="1" max="1" width="12.5546875" customWidth="1"/>
    <col min="2" max="2" width="22.109375" bestFit="1" customWidth="1"/>
    <col min="3" max="3" width="20.21875" bestFit="1" customWidth="1"/>
    <col min="4" max="4" width="10.88671875" bestFit="1" customWidth="1"/>
    <col min="5" max="5" width="12" bestFit="1" customWidth="1"/>
    <col min="6" max="6" width="14.6640625" customWidth="1"/>
    <col min="7" max="7" width="19.6640625" customWidth="1"/>
    <col min="8" max="8" width="18.88671875" bestFit="1" customWidth="1"/>
    <col min="9" max="9" width="16.77734375" customWidth="1"/>
    <col min="10" max="10" width="18.77734375" bestFit="1" customWidth="1"/>
    <col min="11" max="11" width="37.77734375" bestFit="1" customWidth="1"/>
    <col min="12" max="12" width="15.44140625" bestFit="1" customWidth="1"/>
  </cols>
  <sheetData>
    <row r="1" spans="1:12" x14ac:dyDescent="0.3">
      <c r="A1" t="s">
        <v>23</v>
      </c>
      <c r="B1" t="s">
        <v>24</v>
      </c>
      <c r="C1" t="s">
        <v>2464</v>
      </c>
      <c r="D1" t="s">
        <v>2463</v>
      </c>
      <c r="E1" t="s">
        <v>2462</v>
      </c>
      <c r="F1" t="s">
        <v>2461</v>
      </c>
      <c r="G1" t="s">
        <v>2460</v>
      </c>
      <c r="H1" t="s">
        <v>2459</v>
      </c>
      <c r="I1" t="s">
        <v>2458</v>
      </c>
      <c r="J1" t="s">
        <v>2457</v>
      </c>
      <c r="K1" t="s">
        <v>2456</v>
      </c>
      <c r="L1" t="s">
        <v>2455</v>
      </c>
    </row>
    <row r="2" spans="1:12" x14ac:dyDescent="0.3">
      <c r="A2" t="s">
        <v>38</v>
      </c>
      <c r="B2" t="s">
        <v>2454</v>
      </c>
      <c r="C2" t="s">
        <v>210</v>
      </c>
      <c r="D2" t="s">
        <v>2275</v>
      </c>
      <c r="E2" t="s">
        <v>2315</v>
      </c>
      <c r="F2" t="s">
        <v>2273</v>
      </c>
      <c r="G2" s="18">
        <v>44539</v>
      </c>
      <c r="H2" t="s">
        <v>2286</v>
      </c>
      <c r="I2" t="s">
        <v>2302</v>
      </c>
      <c r="J2" t="s">
        <v>2453</v>
      </c>
      <c r="K2" t="s">
        <v>2452</v>
      </c>
      <c r="L2" t="s">
        <v>2451</v>
      </c>
    </row>
    <row r="3" spans="1:12" x14ac:dyDescent="0.3">
      <c r="A3" t="s">
        <v>39</v>
      </c>
      <c r="B3" t="s">
        <v>2450</v>
      </c>
      <c r="C3" t="s">
        <v>144</v>
      </c>
      <c r="D3" t="s">
        <v>2436</v>
      </c>
      <c r="E3" t="s">
        <v>2449</v>
      </c>
      <c r="F3" t="s">
        <v>2303</v>
      </c>
      <c r="G3" s="18">
        <v>44979</v>
      </c>
      <c r="H3" t="s">
        <v>2320</v>
      </c>
      <c r="I3" t="s">
        <v>2302</v>
      </c>
      <c r="J3" t="s">
        <v>2448</v>
      </c>
      <c r="K3" t="s">
        <v>2447</v>
      </c>
      <c r="L3" t="s">
        <v>2446</v>
      </c>
    </row>
    <row r="4" spans="1:12" x14ac:dyDescent="0.3">
      <c r="A4" t="s">
        <v>40</v>
      </c>
      <c r="B4" t="s">
        <v>2445</v>
      </c>
      <c r="C4" t="s">
        <v>111</v>
      </c>
      <c r="D4" t="s">
        <v>2275</v>
      </c>
      <c r="E4" t="s">
        <v>2333</v>
      </c>
      <c r="F4" t="s">
        <v>2273</v>
      </c>
      <c r="G4" s="18">
        <v>44483</v>
      </c>
      <c r="H4" t="s">
        <v>2286</v>
      </c>
      <c r="I4" t="s">
        <v>2302</v>
      </c>
      <c r="J4" t="s">
        <v>2444</v>
      </c>
      <c r="K4" t="s">
        <v>2443</v>
      </c>
      <c r="L4" t="s">
        <v>2442</v>
      </c>
    </row>
    <row r="5" spans="1:12" x14ac:dyDescent="0.3">
      <c r="A5" t="s">
        <v>41</v>
      </c>
      <c r="B5" t="s">
        <v>2441</v>
      </c>
      <c r="C5" t="s">
        <v>177</v>
      </c>
      <c r="D5" t="s">
        <v>2275</v>
      </c>
      <c r="E5" t="s">
        <v>2281</v>
      </c>
      <c r="F5" t="s">
        <v>2273</v>
      </c>
      <c r="G5" s="18">
        <v>44303</v>
      </c>
      <c r="H5" t="s">
        <v>2280</v>
      </c>
      <c r="I5" t="s">
        <v>2271</v>
      </c>
      <c r="J5" t="s">
        <v>2440</v>
      </c>
      <c r="K5" t="s">
        <v>2439</v>
      </c>
      <c r="L5" t="s">
        <v>2438</v>
      </c>
    </row>
    <row r="6" spans="1:12" x14ac:dyDescent="0.3">
      <c r="A6" t="s">
        <v>42</v>
      </c>
      <c r="B6" t="s">
        <v>2437</v>
      </c>
      <c r="C6" t="s">
        <v>79</v>
      </c>
      <c r="D6" t="s">
        <v>2436</v>
      </c>
      <c r="E6" t="s">
        <v>2435</v>
      </c>
      <c r="F6" t="s">
        <v>2303</v>
      </c>
      <c r="G6" s="18">
        <v>45253</v>
      </c>
      <c r="H6" t="s">
        <v>2320</v>
      </c>
      <c r="I6" t="s">
        <v>2302</v>
      </c>
      <c r="J6" t="s">
        <v>2434</v>
      </c>
      <c r="K6" t="s">
        <v>2433</v>
      </c>
      <c r="L6" t="s">
        <v>2432</v>
      </c>
    </row>
    <row r="7" spans="1:12" x14ac:dyDescent="0.3">
      <c r="A7" t="s">
        <v>43</v>
      </c>
      <c r="B7" t="s">
        <v>2431</v>
      </c>
      <c r="C7" t="s">
        <v>144</v>
      </c>
      <c r="D7" t="s">
        <v>2275</v>
      </c>
      <c r="E7" t="s">
        <v>2287</v>
      </c>
      <c r="F7" t="s">
        <v>2273</v>
      </c>
      <c r="G7" s="18">
        <v>44843</v>
      </c>
      <c r="H7" t="s">
        <v>2280</v>
      </c>
      <c r="I7" t="s">
        <v>2271</v>
      </c>
      <c r="J7" t="s">
        <v>2430</v>
      </c>
      <c r="K7" t="s">
        <v>2429</v>
      </c>
      <c r="L7" t="s">
        <v>2428</v>
      </c>
    </row>
    <row r="8" spans="1:12" x14ac:dyDescent="0.3">
      <c r="A8" t="s">
        <v>44</v>
      </c>
      <c r="B8" t="s">
        <v>2427</v>
      </c>
      <c r="C8" t="s">
        <v>177</v>
      </c>
      <c r="D8" t="s">
        <v>2426</v>
      </c>
      <c r="E8" t="s">
        <v>2425</v>
      </c>
      <c r="F8" t="s">
        <v>2303</v>
      </c>
      <c r="G8" s="18">
        <v>45118</v>
      </c>
      <c r="H8" t="s">
        <v>2272</v>
      </c>
      <c r="I8" t="s">
        <v>2271</v>
      </c>
      <c r="J8" t="s">
        <v>2424</v>
      </c>
      <c r="K8" t="s">
        <v>2423</v>
      </c>
      <c r="L8" t="s">
        <v>2422</v>
      </c>
    </row>
    <row r="9" spans="1:12" x14ac:dyDescent="0.3">
      <c r="A9" t="s">
        <v>45</v>
      </c>
      <c r="B9" t="s">
        <v>2421</v>
      </c>
      <c r="C9" t="s">
        <v>210</v>
      </c>
      <c r="D9" t="s">
        <v>2275</v>
      </c>
      <c r="E9" t="s">
        <v>2420</v>
      </c>
      <c r="F9" t="s">
        <v>2273</v>
      </c>
      <c r="G9" s="18">
        <v>44595</v>
      </c>
      <c r="H9" t="s">
        <v>2286</v>
      </c>
      <c r="I9" t="s">
        <v>2271</v>
      </c>
      <c r="J9" t="s">
        <v>2419</v>
      </c>
      <c r="K9" t="s">
        <v>2418</v>
      </c>
      <c r="L9" t="s">
        <v>2417</v>
      </c>
    </row>
    <row r="10" spans="1:12" x14ac:dyDescent="0.3">
      <c r="A10" t="s">
        <v>46</v>
      </c>
      <c r="B10" t="s">
        <v>2416</v>
      </c>
      <c r="C10" t="s">
        <v>79</v>
      </c>
      <c r="D10" t="s">
        <v>2415</v>
      </c>
      <c r="E10" t="s">
        <v>2414</v>
      </c>
      <c r="F10" t="s">
        <v>2303</v>
      </c>
      <c r="G10" s="18">
        <v>44843</v>
      </c>
      <c r="H10" t="s">
        <v>2286</v>
      </c>
      <c r="I10" t="s">
        <v>2302</v>
      </c>
      <c r="J10" t="s">
        <v>2413</v>
      </c>
      <c r="K10" t="s">
        <v>2412</v>
      </c>
      <c r="L10" t="s">
        <v>2411</v>
      </c>
    </row>
    <row r="11" spans="1:12" x14ac:dyDescent="0.3">
      <c r="A11" t="s">
        <v>47</v>
      </c>
      <c r="B11" t="s">
        <v>2410</v>
      </c>
      <c r="C11" t="s">
        <v>210</v>
      </c>
      <c r="D11" t="s">
        <v>2275</v>
      </c>
      <c r="E11" t="s">
        <v>2274</v>
      </c>
      <c r="F11" t="s">
        <v>2273</v>
      </c>
      <c r="G11" s="18">
        <v>44970</v>
      </c>
      <c r="H11" t="s">
        <v>2280</v>
      </c>
      <c r="I11" t="s">
        <v>2271</v>
      </c>
      <c r="J11" t="s">
        <v>2409</v>
      </c>
      <c r="K11" t="s">
        <v>2408</v>
      </c>
      <c r="L11" t="s">
        <v>2407</v>
      </c>
    </row>
    <row r="12" spans="1:12" x14ac:dyDescent="0.3">
      <c r="A12" t="s">
        <v>48</v>
      </c>
      <c r="B12" t="s">
        <v>2406</v>
      </c>
      <c r="C12" t="s">
        <v>144</v>
      </c>
      <c r="D12" t="s">
        <v>2405</v>
      </c>
      <c r="E12" t="s">
        <v>2404</v>
      </c>
      <c r="F12" t="s">
        <v>2303</v>
      </c>
      <c r="G12" s="18">
        <v>45227</v>
      </c>
      <c r="H12" t="s">
        <v>2326</v>
      </c>
      <c r="I12" t="s">
        <v>2302</v>
      </c>
      <c r="J12" t="s">
        <v>2403</v>
      </c>
      <c r="K12" t="s">
        <v>2402</v>
      </c>
      <c r="L12" t="s">
        <v>2401</v>
      </c>
    </row>
    <row r="13" spans="1:12" x14ac:dyDescent="0.3">
      <c r="A13" t="s">
        <v>49</v>
      </c>
      <c r="B13" t="s">
        <v>2400</v>
      </c>
      <c r="C13" t="s">
        <v>177</v>
      </c>
      <c r="D13" t="s">
        <v>2275</v>
      </c>
      <c r="E13" t="s">
        <v>2399</v>
      </c>
      <c r="F13" t="s">
        <v>2273</v>
      </c>
      <c r="G13" s="18">
        <v>44959</v>
      </c>
      <c r="H13" t="s">
        <v>2280</v>
      </c>
      <c r="I13" t="s">
        <v>2271</v>
      </c>
      <c r="J13" t="s">
        <v>2398</v>
      </c>
      <c r="K13" t="s">
        <v>2397</v>
      </c>
      <c r="L13" t="s">
        <v>2396</v>
      </c>
    </row>
    <row r="14" spans="1:12" x14ac:dyDescent="0.3">
      <c r="A14" t="s">
        <v>50</v>
      </c>
      <c r="B14" t="s">
        <v>2395</v>
      </c>
      <c r="C14" t="s">
        <v>111</v>
      </c>
      <c r="D14" t="s">
        <v>2275</v>
      </c>
      <c r="E14" t="s">
        <v>2348</v>
      </c>
      <c r="F14" t="s">
        <v>2273</v>
      </c>
      <c r="G14" s="18">
        <v>44314</v>
      </c>
      <c r="H14" t="s">
        <v>2280</v>
      </c>
      <c r="I14" t="s">
        <v>2302</v>
      </c>
      <c r="J14" t="s">
        <v>2394</v>
      </c>
      <c r="K14" t="s">
        <v>2393</v>
      </c>
      <c r="L14" t="s">
        <v>2392</v>
      </c>
    </row>
    <row r="15" spans="1:12" x14ac:dyDescent="0.3">
      <c r="A15" t="s">
        <v>51</v>
      </c>
      <c r="B15" t="s">
        <v>2391</v>
      </c>
      <c r="C15" t="s">
        <v>144</v>
      </c>
      <c r="D15" t="s">
        <v>2275</v>
      </c>
      <c r="E15" t="s">
        <v>2315</v>
      </c>
      <c r="F15" t="s">
        <v>2273</v>
      </c>
      <c r="G15" s="18">
        <v>44892</v>
      </c>
      <c r="H15" t="s">
        <v>2272</v>
      </c>
      <c r="I15" t="s">
        <v>2271</v>
      </c>
      <c r="J15" t="s">
        <v>2390</v>
      </c>
      <c r="K15" t="s">
        <v>2389</v>
      </c>
      <c r="L15" t="s">
        <v>2388</v>
      </c>
    </row>
    <row r="16" spans="1:12" x14ac:dyDescent="0.3">
      <c r="A16" t="s">
        <v>52</v>
      </c>
      <c r="B16" t="s">
        <v>2387</v>
      </c>
      <c r="C16" t="s">
        <v>210</v>
      </c>
      <c r="D16" t="s">
        <v>2275</v>
      </c>
      <c r="E16" t="s">
        <v>2386</v>
      </c>
      <c r="F16" t="s">
        <v>2273</v>
      </c>
      <c r="G16" s="18">
        <v>44673</v>
      </c>
      <c r="H16" t="s">
        <v>2286</v>
      </c>
      <c r="I16" t="s">
        <v>2302</v>
      </c>
      <c r="J16" t="s">
        <v>2385</v>
      </c>
      <c r="K16" t="s">
        <v>2384</v>
      </c>
      <c r="L16" t="s">
        <v>2383</v>
      </c>
    </row>
    <row r="17" spans="1:12" x14ac:dyDescent="0.3">
      <c r="A17" t="s">
        <v>53</v>
      </c>
      <c r="B17" t="s">
        <v>2382</v>
      </c>
      <c r="C17" t="s">
        <v>79</v>
      </c>
      <c r="D17" t="s">
        <v>2381</v>
      </c>
      <c r="E17" t="s">
        <v>2380</v>
      </c>
      <c r="F17" t="s">
        <v>2303</v>
      </c>
      <c r="G17" s="18">
        <v>44977</v>
      </c>
      <c r="H17" t="s">
        <v>2280</v>
      </c>
      <c r="I17" t="s">
        <v>2271</v>
      </c>
      <c r="J17" t="s">
        <v>2379</v>
      </c>
      <c r="K17" t="s">
        <v>2378</v>
      </c>
      <c r="L17" t="s">
        <v>2377</v>
      </c>
    </row>
    <row r="18" spans="1:12" x14ac:dyDescent="0.3">
      <c r="A18" t="s">
        <v>54</v>
      </c>
      <c r="B18" t="s">
        <v>2376</v>
      </c>
      <c r="C18" t="s">
        <v>177</v>
      </c>
      <c r="D18" t="s">
        <v>2275</v>
      </c>
      <c r="E18" t="s">
        <v>2321</v>
      </c>
      <c r="F18" t="s">
        <v>2273</v>
      </c>
      <c r="G18" s="18">
        <v>44421</v>
      </c>
      <c r="H18" t="s">
        <v>2272</v>
      </c>
      <c r="I18" t="s">
        <v>2271</v>
      </c>
      <c r="J18" t="s">
        <v>2375</v>
      </c>
      <c r="K18" t="s">
        <v>2374</v>
      </c>
      <c r="L18" t="s">
        <v>2373</v>
      </c>
    </row>
    <row r="19" spans="1:12" x14ac:dyDescent="0.3">
      <c r="A19" t="s">
        <v>55</v>
      </c>
      <c r="B19" t="s">
        <v>2372</v>
      </c>
      <c r="C19" t="s">
        <v>210</v>
      </c>
      <c r="D19" t="s">
        <v>2371</v>
      </c>
      <c r="E19" t="s">
        <v>2370</v>
      </c>
      <c r="F19" t="s">
        <v>2303</v>
      </c>
      <c r="G19" s="18">
        <v>44511</v>
      </c>
      <c r="H19" t="s">
        <v>2286</v>
      </c>
      <c r="I19" t="s">
        <v>2302</v>
      </c>
      <c r="J19" t="s">
        <v>2369</v>
      </c>
      <c r="K19" t="s">
        <v>2368</v>
      </c>
      <c r="L19" t="s">
        <v>2367</v>
      </c>
    </row>
    <row r="20" spans="1:12" x14ac:dyDescent="0.3">
      <c r="A20" t="s">
        <v>56</v>
      </c>
      <c r="B20" t="s">
        <v>2366</v>
      </c>
      <c r="C20" t="s">
        <v>111</v>
      </c>
      <c r="D20" t="s">
        <v>2275</v>
      </c>
      <c r="E20" t="s">
        <v>2365</v>
      </c>
      <c r="F20" t="s">
        <v>2273</v>
      </c>
      <c r="G20" s="18">
        <v>44751</v>
      </c>
      <c r="H20" t="s">
        <v>2280</v>
      </c>
      <c r="I20" t="s">
        <v>2271</v>
      </c>
      <c r="J20" t="s">
        <v>2364</v>
      </c>
      <c r="K20" t="s">
        <v>2363</v>
      </c>
      <c r="L20" t="s">
        <v>2362</v>
      </c>
    </row>
    <row r="21" spans="1:12" x14ac:dyDescent="0.3">
      <c r="A21" t="s">
        <v>57</v>
      </c>
      <c r="B21" t="s">
        <v>2361</v>
      </c>
      <c r="C21" t="s">
        <v>177</v>
      </c>
      <c r="D21" t="s">
        <v>2360</v>
      </c>
      <c r="E21" t="s">
        <v>2359</v>
      </c>
      <c r="F21" t="s">
        <v>2303</v>
      </c>
      <c r="G21" s="18">
        <v>45084</v>
      </c>
      <c r="H21" t="s">
        <v>2272</v>
      </c>
      <c r="I21" t="s">
        <v>2271</v>
      </c>
      <c r="J21" t="s">
        <v>2358</v>
      </c>
      <c r="K21" t="s">
        <v>2357</v>
      </c>
      <c r="L21" t="s">
        <v>2356</v>
      </c>
    </row>
    <row r="22" spans="1:12" x14ac:dyDescent="0.3">
      <c r="A22" t="s">
        <v>58</v>
      </c>
      <c r="B22" t="s">
        <v>2355</v>
      </c>
      <c r="C22" t="s">
        <v>144</v>
      </c>
      <c r="D22" t="s">
        <v>2354</v>
      </c>
      <c r="E22" t="s">
        <v>2353</v>
      </c>
      <c r="F22" t="s">
        <v>2303</v>
      </c>
      <c r="G22" s="18">
        <v>44629</v>
      </c>
      <c r="H22" t="s">
        <v>2280</v>
      </c>
      <c r="I22" t="s">
        <v>2271</v>
      </c>
      <c r="J22" t="s">
        <v>2352</v>
      </c>
      <c r="K22" t="s">
        <v>2351</v>
      </c>
      <c r="L22" t="s">
        <v>2350</v>
      </c>
    </row>
    <row r="23" spans="1:12" x14ac:dyDescent="0.3">
      <c r="A23" t="s">
        <v>59</v>
      </c>
      <c r="B23" t="s">
        <v>2349</v>
      </c>
      <c r="C23" t="s">
        <v>79</v>
      </c>
      <c r="D23" t="s">
        <v>2275</v>
      </c>
      <c r="E23" t="s">
        <v>2348</v>
      </c>
      <c r="F23" t="s">
        <v>2273</v>
      </c>
      <c r="G23" s="18">
        <v>45070</v>
      </c>
      <c r="H23" t="s">
        <v>2320</v>
      </c>
      <c r="I23" t="s">
        <v>2271</v>
      </c>
      <c r="J23" t="s">
        <v>2347</v>
      </c>
      <c r="K23" t="s">
        <v>2346</v>
      </c>
      <c r="L23" t="s">
        <v>2345</v>
      </c>
    </row>
    <row r="24" spans="1:12" x14ac:dyDescent="0.3">
      <c r="A24" t="s">
        <v>60</v>
      </c>
      <c r="B24" t="s">
        <v>2344</v>
      </c>
      <c r="C24" t="s">
        <v>111</v>
      </c>
      <c r="D24" t="s">
        <v>2275</v>
      </c>
      <c r="E24" t="s">
        <v>2343</v>
      </c>
      <c r="F24" t="s">
        <v>2273</v>
      </c>
      <c r="G24" s="18">
        <v>44720</v>
      </c>
      <c r="H24" t="s">
        <v>2272</v>
      </c>
      <c r="I24" t="s">
        <v>2271</v>
      </c>
      <c r="J24" t="s">
        <v>2342</v>
      </c>
      <c r="K24" t="s">
        <v>2341</v>
      </c>
      <c r="L24" t="s">
        <v>2340</v>
      </c>
    </row>
    <row r="25" spans="1:12" x14ac:dyDescent="0.3">
      <c r="A25" t="s">
        <v>61</v>
      </c>
      <c r="B25" t="s">
        <v>2339</v>
      </c>
      <c r="C25" t="s">
        <v>210</v>
      </c>
      <c r="D25" t="s">
        <v>2275</v>
      </c>
      <c r="E25" t="s">
        <v>2338</v>
      </c>
      <c r="F25" t="s">
        <v>2273</v>
      </c>
      <c r="G25" s="18">
        <v>44224</v>
      </c>
      <c r="H25" t="s">
        <v>2280</v>
      </c>
      <c r="I25" t="s">
        <v>2271</v>
      </c>
      <c r="J25" t="s">
        <v>2337</v>
      </c>
      <c r="K25" t="s">
        <v>2336</v>
      </c>
      <c r="L25" t="s">
        <v>2335</v>
      </c>
    </row>
    <row r="26" spans="1:12" x14ac:dyDescent="0.3">
      <c r="A26" t="s">
        <v>62</v>
      </c>
      <c r="B26" t="s">
        <v>2334</v>
      </c>
      <c r="C26" t="s">
        <v>177</v>
      </c>
      <c r="D26" t="s">
        <v>2275</v>
      </c>
      <c r="E26" t="s">
        <v>2333</v>
      </c>
      <c r="F26" t="s">
        <v>2273</v>
      </c>
      <c r="G26" s="18">
        <v>44514</v>
      </c>
      <c r="H26" t="s">
        <v>2280</v>
      </c>
      <c r="I26" t="s">
        <v>2271</v>
      </c>
      <c r="J26" t="s">
        <v>2332</v>
      </c>
      <c r="K26" t="s">
        <v>2331</v>
      </c>
      <c r="L26" t="s">
        <v>2330</v>
      </c>
    </row>
    <row r="27" spans="1:12" x14ac:dyDescent="0.3">
      <c r="A27" t="s">
        <v>63</v>
      </c>
      <c r="B27" t="s">
        <v>2329</v>
      </c>
      <c r="C27" t="s">
        <v>144</v>
      </c>
      <c r="D27" t="s">
        <v>2328</v>
      </c>
      <c r="E27" t="s">
        <v>2327</v>
      </c>
      <c r="F27" t="s">
        <v>2303</v>
      </c>
      <c r="G27" s="18">
        <v>45155</v>
      </c>
      <c r="H27" t="s">
        <v>2326</v>
      </c>
      <c r="I27" t="s">
        <v>2302</v>
      </c>
      <c r="J27" t="s">
        <v>2325</v>
      </c>
      <c r="K27" t="s">
        <v>2324</v>
      </c>
      <c r="L27" t="s">
        <v>2323</v>
      </c>
    </row>
    <row r="28" spans="1:12" x14ac:dyDescent="0.3">
      <c r="A28" t="s">
        <v>64</v>
      </c>
      <c r="B28" t="s">
        <v>2322</v>
      </c>
      <c r="C28" t="s">
        <v>111</v>
      </c>
      <c r="D28" t="s">
        <v>2275</v>
      </c>
      <c r="E28" t="s">
        <v>2321</v>
      </c>
      <c r="F28" t="s">
        <v>2273</v>
      </c>
      <c r="G28" s="18">
        <v>45264</v>
      </c>
      <c r="H28" t="s">
        <v>2320</v>
      </c>
      <c r="I28" t="s">
        <v>2271</v>
      </c>
      <c r="J28" t="s">
        <v>2319</v>
      </c>
      <c r="K28" t="s">
        <v>2318</v>
      </c>
      <c r="L28" t="s">
        <v>2317</v>
      </c>
    </row>
    <row r="29" spans="1:12" x14ac:dyDescent="0.3">
      <c r="A29" t="s">
        <v>65</v>
      </c>
      <c r="B29" t="s">
        <v>2316</v>
      </c>
      <c r="C29" t="s">
        <v>177</v>
      </c>
      <c r="D29" t="s">
        <v>2275</v>
      </c>
      <c r="E29" t="s">
        <v>2315</v>
      </c>
      <c r="F29" t="s">
        <v>2273</v>
      </c>
      <c r="G29" s="18">
        <v>44602</v>
      </c>
      <c r="H29" t="s">
        <v>2286</v>
      </c>
      <c r="I29" t="s">
        <v>2271</v>
      </c>
      <c r="J29" t="s">
        <v>2314</v>
      </c>
      <c r="K29" t="s">
        <v>2313</v>
      </c>
      <c r="L29" t="s">
        <v>2312</v>
      </c>
    </row>
    <row r="30" spans="1:12" x14ac:dyDescent="0.3">
      <c r="A30" t="s">
        <v>66</v>
      </c>
      <c r="B30" t="s">
        <v>2311</v>
      </c>
      <c r="C30" t="s">
        <v>210</v>
      </c>
      <c r="D30" t="s">
        <v>2275</v>
      </c>
      <c r="E30" t="s">
        <v>2310</v>
      </c>
      <c r="F30" t="s">
        <v>2273</v>
      </c>
      <c r="G30" s="18">
        <v>44554</v>
      </c>
      <c r="H30" t="s">
        <v>2272</v>
      </c>
      <c r="I30" t="s">
        <v>2271</v>
      </c>
      <c r="J30" t="s">
        <v>2309</v>
      </c>
      <c r="K30" t="s">
        <v>2308</v>
      </c>
      <c r="L30" t="s">
        <v>2307</v>
      </c>
    </row>
    <row r="31" spans="1:12" x14ac:dyDescent="0.3">
      <c r="A31" t="s">
        <v>67</v>
      </c>
      <c r="B31" t="s">
        <v>2306</v>
      </c>
      <c r="C31" t="s">
        <v>79</v>
      </c>
      <c r="D31" t="s">
        <v>2305</v>
      </c>
      <c r="E31" t="s">
        <v>2304</v>
      </c>
      <c r="F31" t="s">
        <v>2303</v>
      </c>
      <c r="G31" s="18">
        <v>44985</v>
      </c>
      <c r="H31" t="s">
        <v>2286</v>
      </c>
      <c r="I31" t="s">
        <v>2302</v>
      </c>
      <c r="J31" t="s">
        <v>2301</v>
      </c>
      <c r="K31" t="s">
        <v>2300</v>
      </c>
      <c r="L31" t="s">
        <v>2299</v>
      </c>
    </row>
    <row r="32" spans="1:12" x14ac:dyDescent="0.3">
      <c r="A32" t="s">
        <v>68</v>
      </c>
      <c r="B32" t="s">
        <v>2298</v>
      </c>
      <c r="C32" t="s">
        <v>144</v>
      </c>
      <c r="D32" t="s">
        <v>2275</v>
      </c>
      <c r="E32" t="s">
        <v>2297</v>
      </c>
      <c r="F32" t="s">
        <v>2273</v>
      </c>
      <c r="G32" s="18">
        <v>45206</v>
      </c>
      <c r="H32" t="s">
        <v>2272</v>
      </c>
      <c r="I32" t="s">
        <v>2271</v>
      </c>
      <c r="J32" t="s">
        <v>2296</v>
      </c>
      <c r="K32" t="s">
        <v>2295</v>
      </c>
      <c r="L32" t="s">
        <v>2294</v>
      </c>
    </row>
    <row r="33" spans="1:12" x14ac:dyDescent="0.3">
      <c r="A33" t="s">
        <v>69</v>
      </c>
      <c r="B33" t="s">
        <v>2293</v>
      </c>
      <c r="C33" t="s">
        <v>111</v>
      </c>
      <c r="D33" t="s">
        <v>2275</v>
      </c>
      <c r="E33" t="s">
        <v>2292</v>
      </c>
      <c r="F33" t="s">
        <v>2273</v>
      </c>
      <c r="G33" s="18">
        <v>45170</v>
      </c>
      <c r="H33" t="s">
        <v>2272</v>
      </c>
      <c r="I33" t="s">
        <v>2271</v>
      </c>
      <c r="J33" t="s">
        <v>2291</v>
      </c>
      <c r="K33" t="s">
        <v>2290</v>
      </c>
      <c r="L33" t="s">
        <v>2289</v>
      </c>
    </row>
    <row r="34" spans="1:12" x14ac:dyDescent="0.3">
      <c r="A34" t="s">
        <v>70</v>
      </c>
      <c r="B34" t="s">
        <v>2288</v>
      </c>
      <c r="C34" t="s">
        <v>177</v>
      </c>
      <c r="D34" t="s">
        <v>2275</v>
      </c>
      <c r="E34" t="s">
        <v>2287</v>
      </c>
      <c r="F34" t="s">
        <v>2273</v>
      </c>
      <c r="G34" s="18">
        <v>44374</v>
      </c>
      <c r="H34" t="s">
        <v>2286</v>
      </c>
      <c r="I34" t="s">
        <v>2271</v>
      </c>
      <c r="J34" t="s">
        <v>2285</v>
      </c>
      <c r="K34" t="s">
        <v>2284</v>
      </c>
      <c r="L34" t="s">
        <v>2283</v>
      </c>
    </row>
    <row r="35" spans="1:12" x14ac:dyDescent="0.3">
      <c r="A35" t="s">
        <v>71</v>
      </c>
      <c r="B35" t="s">
        <v>2282</v>
      </c>
      <c r="C35" t="s">
        <v>144</v>
      </c>
      <c r="D35" t="s">
        <v>2275</v>
      </c>
      <c r="E35" t="s">
        <v>2281</v>
      </c>
      <c r="F35" t="s">
        <v>2273</v>
      </c>
      <c r="G35" s="18">
        <v>44472</v>
      </c>
      <c r="H35" t="s">
        <v>2280</v>
      </c>
      <c r="I35" t="s">
        <v>2271</v>
      </c>
      <c r="J35" t="s">
        <v>2279</v>
      </c>
      <c r="K35" t="s">
        <v>2278</v>
      </c>
      <c r="L35" t="s">
        <v>2277</v>
      </c>
    </row>
    <row r="36" spans="1:12" x14ac:dyDescent="0.3">
      <c r="A36" t="s">
        <v>72</v>
      </c>
      <c r="B36" t="s">
        <v>2276</v>
      </c>
      <c r="C36" t="s">
        <v>210</v>
      </c>
      <c r="D36" t="s">
        <v>2275</v>
      </c>
      <c r="E36" t="s">
        <v>2274</v>
      </c>
      <c r="F36" t="s">
        <v>2273</v>
      </c>
      <c r="G36" s="18">
        <v>44464</v>
      </c>
      <c r="H36" t="s">
        <v>2272</v>
      </c>
      <c r="I36" t="s">
        <v>2271</v>
      </c>
      <c r="J36" t="s">
        <v>2270</v>
      </c>
      <c r="K36" t="s">
        <v>2269</v>
      </c>
      <c r="L36" t="s">
        <v>2268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3ECE8-EB9A-4891-A6D7-ABEFA79A2FF9}">
  <dimension ref="A1:D36"/>
  <sheetViews>
    <sheetView topLeftCell="A16" workbookViewId="0">
      <selection activeCell="C10" sqref="C10"/>
    </sheetView>
  </sheetViews>
  <sheetFormatPr defaultRowHeight="14.4" x14ac:dyDescent="0.3"/>
  <cols>
    <col min="1" max="1" width="12.5546875" customWidth="1"/>
    <col min="2" max="2" width="23.5546875" style="20" customWidth="1"/>
    <col min="3" max="3" width="18.33203125" style="20" customWidth="1"/>
    <col min="4" max="4" width="22.44140625" style="19" customWidth="1"/>
  </cols>
  <sheetData>
    <row r="1" spans="1:4" x14ac:dyDescent="0.3">
      <c r="A1" t="s">
        <v>23</v>
      </c>
      <c r="B1" s="20" t="s">
        <v>2467</v>
      </c>
      <c r="C1" s="20" t="s">
        <v>2466</v>
      </c>
      <c r="D1" s="19" t="s">
        <v>2465</v>
      </c>
    </row>
    <row r="2" spans="1:4" x14ac:dyDescent="0.3">
      <c r="A2" t="s">
        <v>38</v>
      </c>
      <c r="B2" s="20">
        <v>0.98</v>
      </c>
      <c r="C2" s="20">
        <v>5.5999999999999999E-3</v>
      </c>
      <c r="D2" s="19">
        <v>14</v>
      </c>
    </row>
    <row r="3" spans="1:4" x14ac:dyDescent="0.3">
      <c r="A3" t="s">
        <v>39</v>
      </c>
      <c r="B3" s="20">
        <v>0.97</v>
      </c>
      <c r="C3" s="20">
        <v>8.3999999999999995E-3</v>
      </c>
      <c r="D3" s="19">
        <v>14</v>
      </c>
    </row>
    <row r="4" spans="1:4" x14ac:dyDescent="0.3">
      <c r="A4" t="s">
        <v>40</v>
      </c>
      <c r="B4" s="20">
        <v>0.98</v>
      </c>
      <c r="C4" s="20">
        <v>7.0000000000000001E-3</v>
      </c>
      <c r="D4" s="19">
        <v>6</v>
      </c>
    </row>
    <row r="5" spans="1:4" x14ac:dyDescent="0.3">
      <c r="A5" t="s">
        <v>41</v>
      </c>
      <c r="B5" s="20">
        <v>0.93</v>
      </c>
      <c r="C5" s="20">
        <v>1.26E-2</v>
      </c>
      <c r="D5" s="19">
        <v>6</v>
      </c>
    </row>
    <row r="6" spans="1:4" x14ac:dyDescent="0.3">
      <c r="A6" t="s">
        <v>42</v>
      </c>
      <c r="B6" s="20">
        <v>0.98</v>
      </c>
      <c r="C6" s="20">
        <v>5.0000000000000001E-3</v>
      </c>
      <c r="D6" s="19">
        <v>20</v>
      </c>
    </row>
    <row r="7" spans="1:4" x14ac:dyDescent="0.3">
      <c r="A7" t="s">
        <v>43</v>
      </c>
      <c r="B7" s="20">
        <v>0.9</v>
      </c>
      <c r="C7" s="20">
        <v>1.54E-2</v>
      </c>
      <c r="D7" s="19">
        <v>13</v>
      </c>
    </row>
    <row r="8" spans="1:4" x14ac:dyDescent="0.3">
      <c r="A8" t="s">
        <v>44</v>
      </c>
      <c r="B8" s="20">
        <v>0.83</v>
      </c>
      <c r="C8" s="20">
        <v>2.7E-2</v>
      </c>
      <c r="D8" s="19">
        <v>14</v>
      </c>
    </row>
    <row r="9" spans="1:4" x14ac:dyDescent="0.3">
      <c r="A9" t="s">
        <v>45</v>
      </c>
      <c r="B9" s="20">
        <v>0.92</v>
      </c>
      <c r="C9" s="20">
        <v>1.4E-2</v>
      </c>
      <c r="D9" s="19">
        <v>9</v>
      </c>
    </row>
    <row r="10" spans="1:4" x14ac:dyDescent="0.3">
      <c r="A10" t="s">
        <v>46</v>
      </c>
      <c r="B10" s="20">
        <v>0.98</v>
      </c>
      <c r="C10" s="20">
        <v>6.3E-3</v>
      </c>
      <c r="D10" s="19">
        <v>13</v>
      </c>
    </row>
    <row r="11" spans="1:4" x14ac:dyDescent="0.3">
      <c r="A11" t="s">
        <v>47</v>
      </c>
      <c r="B11" s="20">
        <v>0.8</v>
      </c>
      <c r="C11" s="20">
        <v>3.3000000000000002E-2</v>
      </c>
      <c r="D11" s="19">
        <v>14</v>
      </c>
    </row>
    <row r="12" spans="1:4" x14ac:dyDescent="0.3">
      <c r="A12" t="s">
        <v>48</v>
      </c>
      <c r="B12" s="20">
        <v>0.98</v>
      </c>
      <c r="C12" s="20">
        <v>5.0000000000000001E-3</v>
      </c>
      <c r="D12" s="19">
        <v>21</v>
      </c>
    </row>
    <row r="13" spans="1:4" x14ac:dyDescent="0.3">
      <c r="A13" t="s">
        <v>49</v>
      </c>
      <c r="B13" s="20">
        <v>0.91</v>
      </c>
      <c r="C13" s="20">
        <v>1.7500000000000002E-2</v>
      </c>
      <c r="D13" s="19">
        <v>11</v>
      </c>
    </row>
    <row r="14" spans="1:4" x14ac:dyDescent="0.3">
      <c r="A14" t="s">
        <v>50</v>
      </c>
      <c r="B14" s="20">
        <v>0.94</v>
      </c>
      <c r="C14" s="20">
        <v>1.12E-2</v>
      </c>
      <c r="D14" s="19">
        <v>7</v>
      </c>
    </row>
    <row r="15" spans="1:4" x14ac:dyDescent="0.3">
      <c r="A15" t="s">
        <v>51</v>
      </c>
      <c r="B15" s="20">
        <v>0.85</v>
      </c>
      <c r="C15" s="20">
        <v>2.8799999999999999E-2</v>
      </c>
      <c r="D15" s="19">
        <v>11</v>
      </c>
    </row>
    <row r="16" spans="1:4" x14ac:dyDescent="0.3">
      <c r="A16" t="s">
        <v>52</v>
      </c>
      <c r="B16" s="20">
        <v>0.95</v>
      </c>
      <c r="C16" s="20">
        <v>1.26E-2</v>
      </c>
      <c r="D16" s="19">
        <v>9</v>
      </c>
    </row>
    <row r="17" spans="1:4" x14ac:dyDescent="0.3">
      <c r="A17" t="s">
        <v>53</v>
      </c>
      <c r="B17" s="20">
        <v>0.93</v>
      </c>
      <c r="C17" s="20">
        <v>1.4E-2</v>
      </c>
      <c r="D17" s="19">
        <v>14</v>
      </c>
    </row>
    <row r="18" spans="1:4" x14ac:dyDescent="0.3">
      <c r="A18" t="s">
        <v>54</v>
      </c>
      <c r="B18" s="20">
        <v>0.82</v>
      </c>
      <c r="C18" s="20">
        <v>3.1199999999999999E-2</v>
      </c>
      <c r="D18" s="19">
        <v>7</v>
      </c>
    </row>
    <row r="19" spans="1:4" x14ac:dyDescent="0.3">
      <c r="A19" t="s">
        <v>55</v>
      </c>
      <c r="B19" s="20">
        <v>0.97</v>
      </c>
      <c r="C19" s="20">
        <v>7.7000000000000002E-3</v>
      </c>
      <c r="D19" s="19">
        <v>14</v>
      </c>
    </row>
    <row r="20" spans="1:4" x14ac:dyDescent="0.3">
      <c r="A20" t="s">
        <v>56</v>
      </c>
      <c r="B20" s="20">
        <v>0.87</v>
      </c>
      <c r="C20" s="20">
        <v>2.2800000000000001E-2</v>
      </c>
      <c r="D20" s="19">
        <v>14</v>
      </c>
    </row>
    <row r="21" spans="1:4" x14ac:dyDescent="0.3">
      <c r="A21" t="s">
        <v>57</v>
      </c>
      <c r="B21" s="20">
        <v>0.84</v>
      </c>
      <c r="C21" s="20">
        <v>2.64E-2</v>
      </c>
      <c r="D21" s="19">
        <v>19</v>
      </c>
    </row>
    <row r="22" spans="1:4" x14ac:dyDescent="0.3">
      <c r="A22" t="s">
        <v>58</v>
      </c>
      <c r="B22" s="20">
        <v>0.92</v>
      </c>
      <c r="C22" s="20">
        <v>1.54E-2</v>
      </c>
      <c r="D22" s="19">
        <v>17</v>
      </c>
    </row>
    <row r="23" spans="1:4" x14ac:dyDescent="0.3">
      <c r="A23" t="s">
        <v>59</v>
      </c>
      <c r="B23" s="20">
        <v>0.7</v>
      </c>
      <c r="C23" s="20">
        <v>5.0999999999999997E-2</v>
      </c>
      <c r="D23" s="19">
        <v>13</v>
      </c>
    </row>
    <row r="24" spans="1:4" x14ac:dyDescent="0.3">
      <c r="A24" t="s">
        <v>60</v>
      </c>
      <c r="B24" s="20">
        <v>0.73</v>
      </c>
      <c r="C24" s="20">
        <v>4.6800000000000001E-2</v>
      </c>
      <c r="D24" s="19">
        <v>14</v>
      </c>
    </row>
    <row r="25" spans="1:4" x14ac:dyDescent="0.3">
      <c r="A25" t="s">
        <v>61</v>
      </c>
      <c r="B25" s="20">
        <v>0.88</v>
      </c>
      <c r="C25" s="20">
        <v>2.1600000000000001E-2</v>
      </c>
      <c r="D25" s="19">
        <v>6</v>
      </c>
    </row>
    <row r="26" spans="1:4" x14ac:dyDescent="0.3">
      <c r="A26" t="s">
        <v>62</v>
      </c>
      <c r="B26" s="20">
        <v>0.92</v>
      </c>
      <c r="C26" s="20">
        <v>1.3299999999999999E-2</v>
      </c>
      <c r="D26" s="19">
        <v>12</v>
      </c>
    </row>
    <row r="27" spans="1:4" x14ac:dyDescent="0.3">
      <c r="A27" t="s">
        <v>63</v>
      </c>
      <c r="B27" s="20">
        <v>0.98</v>
      </c>
      <c r="C27" s="20">
        <v>6.3E-3</v>
      </c>
      <c r="D27" s="19">
        <v>12</v>
      </c>
    </row>
    <row r="28" spans="1:4" x14ac:dyDescent="0.3">
      <c r="A28" t="s">
        <v>64</v>
      </c>
      <c r="B28" s="20">
        <v>0.67</v>
      </c>
      <c r="C28" s="20">
        <v>5.5199999999999999E-2</v>
      </c>
      <c r="D28" s="19">
        <v>9</v>
      </c>
    </row>
    <row r="29" spans="1:4" x14ac:dyDescent="0.3">
      <c r="A29" t="s">
        <v>65</v>
      </c>
      <c r="B29" s="20">
        <v>0.93</v>
      </c>
      <c r="C29" s="20">
        <v>1.1900000000000001E-2</v>
      </c>
      <c r="D29" s="19">
        <v>10</v>
      </c>
    </row>
    <row r="30" spans="1:4" x14ac:dyDescent="0.3">
      <c r="A30" t="s">
        <v>66</v>
      </c>
      <c r="B30" s="20">
        <v>0.86</v>
      </c>
      <c r="C30" s="20">
        <v>2.4E-2</v>
      </c>
      <c r="D30" s="19">
        <v>9</v>
      </c>
    </row>
    <row r="31" spans="1:4" x14ac:dyDescent="0.3">
      <c r="A31" t="s">
        <v>67</v>
      </c>
      <c r="B31" s="20">
        <v>0.95</v>
      </c>
      <c r="C31" s="20">
        <v>1.0500000000000001E-2</v>
      </c>
      <c r="D31" s="19">
        <v>14</v>
      </c>
    </row>
    <row r="32" spans="1:4" x14ac:dyDescent="0.3">
      <c r="A32" t="s">
        <v>68</v>
      </c>
      <c r="B32" s="20">
        <v>0.71</v>
      </c>
      <c r="C32" s="20">
        <v>4.9200000000000001E-2</v>
      </c>
      <c r="D32" s="19">
        <v>6</v>
      </c>
    </row>
    <row r="33" spans="1:4" x14ac:dyDescent="0.3">
      <c r="A33" t="s">
        <v>69</v>
      </c>
      <c r="B33" s="20">
        <v>0.85</v>
      </c>
      <c r="C33" s="20">
        <v>2.52E-2</v>
      </c>
      <c r="D33" s="19">
        <v>13</v>
      </c>
    </row>
    <row r="34" spans="1:4" x14ac:dyDescent="0.3">
      <c r="A34" t="s">
        <v>70</v>
      </c>
      <c r="B34" s="20">
        <v>0.9</v>
      </c>
      <c r="C34" s="20">
        <v>1.6799999999999999E-2</v>
      </c>
      <c r="D34" s="19">
        <v>10</v>
      </c>
    </row>
    <row r="35" spans="1:4" x14ac:dyDescent="0.3">
      <c r="A35" t="s">
        <v>71</v>
      </c>
      <c r="B35" s="20">
        <v>0.9</v>
      </c>
      <c r="C35" s="20">
        <v>1.7999999999999999E-2</v>
      </c>
      <c r="D35" s="19">
        <v>9</v>
      </c>
    </row>
    <row r="36" spans="1:4" x14ac:dyDescent="0.3">
      <c r="A36" t="s">
        <v>72</v>
      </c>
      <c r="B36" s="20">
        <v>0.66</v>
      </c>
      <c r="C36" s="20">
        <v>5.7000000000000002E-2</v>
      </c>
      <c r="D36" s="19">
        <v>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5C19D-0487-476A-B657-299419F95D9C}">
  <dimension ref="A1:E2002"/>
  <sheetViews>
    <sheetView topLeftCell="A1983" workbookViewId="0">
      <selection activeCell="C2001" sqref="C2001:D2001"/>
    </sheetView>
  </sheetViews>
  <sheetFormatPr defaultRowHeight="14.4" x14ac:dyDescent="0.3"/>
  <cols>
    <col min="1" max="1" width="12.88671875" customWidth="1"/>
    <col min="2" max="2" width="18.88671875" bestFit="1" customWidth="1"/>
    <col min="3" max="3" width="18.77734375" customWidth="1"/>
    <col min="4" max="4" width="18.21875" customWidth="1"/>
    <col min="5" max="5" width="17.21875" bestFit="1" customWidth="1"/>
  </cols>
  <sheetData>
    <row r="1" spans="1:5" x14ac:dyDescent="0.3">
      <c r="A1" t="s">
        <v>2267</v>
      </c>
      <c r="B1" t="s">
        <v>2480</v>
      </c>
      <c r="C1" t="s">
        <v>2479</v>
      </c>
      <c r="D1" t="s">
        <v>2478</v>
      </c>
      <c r="E1" t="s">
        <v>2477</v>
      </c>
    </row>
    <row r="2" spans="1:5" x14ac:dyDescent="0.3">
      <c r="A2" t="s">
        <v>2256</v>
      </c>
      <c r="B2" t="s">
        <v>2469</v>
      </c>
      <c r="C2">
        <v>96</v>
      </c>
      <c r="D2">
        <v>1</v>
      </c>
      <c r="E2" t="s">
        <v>2474</v>
      </c>
    </row>
    <row r="3" spans="1:5" x14ac:dyDescent="0.3">
      <c r="A3" t="s">
        <v>2255</v>
      </c>
      <c r="B3" t="s">
        <v>2469</v>
      </c>
      <c r="C3">
        <v>474</v>
      </c>
      <c r="D3">
        <v>9</v>
      </c>
      <c r="E3" t="s">
        <v>2468</v>
      </c>
    </row>
    <row r="4" spans="1:5" x14ac:dyDescent="0.3">
      <c r="A4" t="s">
        <v>2254</v>
      </c>
      <c r="B4" t="s">
        <v>2473</v>
      </c>
      <c r="C4">
        <v>457</v>
      </c>
      <c r="D4">
        <v>33</v>
      </c>
      <c r="E4" t="s">
        <v>2472</v>
      </c>
    </row>
    <row r="5" spans="1:5" x14ac:dyDescent="0.3">
      <c r="A5" t="s">
        <v>2253</v>
      </c>
      <c r="B5" t="s">
        <v>2469</v>
      </c>
      <c r="C5">
        <v>84</v>
      </c>
      <c r="D5">
        <v>2</v>
      </c>
      <c r="E5" t="s">
        <v>2474</v>
      </c>
    </row>
    <row r="6" spans="1:5" x14ac:dyDescent="0.3">
      <c r="A6" t="s">
        <v>2252</v>
      </c>
      <c r="B6" t="s">
        <v>2473</v>
      </c>
      <c r="C6">
        <v>19</v>
      </c>
      <c r="D6">
        <v>1</v>
      </c>
      <c r="E6" t="s">
        <v>2475</v>
      </c>
    </row>
    <row r="7" spans="1:5" x14ac:dyDescent="0.3">
      <c r="A7" t="s">
        <v>2251</v>
      </c>
      <c r="B7" t="s">
        <v>2469</v>
      </c>
      <c r="C7">
        <v>109</v>
      </c>
      <c r="D7">
        <v>5</v>
      </c>
      <c r="E7" t="s">
        <v>2476</v>
      </c>
    </row>
    <row r="8" spans="1:5" x14ac:dyDescent="0.3">
      <c r="A8" t="s">
        <v>2250</v>
      </c>
      <c r="B8" t="s">
        <v>2469</v>
      </c>
      <c r="C8">
        <v>113</v>
      </c>
      <c r="D8">
        <v>2</v>
      </c>
      <c r="E8" t="s">
        <v>2475</v>
      </c>
    </row>
    <row r="9" spans="1:5" x14ac:dyDescent="0.3">
      <c r="A9" t="s">
        <v>2249</v>
      </c>
      <c r="B9" t="s">
        <v>2473</v>
      </c>
      <c r="C9">
        <v>184</v>
      </c>
      <c r="D9">
        <v>14</v>
      </c>
      <c r="E9" t="s">
        <v>2472</v>
      </c>
    </row>
    <row r="10" spans="1:5" x14ac:dyDescent="0.3">
      <c r="A10" t="s">
        <v>2248</v>
      </c>
      <c r="B10" t="s">
        <v>2471</v>
      </c>
      <c r="C10">
        <v>9</v>
      </c>
      <c r="D10">
        <v>0</v>
      </c>
      <c r="E10" t="s">
        <v>2470</v>
      </c>
    </row>
    <row r="11" spans="1:5" x14ac:dyDescent="0.3">
      <c r="A11" t="s">
        <v>2247</v>
      </c>
      <c r="B11" t="s">
        <v>2469</v>
      </c>
      <c r="C11">
        <v>93</v>
      </c>
      <c r="D11">
        <v>1</v>
      </c>
      <c r="E11" t="s">
        <v>2476</v>
      </c>
    </row>
    <row r="12" spans="1:5" x14ac:dyDescent="0.3">
      <c r="A12" t="s">
        <v>2246</v>
      </c>
      <c r="B12" t="s">
        <v>2469</v>
      </c>
      <c r="C12">
        <v>146</v>
      </c>
      <c r="D12">
        <v>1</v>
      </c>
      <c r="E12" t="s">
        <v>2468</v>
      </c>
    </row>
    <row r="13" spans="1:5" x14ac:dyDescent="0.3">
      <c r="A13" t="s">
        <v>2245</v>
      </c>
      <c r="B13" t="s">
        <v>2469</v>
      </c>
      <c r="C13">
        <v>643</v>
      </c>
      <c r="D13">
        <v>17</v>
      </c>
      <c r="E13" t="s">
        <v>2474</v>
      </c>
    </row>
    <row r="14" spans="1:5" x14ac:dyDescent="0.3">
      <c r="A14" t="s">
        <v>2244</v>
      </c>
      <c r="B14" t="s">
        <v>2469</v>
      </c>
      <c r="C14">
        <v>151</v>
      </c>
      <c r="D14">
        <v>3</v>
      </c>
      <c r="E14" t="s">
        <v>2476</v>
      </c>
    </row>
    <row r="15" spans="1:5" x14ac:dyDescent="0.3">
      <c r="A15" t="s">
        <v>2243</v>
      </c>
      <c r="B15" t="s">
        <v>2469</v>
      </c>
      <c r="C15">
        <v>725</v>
      </c>
      <c r="D15">
        <v>11</v>
      </c>
      <c r="E15" t="s">
        <v>2468</v>
      </c>
    </row>
    <row r="16" spans="1:5" x14ac:dyDescent="0.3">
      <c r="A16" t="s">
        <v>2242</v>
      </c>
      <c r="B16" t="s">
        <v>2471</v>
      </c>
      <c r="C16">
        <v>5</v>
      </c>
      <c r="D16">
        <v>0</v>
      </c>
      <c r="E16" t="s">
        <v>2470</v>
      </c>
    </row>
    <row r="17" spans="1:5" x14ac:dyDescent="0.3">
      <c r="A17" t="s">
        <v>2241</v>
      </c>
      <c r="B17" t="s">
        <v>2469</v>
      </c>
      <c r="C17">
        <v>244</v>
      </c>
      <c r="D17">
        <v>2</v>
      </c>
      <c r="E17" t="s">
        <v>2475</v>
      </c>
    </row>
    <row r="18" spans="1:5" x14ac:dyDescent="0.3">
      <c r="A18" t="s">
        <v>2240</v>
      </c>
      <c r="B18" t="s">
        <v>2471</v>
      </c>
      <c r="C18">
        <v>2</v>
      </c>
      <c r="D18">
        <v>0</v>
      </c>
      <c r="E18" t="s">
        <v>2470</v>
      </c>
    </row>
    <row r="19" spans="1:5" x14ac:dyDescent="0.3">
      <c r="A19" t="s">
        <v>2239</v>
      </c>
      <c r="B19" t="s">
        <v>2469</v>
      </c>
      <c r="C19">
        <v>139</v>
      </c>
      <c r="D19">
        <v>1</v>
      </c>
      <c r="E19" t="s">
        <v>2468</v>
      </c>
    </row>
    <row r="20" spans="1:5" x14ac:dyDescent="0.3">
      <c r="A20" t="s">
        <v>2238</v>
      </c>
      <c r="B20" t="s">
        <v>2469</v>
      </c>
      <c r="C20">
        <v>144</v>
      </c>
      <c r="D20">
        <v>1</v>
      </c>
      <c r="E20" t="s">
        <v>2472</v>
      </c>
    </row>
    <row r="21" spans="1:5" x14ac:dyDescent="0.3">
      <c r="A21" t="s">
        <v>2237</v>
      </c>
      <c r="B21" t="s">
        <v>2471</v>
      </c>
      <c r="C21">
        <v>9</v>
      </c>
      <c r="D21">
        <v>0</v>
      </c>
      <c r="E21" t="s">
        <v>2470</v>
      </c>
    </row>
    <row r="22" spans="1:5" x14ac:dyDescent="0.3">
      <c r="A22" t="s">
        <v>2236</v>
      </c>
      <c r="B22" t="s">
        <v>2469</v>
      </c>
      <c r="C22">
        <v>71</v>
      </c>
      <c r="D22">
        <v>1</v>
      </c>
      <c r="E22" t="s">
        <v>2475</v>
      </c>
    </row>
    <row r="23" spans="1:5" x14ac:dyDescent="0.3">
      <c r="A23" t="s">
        <v>2235</v>
      </c>
      <c r="B23" t="s">
        <v>2469</v>
      </c>
      <c r="C23">
        <v>756</v>
      </c>
      <c r="D23">
        <v>6</v>
      </c>
      <c r="E23" t="s">
        <v>2472</v>
      </c>
    </row>
    <row r="24" spans="1:5" x14ac:dyDescent="0.3">
      <c r="A24" t="s">
        <v>2234</v>
      </c>
      <c r="B24" t="s">
        <v>2469</v>
      </c>
      <c r="C24">
        <v>512</v>
      </c>
      <c r="D24">
        <v>13</v>
      </c>
      <c r="E24" t="s">
        <v>2476</v>
      </c>
    </row>
    <row r="25" spans="1:5" x14ac:dyDescent="0.3">
      <c r="A25" t="s">
        <v>2233</v>
      </c>
      <c r="B25" t="s">
        <v>2471</v>
      </c>
      <c r="C25">
        <v>18</v>
      </c>
      <c r="D25">
        <v>0</v>
      </c>
      <c r="E25" t="s">
        <v>2470</v>
      </c>
    </row>
    <row r="26" spans="1:5" x14ac:dyDescent="0.3">
      <c r="A26" t="s">
        <v>2232</v>
      </c>
      <c r="B26" t="s">
        <v>2469</v>
      </c>
      <c r="C26">
        <v>691</v>
      </c>
      <c r="D26">
        <v>11</v>
      </c>
      <c r="E26" t="s">
        <v>2474</v>
      </c>
    </row>
    <row r="27" spans="1:5" x14ac:dyDescent="0.3">
      <c r="A27" t="s">
        <v>2231</v>
      </c>
      <c r="B27" t="s">
        <v>2471</v>
      </c>
      <c r="C27">
        <v>5</v>
      </c>
      <c r="D27">
        <v>0</v>
      </c>
      <c r="E27" t="s">
        <v>2470</v>
      </c>
    </row>
    <row r="28" spans="1:5" x14ac:dyDescent="0.3">
      <c r="A28" t="s">
        <v>2230</v>
      </c>
      <c r="B28" t="s">
        <v>2469</v>
      </c>
      <c r="C28">
        <v>205</v>
      </c>
      <c r="D28">
        <v>1</v>
      </c>
      <c r="E28" t="s">
        <v>2468</v>
      </c>
    </row>
    <row r="29" spans="1:5" x14ac:dyDescent="0.3">
      <c r="A29" t="s">
        <v>2229</v>
      </c>
      <c r="B29" t="s">
        <v>2469</v>
      </c>
      <c r="C29">
        <v>61</v>
      </c>
      <c r="D29">
        <v>1</v>
      </c>
      <c r="E29" t="s">
        <v>2476</v>
      </c>
    </row>
    <row r="30" spans="1:5" x14ac:dyDescent="0.3">
      <c r="A30" t="s">
        <v>2228</v>
      </c>
      <c r="B30" t="s">
        <v>2469</v>
      </c>
      <c r="C30">
        <v>130</v>
      </c>
      <c r="D30">
        <v>2</v>
      </c>
      <c r="E30" t="s">
        <v>2475</v>
      </c>
    </row>
    <row r="31" spans="1:5" x14ac:dyDescent="0.3">
      <c r="A31" t="s">
        <v>2227</v>
      </c>
      <c r="B31" t="s">
        <v>2471</v>
      </c>
      <c r="C31">
        <v>25</v>
      </c>
      <c r="D31">
        <v>0</v>
      </c>
      <c r="E31" t="s">
        <v>2470</v>
      </c>
    </row>
    <row r="32" spans="1:5" x14ac:dyDescent="0.3">
      <c r="A32" t="s">
        <v>2226</v>
      </c>
      <c r="B32" t="s">
        <v>2469</v>
      </c>
      <c r="C32">
        <v>727</v>
      </c>
      <c r="D32">
        <v>7</v>
      </c>
      <c r="E32" t="s">
        <v>2475</v>
      </c>
    </row>
    <row r="33" spans="1:5" x14ac:dyDescent="0.3">
      <c r="A33" t="s">
        <v>2225</v>
      </c>
      <c r="B33" t="s">
        <v>2473</v>
      </c>
      <c r="C33">
        <v>12</v>
      </c>
      <c r="D33">
        <v>2</v>
      </c>
      <c r="E33" t="s">
        <v>2475</v>
      </c>
    </row>
    <row r="34" spans="1:5" x14ac:dyDescent="0.3">
      <c r="A34" t="s">
        <v>2224</v>
      </c>
      <c r="B34" t="s">
        <v>2473</v>
      </c>
      <c r="C34">
        <v>72</v>
      </c>
      <c r="D34">
        <v>4</v>
      </c>
      <c r="E34" t="s">
        <v>2472</v>
      </c>
    </row>
    <row r="35" spans="1:5" x14ac:dyDescent="0.3">
      <c r="A35" t="s">
        <v>2223</v>
      </c>
      <c r="B35" t="s">
        <v>2471</v>
      </c>
      <c r="C35">
        <v>15</v>
      </c>
      <c r="D35">
        <v>0</v>
      </c>
      <c r="E35" t="s">
        <v>2470</v>
      </c>
    </row>
    <row r="36" spans="1:5" x14ac:dyDescent="0.3">
      <c r="A36" t="s">
        <v>2222</v>
      </c>
      <c r="B36" t="s">
        <v>2471</v>
      </c>
      <c r="C36">
        <v>4</v>
      </c>
      <c r="D36">
        <v>0</v>
      </c>
      <c r="E36" t="s">
        <v>2470</v>
      </c>
    </row>
    <row r="37" spans="1:5" x14ac:dyDescent="0.3">
      <c r="A37" t="s">
        <v>2221</v>
      </c>
      <c r="B37" t="s">
        <v>2469</v>
      </c>
      <c r="C37">
        <v>69</v>
      </c>
      <c r="D37">
        <v>2</v>
      </c>
      <c r="E37" t="s">
        <v>2476</v>
      </c>
    </row>
    <row r="38" spans="1:5" x14ac:dyDescent="0.3">
      <c r="A38" t="s">
        <v>2220</v>
      </c>
      <c r="B38" t="s">
        <v>2471</v>
      </c>
      <c r="C38">
        <v>7</v>
      </c>
      <c r="D38">
        <v>0</v>
      </c>
      <c r="E38" t="s">
        <v>2470</v>
      </c>
    </row>
    <row r="39" spans="1:5" x14ac:dyDescent="0.3">
      <c r="A39" t="s">
        <v>2219</v>
      </c>
      <c r="B39" t="s">
        <v>2469</v>
      </c>
      <c r="C39">
        <v>351</v>
      </c>
      <c r="D39">
        <v>1</v>
      </c>
      <c r="E39" t="s">
        <v>2475</v>
      </c>
    </row>
    <row r="40" spans="1:5" x14ac:dyDescent="0.3">
      <c r="A40" t="s">
        <v>2218</v>
      </c>
      <c r="B40" t="s">
        <v>2469</v>
      </c>
      <c r="C40">
        <v>745</v>
      </c>
      <c r="D40">
        <v>18</v>
      </c>
      <c r="E40" t="s">
        <v>2474</v>
      </c>
    </row>
    <row r="41" spans="1:5" x14ac:dyDescent="0.3">
      <c r="A41" t="s">
        <v>2217</v>
      </c>
      <c r="B41" t="s">
        <v>2469</v>
      </c>
      <c r="C41">
        <v>83</v>
      </c>
      <c r="D41">
        <v>4</v>
      </c>
      <c r="E41" t="s">
        <v>2474</v>
      </c>
    </row>
    <row r="42" spans="1:5" x14ac:dyDescent="0.3">
      <c r="A42" t="s">
        <v>2216</v>
      </c>
      <c r="B42" t="s">
        <v>2469</v>
      </c>
      <c r="C42">
        <v>537</v>
      </c>
      <c r="D42">
        <v>14</v>
      </c>
      <c r="E42" t="s">
        <v>2472</v>
      </c>
    </row>
    <row r="43" spans="1:5" x14ac:dyDescent="0.3">
      <c r="A43" t="s">
        <v>2215</v>
      </c>
      <c r="B43" t="s">
        <v>2469</v>
      </c>
      <c r="C43">
        <v>118</v>
      </c>
      <c r="D43">
        <v>3</v>
      </c>
      <c r="E43" t="s">
        <v>2468</v>
      </c>
    </row>
    <row r="44" spans="1:5" x14ac:dyDescent="0.3">
      <c r="A44" t="s">
        <v>2214</v>
      </c>
      <c r="B44" t="s">
        <v>2473</v>
      </c>
      <c r="C44">
        <v>16</v>
      </c>
      <c r="D44">
        <v>1</v>
      </c>
      <c r="E44" t="s">
        <v>2472</v>
      </c>
    </row>
    <row r="45" spans="1:5" x14ac:dyDescent="0.3">
      <c r="A45" t="s">
        <v>2213</v>
      </c>
      <c r="B45" t="s">
        <v>2469</v>
      </c>
      <c r="C45">
        <v>271</v>
      </c>
      <c r="D45">
        <v>6</v>
      </c>
      <c r="E45" t="s">
        <v>2476</v>
      </c>
    </row>
    <row r="46" spans="1:5" x14ac:dyDescent="0.3">
      <c r="A46" t="s">
        <v>2212</v>
      </c>
      <c r="B46" t="s">
        <v>2471</v>
      </c>
      <c r="C46">
        <v>79</v>
      </c>
      <c r="D46">
        <v>0</v>
      </c>
      <c r="E46" t="s">
        <v>2470</v>
      </c>
    </row>
    <row r="47" spans="1:5" x14ac:dyDescent="0.3">
      <c r="A47" t="s">
        <v>2211</v>
      </c>
      <c r="B47" t="s">
        <v>2469</v>
      </c>
      <c r="C47">
        <v>638</v>
      </c>
      <c r="D47">
        <v>22</v>
      </c>
      <c r="E47" t="s">
        <v>2476</v>
      </c>
    </row>
    <row r="48" spans="1:5" x14ac:dyDescent="0.3">
      <c r="A48" t="s">
        <v>2210</v>
      </c>
      <c r="B48" t="s">
        <v>2471</v>
      </c>
      <c r="C48">
        <v>4</v>
      </c>
      <c r="D48">
        <v>0</v>
      </c>
      <c r="E48" t="s">
        <v>2470</v>
      </c>
    </row>
    <row r="49" spans="1:5" x14ac:dyDescent="0.3">
      <c r="A49" t="s">
        <v>2209</v>
      </c>
      <c r="B49" t="s">
        <v>2473</v>
      </c>
      <c r="C49">
        <v>8</v>
      </c>
      <c r="D49">
        <v>1</v>
      </c>
      <c r="E49" t="s">
        <v>2468</v>
      </c>
    </row>
    <row r="50" spans="1:5" x14ac:dyDescent="0.3">
      <c r="A50" t="s">
        <v>2208</v>
      </c>
      <c r="B50" t="s">
        <v>2469</v>
      </c>
      <c r="C50">
        <v>601</v>
      </c>
      <c r="D50">
        <v>12</v>
      </c>
      <c r="E50" t="s">
        <v>2476</v>
      </c>
    </row>
    <row r="51" spans="1:5" x14ac:dyDescent="0.3">
      <c r="A51" t="s">
        <v>2207</v>
      </c>
      <c r="B51" t="s">
        <v>2471</v>
      </c>
      <c r="C51">
        <v>59</v>
      </c>
      <c r="D51">
        <v>0</v>
      </c>
      <c r="E51" t="s">
        <v>2470</v>
      </c>
    </row>
    <row r="52" spans="1:5" x14ac:dyDescent="0.3">
      <c r="A52" t="s">
        <v>2206</v>
      </c>
      <c r="B52" t="s">
        <v>2469</v>
      </c>
      <c r="C52">
        <v>1504</v>
      </c>
      <c r="D52">
        <v>79</v>
      </c>
      <c r="E52" t="s">
        <v>2476</v>
      </c>
    </row>
    <row r="53" spans="1:5" x14ac:dyDescent="0.3">
      <c r="A53" t="s">
        <v>2205</v>
      </c>
      <c r="B53" t="s">
        <v>2469</v>
      </c>
      <c r="C53">
        <v>224</v>
      </c>
      <c r="D53">
        <v>9</v>
      </c>
      <c r="E53" t="s">
        <v>2474</v>
      </c>
    </row>
    <row r="54" spans="1:5" x14ac:dyDescent="0.3">
      <c r="A54" t="s">
        <v>2204</v>
      </c>
      <c r="B54" t="s">
        <v>2469</v>
      </c>
      <c r="C54">
        <v>754</v>
      </c>
      <c r="D54">
        <v>10</v>
      </c>
      <c r="E54" t="s">
        <v>2468</v>
      </c>
    </row>
    <row r="55" spans="1:5" x14ac:dyDescent="0.3">
      <c r="A55" t="s">
        <v>2203</v>
      </c>
      <c r="B55" t="s">
        <v>2469</v>
      </c>
      <c r="C55">
        <v>518</v>
      </c>
      <c r="D55">
        <v>12</v>
      </c>
      <c r="E55" t="s">
        <v>2474</v>
      </c>
    </row>
    <row r="56" spans="1:5" x14ac:dyDescent="0.3">
      <c r="A56" t="s">
        <v>2202</v>
      </c>
      <c r="B56" t="s">
        <v>2469</v>
      </c>
      <c r="C56">
        <v>115</v>
      </c>
      <c r="D56">
        <v>1</v>
      </c>
      <c r="E56" t="s">
        <v>2474</v>
      </c>
    </row>
    <row r="57" spans="1:5" x14ac:dyDescent="0.3">
      <c r="A57" t="s">
        <v>2201</v>
      </c>
      <c r="B57" t="s">
        <v>2473</v>
      </c>
      <c r="C57">
        <v>339</v>
      </c>
      <c r="D57">
        <v>22</v>
      </c>
      <c r="E57" t="s">
        <v>2476</v>
      </c>
    </row>
    <row r="58" spans="1:5" x14ac:dyDescent="0.3">
      <c r="A58" t="s">
        <v>2200</v>
      </c>
      <c r="B58" t="s">
        <v>2473</v>
      </c>
      <c r="C58">
        <v>134</v>
      </c>
      <c r="D58">
        <v>9</v>
      </c>
      <c r="E58" t="s">
        <v>2468</v>
      </c>
    </row>
    <row r="59" spans="1:5" x14ac:dyDescent="0.3">
      <c r="A59" t="s">
        <v>2199</v>
      </c>
      <c r="B59" t="s">
        <v>2469</v>
      </c>
      <c r="C59">
        <v>160</v>
      </c>
      <c r="D59">
        <v>8</v>
      </c>
      <c r="E59" t="s">
        <v>2472</v>
      </c>
    </row>
    <row r="60" spans="1:5" x14ac:dyDescent="0.3">
      <c r="A60" t="s">
        <v>2198</v>
      </c>
      <c r="B60" t="s">
        <v>2469</v>
      </c>
      <c r="C60">
        <v>193</v>
      </c>
      <c r="D60">
        <v>2</v>
      </c>
      <c r="E60" t="s">
        <v>2472</v>
      </c>
    </row>
    <row r="61" spans="1:5" x14ac:dyDescent="0.3">
      <c r="A61" t="s">
        <v>2197</v>
      </c>
      <c r="B61" t="s">
        <v>2473</v>
      </c>
      <c r="C61">
        <v>14</v>
      </c>
      <c r="D61">
        <v>2</v>
      </c>
      <c r="E61" t="s">
        <v>2475</v>
      </c>
    </row>
    <row r="62" spans="1:5" x14ac:dyDescent="0.3">
      <c r="A62" t="s">
        <v>2196</v>
      </c>
      <c r="B62" t="s">
        <v>2469</v>
      </c>
      <c r="C62">
        <v>677</v>
      </c>
      <c r="D62">
        <v>13</v>
      </c>
      <c r="E62" t="s">
        <v>2475</v>
      </c>
    </row>
    <row r="63" spans="1:5" x14ac:dyDescent="0.3">
      <c r="A63" t="s">
        <v>2195</v>
      </c>
      <c r="B63" t="s">
        <v>2471</v>
      </c>
      <c r="C63">
        <v>6</v>
      </c>
      <c r="D63">
        <v>0</v>
      </c>
      <c r="E63" t="s">
        <v>2470</v>
      </c>
    </row>
    <row r="64" spans="1:5" x14ac:dyDescent="0.3">
      <c r="A64" t="s">
        <v>2194</v>
      </c>
      <c r="B64" t="s">
        <v>2473</v>
      </c>
      <c r="C64">
        <v>10</v>
      </c>
      <c r="D64">
        <v>1</v>
      </c>
      <c r="E64" t="s">
        <v>2468</v>
      </c>
    </row>
    <row r="65" spans="1:5" x14ac:dyDescent="0.3">
      <c r="A65" t="s">
        <v>2193</v>
      </c>
      <c r="B65" t="s">
        <v>2469</v>
      </c>
      <c r="C65">
        <v>548</v>
      </c>
      <c r="D65">
        <v>7</v>
      </c>
      <c r="E65" t="s">
        <v>2472</v>
      </c>
    </row>
    <row r="66" spans="1:5" x14ac:dyDescent="0.3">
      <c r="A66" t="s">
        <v>2192</v>
      </c>
      <c r="B66" t="s">
        <v>2469</v>
      </c>
      <c r="C66">
        <v>32</v>
      </c>
      <c r="D66">
        <v>1</v>
      </c>
      <c r="E66" t="s">
        <v>2472</v>
      </c>
    </row>
    <row r="67" spans="1:5" x14ac:dyDescent="0.3">
      <c r="A67" t="s">
        <v>2191</v>
      </c>
      <c r="B67" t="s">
        <v>2469</v>
      </c>
      <c r="C67">
        <v>222</v>
      </c>
      <c r="D67">
        <v>7</v>
      </c>
      <c r="E67" t="s">
        <v>2475</v>
      </c>
    </row>
    <row r="68" spans="1:5" x14ac:dyDescent="0.3">
      <c r="A68" t="s">
        <v>2190</v>
      </c>
      <c r="B68" t="s">
        <v>2469</v>
      </c>
      <c r="C68">
        <v>134</v>
      </c>
      <c r="D68">
        <v>1</v>
      </c>
      <c r="E68" t="s">
        <v>2476</v>
      </c>
    </row>
    <row r="69" spans="1:5" x14ac:dyDescent="0.3">
      <c r="A69" t="s">
        <v>2189</v>
      </c>
      <c r="B69" t="s">
        <v>2469</v>
      </c>
      <c r="C69">
        <v>375</v>
      </c>
      <c r="D69">
        <v>12</v>
      </c>
      <c r="E69" t="s">
        <v>2474</v>
      </c>
    </row>
    <row r="70" spans="1:5" x14ac:dyDescent="0.3">
      <c r="A70" t="s">
        <v>2188</v>
      </c>
      <c r="B70" t="s">
        <v>2469</v>
      </c>
      <c r="C70">
        <v>139</v>
      </c>
      <c r="D70">
        <v>1</v>
      </c>
      <c r="E70" t="s">
        <v>2468</v>
      </c>
    </row>
    <row r="71" spans="1:5" x14ac:dyDescent="0.3">
      <c r="A71" t="s">
        <v>2187</v>
      </c>
      <c r="B71" t="s">
        <v>2469</v>
      </c>
      <c r="C71">
        <v>711</v>
      </c>
      <c r="D71">
        <v>12</v>
      </c>
      <c r="E71" t="s">
        <v>2475</v>
      </c>
    </row>
    <row r="72" spans="1:5" x14ac:dyDescent="0.3">
      <c r="A72" t="s">
        <v>2186</v>
      </c>
      <c r="B72" t="s">
        <v>2469</v>
      </c>
      <c r="C72">
        <v>165</v>
      </c>
      <c r="D72">
        <v>5</v>
      </c>
      <c r="E72" t="s">
        <v>2476</v>
      </c>
    </row>
    <row r="73" spans="1:5" x14ac:dyDescent="0.3">
      <c r="A73" t="s">
        <v>2185</v>
      </c>
      <c r="B73" t="s">
        <v>2469</v>
      </c>
      <c r="C73">
        <v>130</v>
      </c>
      <c r="D73">
        <v>4</v>
      </c>
      <c r="E73" t="s">
        <v>2468</v>
      </c>
    </row>
    <row r="74" spans="1:5" x14ac:dyDescent="0.3">
      <c r="A74" t="s">
        <v>2184</v>
      </c>
      <c r="B74" t="s">
        <v>2471</v>
      </c>
      <c r="C74">
        <v>2</v>
      </c>
      <c r="D74">
        <v>0</v>
      </c>
      <c r="E74" t="s">
        <v>2470</v>
      </c>
    </row>
    <row r="75" spans="1:5" x14ac:dyDescent="0.3">
      <c r="A75" t="s">
        <v>2183</v>
      </c>
      <c r="B75" t="s">
        <v>2471</v>
      </c>
      <c r="C75">
        <v>6</v>
      </c>
      <c r="D75">
        <v>0</v>
      </c>
      <c r="E75" t="s">
        <v>2470</v>
      </c>
    </row>
    <row r="76" spans="1:5" x14ac:dyDescent="0.3">
      <c r="A76" t="s">
        <v>2182</v>
      </c>
      <c r="B76" t="s">
        <v>2471</v>
      </c>
      <c r="C76">
        <v>72</v>
      </c>
      <c r="D76">
        <v>0</v>
      </c>
      <c r="E76" t="s">
        <v>2470</v>
      </c>
    </row>
    <row r="77" spans="1:5" x14ac:dyDescent="0.3">
      <c r="A77" t="s">
        <v>2181</v>
      </c>
      <c r="B77" t="s">
        <v>2473</v>
      </c>
      <c r="C77">
        <v>179</v>
      </c>
      <c r="D77">
        <v>10</v>
      </c>
      <c r="E77" t="s">
        <v>2472</v>
      </c>
    </row>
    <row r="78" spans="1:5" x14ac:dyDescent="0.3">
      <c r="A78" t="s">
        <v>2180</v>
      </c>
      <c r="B78" t="s">
        <v>2473</v>
      </c>
      <c r="C78">
        <v>47</v>
      </c>
      <c r="D78">
        <v>5</v>
      </c>
      <c r="E78" t="s">
        <v>2475</v>
      </c>
    </row>
    <row r="79" spans="1:5" x14ac:dyDescent="0.3">
      <c r="A79" t="s">
        <v>2179</v>
      </c>
      <c r="B79" t="s">
        <v>2473</v>
      </c>
      <c r="C79">
        <v>15</v>
      </c>
      <c r="D79">
        <v>1</v>
      </c>
      <c r="E79" t="s">
        <v>2475</v>
      </c>
    </row>
    <row r="80" spans="1:5" x14ac:dyDescent="0.3">
      <c r="A80" t="s">
        <v>2178</v>
      </c>
      <c r="B80" t="s">
        <v>2469</v>
      </c>
      <c r="C80">
        <v>177</v>
      </c>
      <c r="D80">
        <v>3</v>
      </c>
      <c r="E80" t="s">
        <v>2475</v>
      </c>
    </row>
    <row r="81" spans="1:5" x14ac:dyDescent="0.3">
      <c r="A81" t="s">
        <v>2177</v>
      </c>
      <c r="B81" t="s">
        <v>2469</v>
      </c>
      <c r="C81">
        <v>438</v>
      </c>
      <c r="D81">
        <v>2</v>
      </c>
      <c r="E81" t="s">
        <v>2472</v>
      </c>
    </row>
    <row r="82" spans="1:5" x14ac:dyDescent="0.3">
      <c r="A82" t="s">
        <v>2176</v>
      </c>
      <c r="B82" t="s">
        <v>2471</v>
      </c>
      <c r="C82">
        <v>4</v>
      </c>
      <c r="D82">
        <v>0</v>
      </c>
      <c r="E82" t="s">
        <v>2470</v>
      </c>
    </row>
    <row r="83" spans="1:5" x14ac:dyDescent="0.3">
      <c r="A83" t="s">
        <v>2175</v>
      </c>
      <c r="B83" t="s">
        <v>2473</v>
      </c>
      <c r="C83">
        <v>189</v>
      </c>
      <c r="D83">
        <v>19</v>
      </c>
      <c r="E83" t="s">
        <v>2472</v>
      </c>
    </row>
    <row r="84" spans="1:5" x14ac:dyDescent="0.3">
      <c r="A84" t="s">
        <v>2174</v>
      </c>
      <c r="B84" t="s">
        <v>2469</v>
      </c>
      <c r="C84">
        <v>131</v>
      </c>
      <c r="D84">
        <v>1</v>
      </c>
      <c r="E84" t="s">
        <v>2474</v>
      </c>
    </row>
    <row r="85" spans="1:5" x14ac:dyDescent="0.3">
      <c r="A85" t="s">
        <v>2173</v>
      </c>
      <c r="B85" t="s">
        <v>2471</v>
      </c>
      <c r="C85">
        <v>3</v>
      </c>
      <c r="D85">
        <v>0</v>
      </c>
      <c r="E85" t="s">
        <v>2470</v>
      </c>
    </row>
    <row r="86" spans="1:5" x14ac:dyDescent="0.3">
      <c r="A86" t="s">
        <v>2172</v>
      </c>
      <c r="B86" t="s">
        <v>2471</v>
      </c>
      <c r="C86">
        <v>2</v>
      </c>
      <c r="D86">
        <v>0</v>
      </c>
      <c r="E86" t="s">
        <v>2470</v>
      </c>
    </row>
    <row r="87" spans="1:5" x14ac:dyDescent="0.3">
      <c r="A87" t="s">
        <v>2171</v>
      </c>
      <c r="B87" t="s">
        <v>2469</v>
      </c>
      <c r="C87">
        <v>106</v>
      </c>
      <c r="D87">
        <v>1</v>
      </c>
      <c r="E87" t="s">
        <v>2475</v>
      </c>
    </row>
    <row r="88" spans="1:5" x14ac:dyDescent="0.3">
      <c r="A88" t="s">
        <v>2170</v>
      </c>
      <c r="B88" t="s">
        <v>2469</v>
      </c>
      <c r="C88">
        <v>55</v>
      </c>
      <c r="D88">
        <v>1</v>
      </c>
      <c r="E88" t="s">
        <v>2474</v>
      </c>
    </row>
    <row r="89" spans="1:5" x14ac:dyDescent="0.3">
      <c r="A89" t="s">
        <v>2169</v>
      </c>
      <c r="B89" t="s">
        <v>2469</v>
      </c>
      <c r="C89">
        <v>157</v>
      </c>
      <c r="D89">
        <v>2</v>
      </c>
      <c r="E89" t="s">
        <v>2476</v>
      </c>
    </row>
    <row r="90" spans="1:5" x14ac:dyDescent="0.3">
      <c r="A90" t="s">
        <v>2168</v>
      </c>
      <c r="B90" t="s">
        <v>2471</v>
      </c>
      <c r="C90">
        <v>7</v>
      </c>
      <c r="D90">
        <v>0</v>
      </c>
      <c r="E90" t="s">
        <v>2470</v>
      </c>
    </row>
    <row r="91" spans="1:5" x14ac:dyDescent="0.3">
      <c r="A91" t="s">
        <v>2167</v>
      </c>
      <c r="B91" t="s">
        <v>2469</v>
      </c>
      <c r="C91">
        <v>116</v>
      </c>
      <c r="D91">
        <v>2</v>
      </c>
      <c r="E91" t="s">
        <v>2475</v>
      </c>
    </row>
    <row r="92" spans="1:5" x14ac:dyDescent="0.3">
      <c r="A92" t="s">
        <v>2166</v>
      </c>
      <c r="B92" t="s">
        <v>2471</v>
      </c>
      <c r="C92">
        <v>5</v>
      </c>
      <c r="D92">
        <v>0</v>
      </c>
      <c r="E92" t="s">
        <v>2470</v>
      </c>
    </row>
    <row r="93" spans="1:5" x14ac:dyDescent="0.3">
      <c r="A93" t="s">
        <v>2165</v>
      </c>
      <c r="B93" t="s">
        <v>2469</v>
      </c>
      <c r="C93">
        <v>176</v>
      </c>
      <c r="D93">
        <v>2</v>
      </c>
      <c r="E93" t="s">
        <v>2472</v>
      </c>
    </row>
    <row r="94" spans="1:5" x14ac:dyDescent="0.3">
      <c r="A94" t="s">
        <v>2164</v>
      </c>
      <c r="B94" t="s">
        <v>2471</v>
      </c>
      <c r="C94">
        <v>11</v>
      </c>
      <c r="D94">
        <v>0</v>
      </c>
      <c r="E94" t="s">
        <v>2470</v>
      </c>
    </row>
    <row r="95" spans="1:5" x14ac:dyDescent="0.3">
      <c r="A95" t="s">
        <v>2163</v>
      </c>
      <c r="B95" t="s">
        <v>2469</v>
      </c>
      <c r="C95">
        <v>739</v>
      </c>
      <c r="D95">
        <v>5</v>
      </c>
      <c r="E95" t="s">
        <v>2474</v>
      </c>
    </row>
    <row r="96" spans="1:5" x14ac:dyDescent="0.3">
      <c r="A96" t="s">
        <v>2162</v>
      </c>
      <c r="B96" t="s">
        <v>2469</v>
      </c>
      <c r="C96">
        <v>405</v>
      </c>
      <c r="D96">
        <v>18</v>
      </c>
      <c r="E96" t="s">
        <v>2474</v>
      </c>
    </row>
    <row r="97" spans="1:5" x14ac:dyDescent="0.3">
      <c r="A97" t="s">
        <v>2161</v>
      </c>
      <c r="B97" t="s">
        <v>2471</v>
      </c>
      <c r="C97">
        <v>43</v>
      </c>
      <c r="D97">
        <v>0</v>
      </c>
      <c r="E97" t="s">
        <v>2470</v>
      </c>
    </row>
    <row r="98" spans="1:5" x14ac:dyDescent="0.3">
      <c r="A98" t="s">
        <v>2160</v>
      </c>
      <c r="B98" t="s">
        <v>2469</v>
      </c>
      <c r="C98">
        <v>536</v>
      </c>
      <c r="D98">
        <v>7</v>
      </c>
      <c r="E98" t="s">
        <v>2475</v>
      </c>
    </row>
    <row r="99" spans="1:5" x14ac:dyDescent="0.3">
      <c r="A99" t="s">
        <v>2159</v>
      </c>
      <c r="B99" t="s">
        <v>2469</v>
      </c>
      <c r="C99">
        <v>44</v>
      </c>
      <c r="D99">
        <v>2</v>
      </c>
      <c r="E99" t="s">
        <v>2472</v>
      </c>
    </row>
    <row r="100" spans="1:5" x14ac:dyDescent="0.3">
      <c r="A100" t="s">
        <v>2158</v>
      </c>
      <c r="B100" t="s">
        <v>2469</v>
      </c>
      <c r="C100">
        <v>139</v>
      </c>
      <c r="D100">
        <v>3</v>
      </c>
      <c r="E100" t="s">
        <v>2474</v>
      </c>
    </row>
    <row r="101" spans="1:5" x14ac:dyDescent="0.3">
      <c r="A101" t="s">
        <v>2157</v>
      </c>
      <c r="B101" t="s">
        <v>2469</v>
      </c>
      <c r="C101">
        <v>316</v>
      </c>
      <c r="D101">
        <v>2</v>
      </c>
      <c r="E101" t="s">
        <v>2472</v>
      </c>
    </row>
    <row r="102" spans="1:5" x14ac:dyDescent="0.3">
      <c r="A102" t="s">
        <v>2156</v>
      </c>
      <c r="B102" t="s">
        <v>2469</v>
      </c>
      <c r="C102">
        <v>166</v>
      </c>
      <c r="D102">
        <v>2</v>
      </c>
      <c r="E102" t="s">
        <v>2468</v>
      </c>
    </row>
    <row r="103" spans="1:5" x14ac:dyDescent="0.3">
      <c r="A103" t="s">
        <v>2155</v>
      </c>
      <c r="B103" t="s">
        <v>2469</v>
      </c>
      <c r="C103">
        <v>738</v>
      </c>
      <c r="D103">
        <v>29</v>
      </c>
      <c r="E103" t="s">
        <v>2474</v>
      </c>
    </row>
    <row r="104" spans="1:5" x14ac:dyDescent="0.3">
      <c r="A104" t="s">
        <v>2154</v>
      </c>
      <c r="B104" t="s">
        <v>2469</v>
      </c>
      <c r="C104">
        <v>167</v>
      </c>
      <c r="D104">
        <v>1</v>
      </c>
      <c r="E104" t="s">
        <v>2472</v>
      </c>
    </row>
    <row r="105" spans="1:5" x14ac:dyDescent="0.3">
      <c r="A105" t="s">
        <v>2153</v>
      </c>
      <c r="B105" t="s">
        <v>2471</v>
      </c>
      <c r="C105">
        <v>7</v>
      </c>
      <c r="D105">
        <v>0</v>
      </c>
      <c r="E105" t="s">
        <v>2470</v>
      </c>
    </row>
    <row r="106" spans="1:5" x14ac:dyDescent="0.3">
      <c r="A106" t="s">
        <v>2152</v>
      </c>
      <c r="B106" t="s">
        <v>2473</v>
      </c>
      <c r="C106">
        <v>9</v>
      </c>
      <c r="D106">
        <v>1</v>
      </c>
      <c r="E106" t="s">
        <v>2468</v>
      </c>
    </row>
    <row r="107" spans="1:5" x14ac:dyDescent="0.3">
      <c r="A107" t="s">
        <v>2151</v>
      </c>
      <c r="B107" t="s">
        <v>2471</v>
      </c>
      <c r="C107">
        <v>23</v>
      </c>
      <c r="D107">
        <v>0</v>
      </c>
      <c r="E107" t="s">
        <v>2470</v>
      </c>
    </row>
    <row r="108" spans="1:5" x14ac:dyDescent="0.3">
      <c r="A108" t="s">
        <v>2150</v>
      </c>
      <c r="B108" t="s">
        <v>2471</v>
      </c>
      <c r="C108">
        <v>14</v>
      </c>
      <c r="D108">
        <v>0</v>
      </c>
      <c r="E108" t="s">
        <v>2470</v>
      </c>
    </row>
    <row r="109" spans="1:5" x14ac:dyDescent="0.3">
      <c r="A109" t="s">
        <v>2149</v>
      </c>
      <c r="B109" t="s">
        <v>2469</v>
      </c>
      <c r="C109">
        <v>61</v>
      </c>
      <c r="D109">
        <v>1</v>
      </c>
      <c r="E109" t="s">
        <v>2474</v>
      </c>
    </row>
    <row r="110" spans="1:5" x14ac:dyDescent="0.3">
      <c r="A110" t="s">
        <v>2148</v>
      </c>
      <c r="B110" t="s">
        <v>2469</v>
      </c>
      <c r="C110">
        <v>644</v>
      </c>
      <c r="D110">
        <v>16</v>
      </c>
      <c r="E110" t="s">
        <v>2475</v>
      </c>
    </row>
    <row r="111" spans="1:5" x14ac:dyDescent="0.3">
      <c r="A111" t="s">
        <v>2147</v>
      </c>
      <c r="B111" t="s">
        <v>2469</v>
      </c>
      <c r="C111">
        <v>53</v>
      </c>
      <c r="D111">
        <v>1</v>
      </c>
      <c r="E111" t="s">
        <v>2468</v>
      </c>
    </row>
    <row r="112" spans="1:5" x14ac:dyDescent="0.3">
      <c r="A112" t="s">
        <v>2146</v>
      </c>
      <c r="B112" t="s">
        <v>2471</v>
      </c>
      <c r="C112">
        <v>14</v>
      </c>
      <c r="D112">
        <v>0</v>
      </c>
      <c r="E112" t="s">
        <v>2470</v>
      </c>
    </row>
    <row r="113" spans="1:5" x14ac:dyDescent="0.3">
      <c r="A113" t="s">
        <v>2145</v>
      </c>
      <c r="B113" t="s">
        <v>2471</v>
      </c>
      <c r="C113">
        <v>8</v>
      </c>
      <c r="D113">
        <v>0</v>
      </c>
      <c r="E113" t="s">
        <v>2470</v>
      </c>
    </row>
    <row r="114" spans="1:5" x14ac:dyDescent="0.3">
      <c r="A114" t="s">
        <v>2144</v>
      </c>
      <c r="B114" t="s">
        <v>2473</v>
      </c>
      <c r="C114">
        <v>18</v>
      </c>
      <c r="D114">
        <v>1</v>
      </c>
      <c r="E114" t="s">
        <v>2476</v>
      </c>
    </row>
    <row r="115" spans="1:5" x14ac:dyDescent="0.3">
      <c r="A115" t="s">
        <v>2143</v>
      </c>
      <c r="B115" t="s">
        <v>2471</v>
      </c>
      <c r="C115">
        <v>5</v>
      </c>
      <c r="D115">
        <v>0</v>
      </c>
      <c r="E115" t="s">
        <v>2470</v>
      </c>
    </row>
    <row r="116" spans="1:5" x14ac:dyDescent="0.3">
      <c r="A116" t="s">
        <v>2142</v>
      </c>
      <c r="B116" t="s">
        <v>2469</v>
      </c>
      <c r="C116">
        <v>79</v>
      </c>
      <c r="D116">
        <v>1</v>
      </c>
      <c r="E116" t="s">
        <v>2468</v>
      </c>
    </row>
    <row r="117" spans="1:5" x14ac:dyDescent="0.3">
      <c r="A117" t="s">
        <v>2141</v>
      </c>
      <c r="B117" t="s">
        <v>2473</v>
      </c>
      <c r="C117">
        <v>169</v>
      </c>
      <c r="D117">
        <v>20</v>
      </c>
      <c r="E117" t="s">
        <v>2475</v>
      </c>
    </row>
    <row r="118" spans="1:5" x14ac:dyDescent="0.3">
      <c r="A118" t="s">
        <v>2140</v>
      </c>
      <c r="B118" t="s">
        <v>2473</v>
      </c>
      <c r="C118">
        <v>178</v>
      </c>
      <c r="D118">
        <v>18</v>
      </c>
      <c r="E118" t="s">
        <v>2468</v>
      </c>
    </row>
    <row r="119" spans="1:5" x14ac:dyDescent="0.3">
      <c r="A119" t="s">
        <v>2139</v>
      </c>
      <c r="B119" t="s">
        <v>2469</v>
      </c>
      <c r="C119">
        <v>130</v>
      </c>
      <c r="D119">
        <v>1</v>
      </c>
      <c r="E119" t="s">
        <v>2468</v>
      </c>
    </row>
    <row r="120" spans="1:5" x14ac:dyDescent="0.3">
      <c r="A120" t="s">
        <v>2138</v>
      </c>
      <c r="B120" t="s">
        <v>2471</v>
      </c>
      <c r="C120">
        <v>6</v>
      </c>
      <c r="D120">
        <v>0</v>
      </c>
      <c r="E120" t="s">
        <v>2470</v>
      </c>
    </row>
    <row r="121" spans="1:5" x14ac:dyDescent="0.3">
      <c r="A121" t="s">
        <v>2137</v>
      </c>
      <c r="B121" t="s">
        <v>2469</v>
      </c>
      <c r="C121">
        <v>176</v>
      </c>
      <c r="D121">
        <v>4</v>
      </c>
      <c r="E121" t="s">
        <v>2468</v>
      </c>
    </row>
    <row r="122" spans="1:5" x14ac:dyDescent="0.3">
      <c r="A122" t="s">
        <v>2136</v>
      </c>
      <c r="B122" t="s">
        <v>2473</v>
      </c>
      <c r="C122">
        <v>4</v>
      </c>
      <c r="D122">
        <v>1</v>
      </c>
      <c r="E122" t="s">
        <v>2476</v>
      </c>
    </row>
    <row r="123" spans="1:5" x14ac:dyDescent="0.3">
      <c r="A123" t="s">
        <v>2135</v>
      </c>
      <c r="B123" t="s">
        <v>2473</v>
      </c>
      <c r="C123">
        <v>144</v>
      </c>
      <c r="D123">
        <v>8</v>
      </c>
      <c r="E123" t="s">
        <v>2476</v>
      </c>
    </row>
    <row r="124" spans="1:5" x14ac:dyDescent="0.3">
      <c r="A124" t="s">
        <v>2134</v>
      </c>
      <c r="B124" t="s">
        <v>2473</v>
      </c>
      <c r="C124">
        <v>135</v>
      </c>
      <c r="D124">
        <v>18</v>
      </c>
      <c r="E124" t="s">
        <v>2476</v>
      </c>
    </row>
    <row r="125" spans="1:5" x14ac:dyDescent="0.3">
      <c r="A125" t="s">
        <v>2133</v>
      </c>
      <c r="B125" t="s">
        <v>2469</v>
      </c>
      <c r="C125">
        <v>393</v>
      </c>
      <c r="D125">
        <v>4</v>
      </c>
      <c r="E125" t="s">
        <v>2475</v>
      </c>
    </row>
    <row r="126" spans="1:5" x14ac:dyDescent="0.3">
      <c r="A126" t="s">
        <v>2132</v>
      </c>
      <c r="B126" t="s">
        <v>2469</v>
      </c>
      <c r="C126">
        <v>196</v>
      </c>
      <c r="D126">
        <v>3</v>
      </c>
      <c r="E126" t="s">
        <v>2472</v>
      </c>
    </row>
    <row r="127" spans="1:5" x14ac:dyDescent="0.3">
      <c r="A127" t="s">
        <v>2131</v>
      </c>
      <c r="B127" t="s">
        <v>2473</v>
      </c>
      <c r="C127">
        <v>96</v>
      </c>
      <c r="D127">
        <v>8</v>
      </c>
      <c r="E127" t="s">
        <v>2476</v>
      </c>
    </row>
    <row r="128" spans="1:5" x14ac:dyDescent="0.3">
      <c r="A128" t="s">
        <v>2130</v>
      </c>
      <c r="B128" t="s">
        <v>2469</v>
      </c>
      <c r="C128">
        <v>166</v>
      </c>
      <c r="D128">
        <v>2</v>
      </c>
      <c r="E128" t="s">
        <v>2472</v>
      </c>
    </row>
    <row r="129" spans="1:5" x14ac:dyDescent="0.3">
      <c r="A129" t="s">
        <v>2129</v>
      </c>
      <c r="B129" t="s">
        <v>2469</v>
      </c>
      <c r="C129">
        <v>64</v>
      </c>
      <c r="D129">
        <v>1</v>
      </c>
      <c r="E129" t="s">
        <v>2474</v>
      </c>
    </row>
    <row r="130" spans="1:5" x14ac:dyDescent="0.3">
      <c r="A130" t="s">
        <v>2128</v>
      </c>
      <c r="B130" t="s">
        <v>2469</v>
      </c>
      <c r="C130">
        <v>574</v>
      </c>
      <c r="D130">
        <v>15</v>
      </c>
      <c r="E130" t="s">
        <v>2474</v>
      </c>
    </row>
    <row r="131" spans="1:5" x14ac:dyDescent="0.3">
      <c r="A131" t="s">
        <v>2127</v>
      </c>
      <c r="B131" t="s">
        <v>2469</v>
      </c>
      <c r="C131">
        <v>86</v>
      </c>
      <c r="D131">
        <v>1</v>
      </c>
      <c r="E131" t="s">
        <v>2468</v>
      </c>
    </row>
    <row r="132" spans="1:5" x14ac:dyDescent="0.3">
      <c r="A132" t="s">
        <v>2126</v>
      </c>
      <c r="B132" t="s">
        <v>2471</v>
      </c>
      <c r="C132">
        <v>25</v>
      </c>
      <c r="D132">
        <v>0</v>
      </c>
      <c r="E132" t="s">
        <v>2470</v>
      </c>
    </row>
    <row r="133" spans="1:5" x14ac:dyDescent="0.3">
      <c r="A133" t="s">
        <v>2125</v>
      </c>
      <c r="B133" t="s">
        <v>2469</v>
      </c>
      <c r="C133">
        <v>788</v>
      </c>
      <c r="D133">
        <v>37</v>
      </c>
      <c r="E133" t="s">
        <v>2474</v>
      </c>
    </row>
    <row r="134" spans="1:5" x14ac:dyDescent="0.3">
      <c r="A134" t="s">
        <v>2124</v>
      </c>
      <c r="B134" t="s">
        <v>2471</v>
      </c>
      <c r="C134">
        <v>90</v>
      </c>
      <c r="D134">
        <v>0</v>
      </c>
      <c r="E134" t="s">
        <v>2470</v>
      </c>
    </row>
    <row r="135" spans="1:5" x14ac:dyDescent="0.3">
      <c r="A135" t="s">
        <v>2123</v>
      </c>
      <c r="B135" t="s">
        <v>2469</v>
      </c>
      <c r="C135">
        <v>91</v>
      </c>
      <c r="D135">
        <v>2</v>
      </c>
      <c r="E135" t="s">
        <v>2468</v>
      </c>
    </row>
    <row r="136" spans="1:5" x14ac:dyDescent="0.3">
      <c r="A136" t="s">
        <v>2122</v>
      </c>
      <c r="B136" t="s">
        <v>2469</v>
      </c>
      <c r="C136">
        <v>981</v>
      </c>
      <c r="D136">
        <v>11</v>
      </c>
      <c r="E136" t="s">
        <v>2474</v>
      </c>
    </row>
    <row r="137" spans="1:5" x14ac:dyDescent="0.3">
      <c r="A137" t="s">
        <v>2121</v>
      </c>
      <c r="B137" t="s">
        <v>2469</v>
      </c>
      <c r="C137">
        <v>384</v>
      </c>
      <c r="D137">
        <v>7</v>
      </c>
      <c r="E137" t="s">
        <v>2475</v>
      </c>
    </row>
    <row r="138" spans="1:5" x14ac:dyDescent="0.3">
      <c r="A138" t="s">
        <v>2120</v>
      </c>
      <c r="B138" t="s">
        <v>2469</v>
      </c>
      <c r="C138">
        <v>403</v>
      </c>
      <c r="D138">
        <v>4</v>
      </c>
      <c r="E138" t="s">
        <v>2474</v>
      </c>
    </row>
    <row r="139" spans="1:5" x14ac:dyDescent="0.3">
      <c r="A139" t="s">
        <v>2119</v>
      </c>
      <c r="B139" t="s">
        <v>2469</v>
      </c>
      <c r="C139">
        <v>713</v>
      </c>
      <c r="D139">
        <v>8</v>
      </c>
      <c r="E139" t="s">
        <v>2472</v>
      </c>
    </row>
    <row r="140" spans="1:5" x14ac:dyDescent="0.3">
      <c r="A140" t="s">
        <v>2118</v>
      </c>
      <c r="B140" t="s">
        <v>2473</v>
      </c>
      <c r="C140">
        <v>15</v>
      </c>
      <c r="D140">
        <v>1</v>
      </c>
      <c r="E140" t="s">
        <v>2468</v>
      </c>
    </row>
    <row r="141" spans="1:5" x14ac:dyDescent="0.3">
      <c r="A141" t="s">
        <v>2117</v>
      </c>
      <c r="B141" t="s">
        <v>2469</v>
      </c>
      <c r="C141">
        <v>122</v>
      </c>
      <c r="D141">
        <v>1</v>
      </c>
      <c r="E141" t="s">
        <v>2474</v>
      </c>
    </row>
    <row r="142" spans="1:5" x14ac:dyDescent="0.3">
      <c r="A142" t="s">
        <v>2116</v>
      </c>
      <c r="B142" t="s">
        <v>2469</v>
      </c>
      <c r="C142">
        <v>338</v>
      </c>
      <c r="D142">
        <v>3</v>
      </c>
      <c r="E142" t="s">
        <v>2475</v>
      </c>
    </row>
    <row r="143" spans="1:5" x14ac:dyDescent="0.3">
      <c r="A143" t="s">
        <v>2115</v>
      </c>
      <c r="B143" t="s">
        <v>2469</v>
      </c>
      <c r="C143">
        <v>64</v>
      </c>
      <c r="D143">
        <v>2</v>
      </c>
      <c r="E143" t="s">
        <v>2468</v>
      </c>
    </row>
    <row r="144" spans="1:5" x14ac:dyDescent="0.3">
      <c r="A144" t="s">
        <v>2114</v>
      </c>
      <c r="B144" t="s">
        <v>2471</v>
      </c>
      <c r="C144">
        <v>9</v>
      </c>
      <c r="D144">
        <v>0</v>
      </c>
      <c r="E144" t="s">
        <v>2470</v>
      </c>
    </row>
    <row r="145" spans="1:5" x14ac:dyDescent="0.3">
      <c r="A145" t="s">
        <v>2113</v>
      </c>
      <c r="B145" t="s">
        <v>2469</v>
      </c>
      <c r="C145">
        <v>698</v>
      </c>
      <c r="D145">
        <v>17</v>
      </c>
      <c r="E145" t="s">
        <v>2475</v>
      </c>
    </row>
    <row r="146" spans="1:5" x14ac:dyDescent="0.3">
      <c r="A146" t="s">
        <v>2112</v>
      </c>
      <c r="B146" t="s">
        <v>2469</v>
      </c>
      <c r="C146">
        <v>44</v>
      </c>
      <c r="D146">
        <v>1</v>
      </c>
      <c r="E146" t="s">
        <v>2474</v>
      </c>
    </row>
    <row r="147" spans="1:5" x14ac:dyDescent="0.3">
      <c r="A147" t="s">
        <v>2111</v>
      </c>
      <c r="B147" t="s">
        <v>2469</v>
      </c>
      <c r="C147">
        <v>47</v>
      </c>
      <c r="D147">
        <v>1</v>
      </c>
      <c r="E147" t="s">
        <v>2476</v>
      </c>
    </row>
    <row r="148" spans="1:5" x14ac:dyDescent="0.3">
      <c r="A148" t="s">
        <v>2110</v>
      </c>
      <c r="B148" t="s">
        <v>2469</v>
      </c>
      <c r="C148">
        <v>114</v>
      </c>
      <c r="D148">
        <v>3</v>
      </c>
      <c r="E148" t="s">
        <v>2475</v>
      </c>
    </row>
    <row r="149" spans="1:5" x14ac:dyDescent="0.3">
      <c r="A149" t="s">
        <v>2109</v>
      </c>
      <c r="B149" t="s">
        <v>2469</v>
      </c>
      <c r="C149">
        <v>634</v>
      </c>
      <c r="D149">
        <v>4</v>
      </c>
      <c r="E149" t="s">
        <v>2474</v>
      </c>
    </row>
    <row r="150" spans="1:5" x14ac:dyDescent="0.3">
      <c r="A150" t="s">
        <v>2108</v>
      </c>
      <c r="B150" t="s">
        <v>2469</v>
      </c>
      <c r="C150">
        <v>224</v>
      </c>
      <c r="D150">
        <v>2</v>
      </c>
      <c r="E150" t="s">
        <v>2472</v>
      </c>
    </row>
    <row r="151" spans="1:5" x14ac:dyDescent="0.3">
      <c r="A151" t="s">
        <v>2107</v>
      </c>
      <c r="B151" t="s">
        <v>2469</v>
      </c>
      <c r="C151">
        <v>511</v>
      </c>
      <c r="D151">
        <v>13</v>
      </c>
      <c r="E151" t="s">
        <v>2475</v>
      </c>
    </row>
    <row r="152" spans="1:5" x14ac:dyDescent="0.3">
      <c r="A152" t="s">
        <v>2106</v>
      </c>
      <c r="B152" t="s">
        <v>2469</v>
      </c>
      <c r="C152">
        <v>65</v>
      </c>
      <c r="D152">
        <v>1</v>
      </c>
      <c r="E152" t="s">
        <v>2474</v>
      </c>
    </row>
    <row r="153" spans="1:5" x14ac:dyDescent="0.3">
      <c r="A153" t="s">
        <v>2105</v>
      </c>
      <c r="B153" t="s">
        <v>2469</v>
      </c>
      <c r="C153">
        <v>96</v>
      </c>
      <c r="D153">
        <v>4</v>
      </c>
      <c r="E153" t="s">
        <v>2475</v>
      </c>
    </row>
    <row r="154" spans="1:5" x14ac:dyDescent="0.3">
      <c r="A154" t="s">
        <v>2104</v>
      </c>
      <c r="B154" t="s">
        <v>2471</v>
      </c>
      <c r="C154">
        <v>8</v>
      </c>
      <c r="D154">
        <v>0</v>
      </c>
      <c r="E154" t="s">
        <v>2470</v>
      </c>
    </row>
    <row r="155" spans="1:5" x14ac:dyDescent="0.3">
      <c r="A155" t="s">
        <v>2103</v>
      </c>
      <c r="B155" t="s">
        <v>2469</v>
      </c>
      <c r="C155">
        <v>60</v>
      </c>
      <c r="D155">
        <v>1</v>
      </c>
      <c r="E155" t="s">
        <v>2472</v>
      </c>
    </row>
    <row r="156" spans="1:5" x14ac:dyDescent="0.3">
      <c r="A156" t="s">
        <v>2102</v>
      </c>
      <c r="B156" t="s">
        <v>2469</v>
      </c>
      <c r="C156">
        <v>593</v>
      </c>
      <c r="D156">
        <v>13</v>
      </c>
      <c r="E156" t="s">
        <v>2468</v>
      </c>
    </row>
    <row r="157" spans="1:5" x14ac:dyDescent="0.3">
      <c r="A157" t="s">
        <v>2101</v>
      </c>
      <c r="B157" t="s">
        <v>2469</v>
      </c>
      <c r="C157">
        <v>373</v>
      </c>
      <c r="D157">
        <v>16</v>
      </c>
      <c r="E157" t="s">
        <v>2468</v>
      </c>
    </row>
    <row r="158" spans="1:5" x14ac:dyDescent="0.3">
      <c r="A158" t="s">
        <v>2100</v>
      </c>
      <c r="B158" t="s">
        <v>2471</v>
      </c>
      <c r="C158">
        <v>14</v>
      </c>
      <c r="D158">
        <v>0</v>
      </c>
      <c r="E158" t="s">
        <v>2470</v>
      </c>
    </row>
    <row r="159" spans="1:5" x14ac:dyDescent="0.3">
      <c r="A159" t="s">
        <v>2099</v>
      </c>
      <c r="B159" t="s">
        <v>2469</v>
      </c>
      <c r="C159">
        <v>133</v>
      </c>
      <c r="D159">
        <v>1</v>
      </c>
      <c r="E159" t="s">
        <v>2474</v>
      </c>
    </row>
    <row r="160" spans="1:5" x14ac:dyDescent="0.3">
      <c r="A160" t="s">
        <v>2098</v>
      </c>
      <c r="B160" t="s">
        <v>2471</v>
      </c>
      <c r="C160">
        <v>6</v>
      </c>
      <c r="D160">
        <v>0</v>
      </c>
      <c r="E160" t="s">
        <v>2470</v>
      </c>
    </row>
    <row r="161" spans="1:5" x14ac:dyDescent="0.3">
      <c r="A161" t="s">
        <v>2097</v>
      </c>
      <c r="B161" t="s">
        <v>2473</v>
      </c>
      <c r="C161">
        <v>19</v>
      </c>
      <c r="D161">
        <v>1</v>
      </c>
      <c r="E161" t="s">
        <v>2472</v>
      </c>
    </row>
    <row r="162" spans="1:5" x14ac:dyDescent="0.3">
      <c r="A162" t="s">
        <v>2096</v>
      </c>
      <c r="B162" t="s">
        <v>2469</v>
      </c>
      <c r="C162">
        <v>693</v>
      </c>
      <c r="D162">
        <v>9</v>
      </c>
      <c r="E162" t="s">
        <v>2468</v>
      </c>
    </row>
    <row r="163" spans="1:5" x14ac:dyDescent="0.3">
      <c r="A163" t="s">
        <v>2095</v>
      </c>
      <c r="B163" t="s">
        <v>2469</v>
      </c>
      <c r="C163">
        <v>22</v>
      </c>
      <c r="D163">
        <v>1</v>
      </c>
      <c r="E163" t="s">
        <v>2476</v>
      </c>
    </row>
    <row r="164" spans="1:5" x14ac:dyDescent="0.3">
      <c r="A164" t="s">
        <v>2094</v>
      </c>
      <c r="B164" t="s">
        <v>2469</v>
      </c>
      <c r="C164">
        <v>428</v>
      </c>
      <c r="D164">
        <v>14</v>
      </c>
      <c r="E164" t="s">
        <v>2472</v>
      </c>
    </row>
    <row r="165" spans="1:5" x14ac:dyDescent="0.3">
      <c r="A165" t="s">
        <v>2093</v>
      </c>
      <c r="B165" t="s">
        <v>2471</v>
      </c>
      <c r="C165">
        <v>4</v>
      </c>
      <c r="D165">
        <v>0</v>
      </c>
      <c r="E165" t="s">
        <v>2470</v>
      </c>
    </row>
    <row r="166" spans="1:5" x14ac:dyDescent="0.3">
      <c r="A166" t="s">
        <v>2092</v>
      </c>
      <c r="B166" t="s">
        <v>2469</v>
      </c>
      <c r="C166">
        <v>164</v>
      </c>
      <c r="D166">
        <v>2</v>
      </c>
      <c r="E166" t="s">
        <v>2472</v>
      </c>
    </row>
    <row r="167" spans="1:5" x14ac:dyDescent="0.3">
      <c r="A167" t="s">
        <v>2091</v>
      </c>
      <c r="B167" t="s">
        <v>2469</v>
      </c>
      <c r="C167">
        <v>75</v>
      </c>
      <c r="D167">
        <v>1</v>
      </c>
      <c r="E167" t="s">
        <v>2468</v>
      </c>
    </row>
    <row r="168" spans="1:5" x14ac:dyDescent="0.3">
      <c r="A168" t="s">
        <v>2090</v>
      </c>
      <c r="B168" t="s">
        <v>2471</v>
      </c>
      <c r="C168">
        <v>6</v>
      </c>
      <c r="D168">
        <v>0</v>
      </c>
      <c r="E168" t="s">
        <v>2470</v>
      </c>
    </row>
    <row r="169" spans="1:5" x14ac:dyDescent="0.3">
      <c r="A169" t="s">
        <v>2089</v>
      </c>
      <c r="B169" t="s">
        <v>2469</v>
      </c>
      <c r="C169">
        <v>185</v>
      </c>
      <c r="D169">
        <v>6</v>
      </c>
      <c r="E169" t="s">
        <v>2475</v>
      </c>
    </row>
    <row r="170" spans="1:5" x14ac:dyDescent="0.3">
      <c r="A170" t="s">
        <v>2088</v>
      </c>
      <c r="B170" t="s">
        <v>2471</v>
      </c>
      <c r="C170">
        <v>7</v>
      </c>
      <c r="D170">
        <v>0</v>
      </c>
      <c r="E170" t="s">
        <v>2470</v>
      </c>
    </row>
    <row r="171" spans="1:5" x14ac:dyDescent="0.3">
      <c r="A171" t="s">
        <v>2087</v>
      </c>
      <c r="B171" t="s">
        <v>2469</v>
      </c>
      <c r="C171">
        <v>135</v>
      </c>
      <c r="D171">
        <v>1</v>
      </c>
      <c r="E171" t="s">
        <v>2476</v>
      </c>
    </row>
    <row r="172" spans="1:5" x14ac:dyDescent="0.3">
      <c r="A172" t="s">
        <v>2086</v>
      </c>
      <c r="B172" t="s">
        <v>2469</v>
      </c>
      <c r="C172">
        <v>137</v>
      </c>
      <c r="D172">
        <v>1</v>
      </c>
      <c r="E172" t="s">
        <v>2472</v>
      </c>
    </row>
    <row r="173" spans="1:5" x14ac:dyDescent="0.3">
      <c r="A173" t="s">
        <v>2085</v>
      </c>
      <c r="B173" t="s">
        <v>2469</v>
      </c>
      <c r="C173">
        <v>585</v>
      </c>
      <c r="D173">
        <v>9</v>
      </c>
      <c r="E173" t="s">
        <v>2475</v>
      </c>
    </row>
    <row r="174" spans="1:5" x14ac:dyDescent="0.3">
      <c r="A174" t="s">
        <v>2084</v>
      </c>
      <c r="B174" t="s">
        <v>2469</v>
      </c>
      <c r="C174">
        <v>609</v>
      </c>
      <c r="D174">
        <v>5</v>
      </c>
      <c r="E174" t="s">
        <v>2475</v>
      </c>
    </row>
    <row r="175" spans="1:5" x14ac:dyDescent="0.3">
      <c r="A175" t="s">
        <v>2083</v>
      </c>
      <c r="B175" t="s">
        <v>2471</v>
      </c>
      <c r="C175">
        <v>5</v>
      </c>
      <c r="D175">
        <v>0</v>
      </c>
      <c r="E175" t="s">
        <v>2470</v>
      </c>
    </row>
    <row r="176" spans="1:5" x14ac:dyDescent="0.3">
      <c r="A176" t="s">
        <v>2082</v>
      </c>
      <c r="B176" t="s">
        <v>2469</v>
      </c>
      <c r="C176">
        <v>574</v>
      </c>
      <c r="D176">
        <v>7</v>
      </c>
      <c r="E176" t="s">
        <v>2468</v>
      </c>
    </row>
    <row r="177" spans="1:5" x14ac:dyDescent="0.3">
      <c r="A177" t="s">
        <v>2081</v>
      </c>
      <c r="B177" t="s">
        <v>2473</v>
      </c>
      <c r="C177">
        <v>136</v>
      </c>
      <c r="D177">
        <v>9</v>
      </c>
      <c r="E177" t="s">
        <v>2472</v>
      </c>
    </row>
    <row r="178" spans="1:5" x14ac:dyDescent="0.3">
      <c r="A178" t="s">
        <v>2080</v>
      </c>
      <c r="B178" t="s">
        <v>2469</v>
      </c>
      <c r="C178">
        <v>163</v>
      </c>
      <c r="D178">
        <v>1</v>
      </c>
      <c r="E178" t="s">
        <v>2475</v>
      </c>
    </row>
    <row r="179" spans="1:5" x14ac:dyDescent="0.3">
      <c r="A179" t="s">
        <v>2079</v>
      </c>
      <c r="B179" t="s">
        <v>2469</v>
      </c>
      <c r="C179">
        <v>309</v>
      </c>
      <c r="D179">
        <v>12</v>
      </c>
      <c r="E179" t="s">
        <v>2476</v>
      </c>
    </row>
    <row r="180" spans="1:5" x14ac:dyDescent="0.3">
      <c r="A180" t="s">
        <v>2078</v>
      </c>
      <c r="B180" t="s">
        <v>2471</v>
      </c>
      <c r="C180">
        <v>22</v>
      </c>
      <c r="D180">
        <v>0</v>
      </c>
      <c r="E180" t="s">
        <v>2470</v>
      </c>
    </row>
    <row r="181" spans="1:5" x14ac:dyDescent="0.3">
      <c r="A181" t="s">
        <v>2077</v>
      </c>
      <c r="B181" t="s">
        <v>2469</v>
      </c>
      <c r="C181">
        <v>112</v>
      </c>
      <c r="D181">
        <v>1</v>
      </c>
      <c r="E181" t="s">
        <v>2476</v>
      </c>
    </row>
    <row r="182" spans="1:5" x14ac:dyDescent="0.3">
      <c r="A182" t="s">
        <v>2076</v>
      </c>
      <c r="B182" t="s">
        <v>2473</v>
      </c>
      <c r="C182">
        <v>58</v>
      </c>
      <c r="D182">
        <v>4</v>
      </c>
      <c r="E182" t="s">
        <v>2472</v>
      </c>
    </row>
    <row r="183" spans="1:5" x14ac:dyDescent="0.3">
      <c r="A183" t="s">
        <v>2075</v>
      </c>
      <c r="B183" t="s">
        <v>2469</v>
      </c>
      <c r="C183">
        <v>451</v>
      </c>
      <c r="D183">
        <v>7</v>
      </c>
      <c r="E183" t="s">
        <v>2472</v>
      </c>
    </row>
    <row r="184" spans="1:5" x14ac:dyDescent="0.3">
      <c r="A184" t="s">
        <v>2074</v>
      </c>
      <c r="B184" t="s">
        <v>2469</v>
      </c>
      <c r="C184">
        <v>124</v>
      </c>
      <c r="D184">
        <v>1</v>
      </c>
      <c r="E184" t="s">
        <v>2476</v>
      </c>
    </row>
    <row r="185" spans="1:5" x14ac:dyDescent="0.3">
      <c r="A185" t="s">
        <v>2073</v>
      </c>
      <c r="B185" t="s">
        <v>2469</v>
      </c>
      <c r="C185">
        <v>296</v>
      </c>
      <c r="D185">
        <v>8</v>
      </c>
      <c r="E185" t="s">
        <v>2474</v>
      </c>
    </row>
    <row r="186" spans="1:5" x14ac:dyDescent="0.3">
      <c r="A186" t="s">
        <v>2072</v>
      </c>
      <c r="B186" t="s">
        <v>2471</v>
      </c>
      <c r="C186">
        <v>8</v>
      </c>
      <c r="D186">
        <v>0</v>
      </c>
      <c r="E186" t="s">
        <v>2470</v>
      </c>
    </row>
    <row r="187" spans="1:5" x14ac:dyDescent="0.3">
      <c r="A187" t="s">
        <v>2071</v>
      </c>
      <c r="B187" t="s">
        <v>2469</v>
      </c>
      <c r="C187">
        <v>293</v>
      </c>
      <c r="D187">
        <v>3</v>
      </c>
      <c r="E187" t="s">
        <v>2475</v>
      </c>
    </row>
    <row r="188" spans="1:5" x14ac:dyDescent="0.3">
      <c r="A188" t="s">
        <v>2070</v>
      </c>
      <c r="B188" t="s">
        <v>2469</v>
      </c>
      <c r="C188">
        <v>175</v>
      </c>
      <c r="D188">
        <v>2</v>
      </c>
      <c r="E188" t="s">
        <v>2472</v>
      </c>
    </row>
    <row r="189" spans="1:5" x14ac:dyDescent="0.3">
      <c r="A189" t="s">
        <v>2069</v>
      </c>
      <c r="B189" t="s">
        <v>2469</v>
      </c>
      <c r="C189">
        <v>67</v>
      </c>
      <c r="D189">
        <v>1</v>
      </c>
      <c r="E189" t="s">
        <v>2472</v>
      </c>
    </row>
    <row r="190" spans="1:5" x14ac:dyDescent="0.3">
      <c r="A190" t="s">
        <v>2068</v>
      </c>
      <c r="B190" t="s">
        <v>2469</v>
      </c>
      <c r="C190">
        <v>149</v>
      </c>
      <c r="D190">
        <v>2</v>
      </c>
      <c r="E190" t="s">
        <v>2476</v>
      </c>
    </row>
    <row r="191" spans="1:5" x14ac:dyDescent="0.3">
      <c r="A191" t="s">
        <v>2067</v>
      </c>
      <c r="B191" t="s">
        <v>2469</v>
      </c>
      <c r="C191">
        <v>685</v>
      </c>
      <c r="D191">
        <v>3</v>
      </c>
      <c r="E191" t="s">
        <v>2472</v>
      </c>
    </row>
    <row r="192" spans="1:5" x14ac:dyDescent="0.3">
      <c r="A192" t="s">
        <v>2066</v>
      </c>
      <c r="B192" t="s">
        <v>2469</v>
      </c>
      <c r="C192">
        <v>151</v>
      </c>
      <c r="D192">
        <v>1</v>
      </c>
      <c r="E192" t="s">
        <v>2475</v>
      </c>
    </row>
    <row r="193" spans="1:5" x14ac:dyDescent="0.3">
      <c r="A193" t="s">
        <v>2065</v>
      </c>
      <c r="B193" t="s">
        <v>2469</v>
      </c>
      <c r="C193">
        <v>188</v>
      </c>
      <c r="D193">
        <v>4</v>
      </c>
      <c r="E193" t="s">
        <v>2475</v>
      </c>
    </row>
    <row r="194" spans="1:5" x14ac:dyDescent="0.3">
      <c r="A194" t="s">
        <v>2064</v>
      </c>
      <c r="B194" t="s">
        <v>2469</v>
      </c>
      <c r="C194">
        <v>163</v>
      </c>
      <c r="D194">
        <v>3</v>
      </c>
      <c r="E194" t="s">
        <v>2468</v>
      </c>
    </row>
    <row r="195" spans="1:5" x14ac:dyDescent="0.3">
      <c r="A195" t="s">
        <v>2063</v>
      </c>
      <c r="B195" t="s">
        <v>2469</v>
      </c>
      <c r="C195">
        <v>591</v>
      </c>
      <c r="D195">
        <v>4</v>
      </c>
      <c r="E195" t="s">
        <v>2475</v>
      </c>
    </row>
    <row r="196" spans="1:5" x14ac:dyDescent="0.3">
      <c r="A196" t="s">
        <v>2062</v>
      </c>
      <c r="B196" t="s">
        <v>2471</v>
      </c>
      <c r="C196">
        <v>20</v>
      </c>
      <c r="D196">
        <v>0</v>
      </c>
      <c r="E196" t="s">
        <v>2470</v>
      </c>
    </row>
    <row r="197" spans="1:5" x14ac:dyDescent="0.3">
      <c r="A197" t="s">
        <v>2061</v>
      </c>
      <c r="B197" t="s">
        <v>2471</v>
      </c>
      <c r="C197">
        <v>25</v>
      </c>
      <c r="D197">
        <v>0</v>
      </c>
      <c r="E197" t="s">
        <v>2470</v>
      </c>
    </row>
    <row r="198" spans="1:5" x14ac:dyDescent="0.3">
      <c r="A198" t="s">
        <v>2060</v>
      </c>
      <c r="B198" t="s">
        <v>2469</v>
      </c>
      <c r="C198">
        <v>738</v>
      </c>
      <c r="D198">
        <v>29</v>
      </c>
      <c r="E198" t="s">
        <v>2468</v>
      </c>
    </row>
    <row r="199" spans="1:5" x14ac:dyDescent="0.3">
      <c r="A199" t="s">
        <v>2059</v>
      </c>
      <c r="B199" t="s">
        <v>2469</v>
      </c>
      <c r="C199">
        <v>113</v>
      </c>
      <c r="D199">
        <v>2</v>
      </c>
      <c r="E199" t="s">
        <v>2475</v>
      </c>
    </row>
    <row r="200" spans="1:5" x14ac:dyDescent="0.3">
      <c r="A200" t="s">
        <v>2058</v>
      </c>
      <c r="B200" t="s">
        <v>2469</v>
      </c>
      <c r="C200">
        <v>92</v>
      </c>
      <c r="D200">
        <v>1</v>
      </c>
      <c r="E200" t="s">
        <v>2476</v>
      </c>
    </row>
    <row r="201" spans="1:5" x14ac:dyDescent="0.3">
      <c r="A201" t="s">
        <v>2057</v>
      </c>
      <c r="B201" t="s">
        <v>2469</v>
      </c>
      <c r="C201">
        <v>397</v>
      </c>
      <c r="D201">
        <v>3</v>
      </c>
      <c r="E201" t="s">
        <v>2475</v>
      </c>
    </row>
    <row r="202" spans="1:5" x14ac:dyDescent="0.3">
      <c r="A202" t="s">
        <v>2056</v>
      </c>
      <c r="B202" t="s">
        <v>2469</v>
      </c>
      <c r="C202">
        <v>328</v>
      </c>
      <c r="D202">
        <v>7</v>
      </c>
      <c r="E202" t="s">
        <v>2468</v>
      </c>
    </row>
    <row r="203" spans="1:5" x14ac:dyDescent="0.3">
      <c r="A203" t="s">
        <v>2055</v>
      </c>
      <c r="B203" t="s">
        <v>2469</v>
      </c>
      <c r="C203">
        <v>1512</v>
      </c>
      <c r="D203">
        <v>31</v>
      </c>
      <c r="E203" t="s">
        <v>2468</v>
      </c>
    </row>
    <row r="204" spans="1:5" x14ac:dyDescent="0.3">
      <c r="A204" t="s">
        <v>2054</v>
      </c>
      <c r="B204" t="s">
        <v>2473</v>
      </c>
      <c r="C204">
        <v>12</v>
      </c>
      <c r="D204">
        <v>2</v>
      </c>
      <c r="E204" t="s">
        <v>2468</v>
      </c>
    </row>
    <row r="205" spans="1:5" x14ac:dyDescent="0.3">
      <c r="A205" t="s">
        <v>2053</v>
      </c>
      <c r="B205" t="s">
        <v>2469</v>
      </c>
      <c r="C205">
        <v>761</v>
      </c>
      <c r="D205">
        <v>20</v>
      </c>
      <c r="E205" t="s">
        <v>2476</v>
      </c>
    </row>
    <row r="206" spans="1:5" x14ac:dyDescent="0.3">
      <c r="A206" t="s">
        <v>2052</v>
      </c>
      <c r="B206" t="s">
        <v>2469</v>
      </c>
      <c r="C206">
        <v>597</v>
      </c>
      <c r="D206">
        <v>4</v>
      </c>
      <c r="E206" t="s">
        <v>2472</v>
      </c>
    </row>
    <row r="207" spans="1:5" x14ac:dyDescent="0.3">
      <c r="A207" t="s">
        <v>2051</v>
      </c>
      <c r="B207" t="s">
        <v>2471</v>
      </c>
      <c r="C207">
        <v>9</v>
      </c>
      <c r="D207">
        <v>0</v>
      </c>
      <c r="E207" t="s">
        <v>2470</v>
      </c>
    </row>
    <row r="208" spans="1:5" x14ac:dyDescent="0.3">
      <c r="A208" t="s">
        <v>2050</v>
      </c>
      <c r="B208" t="s">
        <v>2471</v>
      </c>
      <c r="C208">
        <v>2</v>
      </c>
      <c r="D208">
        <v>0</v>
      </c>
      <c r="E208" t="s">
        <v>2470</v>
      </c>
    </row>
    <row r="209" spans="1:5" x14ac:dyDescent="0.3">
      <c r="A209" t="s">
        <v>2049</v>
      </c>
      <c r="B209" t="s">
        <v>2471</v>
      </c>
      <c r="C209">
        <v>8</v>
      </c>
      <c r="D209">
        <v>0</v>
      </c>
      <c r="E209" t="s">
        <v>2470</v>
      </c>
    </row>
    <row r="210" spans="1:5" x14ac:dyDescent="0.3">
      <c r="A210" t="s">
        <v>2048</v>
      </c>
      <c r="B210" t="s">
        <v>2471</v>
      </c>
      <c r="C210">
        <v>4</v>
      </c>
      <c r="D210">
        <v>0</v>
      </c>
      <c r="E210" t="s">
        <v>2470</v>
      </c>
    </row>
    <row r="211" spans="1:5" x14ac:dyDescent="0.3">
      <c r="A211" t="s">
        <v>2047</v>
      </c>
      <c r="B211" t="s">
        <v>2471</v>
      </c>
      <c r="C211">
        <v>3</v>
      </c>
      <c r="D211">
        <v>0</v>
      </c>
      <c r="E211" t="s">
        <v>2470</v>
      </c>
    </row>
    <row r="212" spans="1:5" x14ac:dyDescent="0.3">
      <c r="A212" t="s">
        <v>2046</v>
      </c>
      <c r="B212" t="s">
        <v>2471</v>
      </c>
      <c r="C212">
        <v>19</v>
      </c>
      <c r="D212">
        <v>0</v>
      </c>
      <c r="E212" t="s">
        <v>2470</v>
      </c>
    </row>
    <row r="213" spans="1:5" x14ac:dyDescent="0.3">
      <c r="A213" t="s">
        <v>2045</v>
      </c>
      <c r="B213" t="s">
        <v>2473</v>
      </c>
      <c r="C213">
        <v>161</v>
      </c>
      <c r="D213">
        <v>13</v>
      </c>
      <c r="E213" t="s">
        <v>2468</v>
      </c>
    </row>
    <row r="214" spans="1:5" x14ac:dyDescent="0.3">
      <c r="A214" t="s">
        <v>2044</v>
      </c>
      <c r="B214" t="s">
        <v>2471</v>
      </c>
      <c r="C214">
        <v>5</v>
      </c>
      <c r="D214">
        <v>0</v>
      </c>
      <c r="E214" t="s">
        <v>2470</v>
      </c>
    </row>
    <row r="215" spans="1:5" x14ac:dyDescent="0.3">
      <c r="A215" t="s">
        <v>2043</v>
      </c>
      <c r="B215" t="s">
        <v>2473</v>
      </c>
      <c r="C215">
        <v>311</v>
      </c>
      <c r="D215">
        <v>41</v>
      </c>
      <c r="E215" t="s">
        <v>2468</v>
      </c>
    </row>
    <row r="216" spans="1:5" x14ac:dyDescent="0.3">
      <c r="A216" t="s">
        <v>2042</v>
      </c>
      <c r="B216" t="s">
        <v>2469</v>
      </c>
      <c r="C216">
        <v>455</v>
      </c>
      <c r="D216">
        <v>5</v>
      </c>
      <c r="E216" t="s">
        <v>2474</v>
      </c>
    </row>
    <row r="217" spans="1:5" x14ac:dyDescent="0.3">
      <c r="A217" t="s">
        <v>2041</v>
      </c>
      <c r="B217" t="s">
        <v>2471</v>
      </c>
      <c r="C217">
        <v>5</v>
      </c>
      <c r="D217">
        <v>0</v>
      </c>
      <c r="E217" t="s">
        <v>2470</v>
      </c>
    </row>
    <row r="218" spans="1:5" x14ac:dyDescent="0.3">
      <c r="A218" t="s">
        <v>2040</v>
      </c>
      <c r="B218" t="s">
        <v>2469</v>
      </c>
      <c r="C218">
        <v>138</v>
      </c>
      <c r="D218">
        <v>1</v>
      </c>
      <c r="E218" t="s">
        <v>2475</v>
      </c>
    </row>
    <row r="219" spans="1:5" x14ac:dyDescent="0.3">
      <c r="A219" t="s">
        <v>2039</v>
      </c>
      <c r="B219" t="s">
        <v>2469</v>
      </c>
      <c r="C219">
        <v>183</v>
      </c>
      <c r="D219">
        <v>2</v>
      </c>
      <c r="E219" t="s">
        <v>2468</v>
      </c>
    </row>
    <row r="220" spans="1:5" x14ac:dyDescent="0.3">
      <c r="A220" t="s">
        <v>2038</v>
      </c>
      <c r="B220" t="s">
        <v>2469</v>
      </c>
      <c r="C220">
        <v>178</v>
      </c>
      <c r="D220">
        <v>8</v>
      </c>
      <c r="E220" t="s">
        <v>2468</v>
      </c>
    </row>
    <row r="221" spans="1:5" x14ac:dyDescent="0.3">
      <c r="A221" t="s">
        <v>2037</v>
      </c>
      <c r="B221" t="s">
        <v>2469</v>
      </c>
      <c r="C221">
        <v>144</v>
      </c>
      <c r="D221">
        <v>3</v>
      </c>
      <c r="E221" t="s">
        <v>2468</v>
      </c>
    </row>
    <row r="222" spans="1:5" x14ac:dyDescent="0.3">
      <c r="A222" t="s">
        <v>2036</v>
      </c>
      <c r="B222" t="s">
        <v>2471</v>
      </c>
      <c r="C222">
        <v>29</v>
      </c>
      <c r="D222">
        <v>0</v>
      </c>
      <c r="E222" t="s">
        <v>2470</v>
      </c>
    </row>
    <row r="223" spans="1:5" x14ac:dyDescent="0.3">
      <c r="A223" t="s">
        <v>2035</v>
      </c>
      <c r="B223" t="s">
        <v>2471</v>
      </c>
      <c r="C223">
        <v>18</v>
      </c>
      <c r="D223">
        <v>0</v>
      </c>
      <c r="E223" t="s">
        <v>2470</v>
      </c>
    </row>
    <row r="224" spans="1:5" x14ac:dyDescent="0.3">
      <c r="A224" t="s">
        <v>2034</v>
      </c>
      <c r="B224" t="s">
        <v>2473</v>
      </c>
      <c r="C224">
        <v>22</v>
      </c>
      <c r="D224">
        <v>2</v>
      </c>
      <c r="E224" t="s">
        <v>2468</v>
      </c>
    </row>
    <row r="225" spans="1:5" x14ac:dyDescent="0.3">
      <c r="A225" t="s">
        <v>2033</v>
      </c>
      <c r="B225" t="s">
        <v>2469</v>
      </c>
      <c r="C225">
        <v>361</v>
      </c>
      <c r="D225">
        <v>4</v>
      </c>
      <c r="E225" t="s">
        <v>2474</v>
      </c>
    </row>
    <row r="226" spans="1:5" x14ac:dyDescent="0.3">
      <c r="A226" t="s">
        <v>2032</v>
      </c>
      <c r="B226" t="s">
        <v>2469</v>
      </c>
      <c r="C226">
        <v>117</v>
      </c>
      <c r="D226">
        <v>1</v>
      </c>
      <c r="E226" t="s">
        <v>2472</v>
      </c>
    </row>
    <row r="227" spans="1:5" x14ac:dyDescent="0.3">
      <c r="A227" t="s">
        <v>2031</v>
      </c>
      <c r="B227" t="s">
        <v>2469</v>
      </c>
      <c r="C227">
        <v>524</v>
      </c>
      <c r="D227">
        <v>9</v>
      </c>
      <c r="E227" t="s">
        <v>2475</v>
      </c>
    </row>
    <row r="228" spans="1:5" x14ac:dyDescent="0.3">
      <c r="A228" t="s">
        <v>2030</v>
      </c>
      <c r="B228" t="s">
        <v>2471</v>
      </c>
      <c r="C228">
        <v>15</v>
      </c>
      <c r="D228">
        <v>0</v>
      </c>
      <c r="E228" t="s">
        <v>2470</v>
      </c>
    </row>
    <row r="229" spans="1:5" x14ac:dyDescent="0.3">
      <c r="A229" t="s">
        <v>2029</v>
      </c>
      <c r="B229" t="s">
        <v>2469</v>
      </c>
      <c r="C229">
        <v>584</v>
      </c>
      <c r="D229">
        <v>18</v>
      </c>
      <c r="E229" t="s">
        <v>2475</v>
      </c>
    </row>
    <row r="230" spans="1:5" x14ac:dyDescent="0.3">
      <c r="A230" t="s">
        <v>2028</v>
      </c>
      <c r="B230" t="s">
        <v>2469</v>
      </c>
      <c r="C230">
        <v>1775</v>
      </c>
      <c r="D230">
        <v>34</v>
      </c>
      <c r="E230" t="s">
        <v>2474</v>
      </c>
    </row>
    <row r="231" spans="1:5" x14ac:dyDescent="0.3">
      <c r="A231" t="s">
        <v>2027</v>
      </c>
      <c r="B231" t="s">
        <v>2469</v>
      </c>
      <c r="C231">
        <v>428</v>
      </c>
      <c r="D231">
        <v>10</v>
      </c>
      <c r="E231" t="s">
        <v>2474</v>
      </c>
    </row>
    <row r="232" spans="1:5" x14ac:dyDescent="0.3">
      <c r="A232" t="s">
        <v>2026</v>
      </c>
      <c r="B232" t="s">
        <v>2469</v>
      </c>
      <c r="C232">
        <v>781</v>
      </c>
      <c r="D232">
        <v>11</v>
      </c>
      <c r="E232" t="s">
        <v>2468</v>
      </c>
    </row>
    <row r="233" spans="1:5" x14ac:dyDescent="0.3">
      <c r="A233" t="s">
        <v>2025</v>
      </c>
      <c r="B233" t="s">
        <v>2469</v>
      </c>
      <c r="C233">
        <v>117</v>
      </c>
      <c r="D233">
        <v>1</v>
      </c>
      <c r="E233" t="s">
        <v>2468</v>
      </c>
    </row>
    <row r="234" spans="1:5" x14ac:dyDescent="0.3">
      <c r="A234" t="s">
        <v>2024</v>
      </c>
      <c r="B234" t="s">
        <v>2469</v>
      </c>
      <c r="C234">
        <v>283</v>
      </c>
      <c r="D234">
        <v>6</v>
      </c>
      <c r="E234" t="s">
        <v>2475</v>
      </c>
    </row>
    <row r="235" spans="1:5" x14ac:dyDescent="0.3">
      <c r="A235" t="s">
        <v>2023</v>
      </c>
      <c r="B235" t="s">
        <v>2469</v>
      </c>
      <c r="C235">
        <v>194</v>
      </c>
      <c r="D235">
        <v>3</v>
      </c>
      <c r="E235" t="s">
        <v>2472</v>
      </c>
    </row>
    <row r="236" spans="1:5" x14ac:dyDescent="0.3">
      <c r="A236" t="s">
        <v>2022</v>
      </c>
      <c r="B236" t="s">
        <v>2473</v>
      </c>
      <c r="C236">
        <v>19</v>
      </c>
      <c r="D236">
        <v>3</v>
      </c>
      <c r="E236" t="s">
        <v>2472</v>
      </c>
    </row>
    <row r="237" spans="1:5" x14ac:dyDescent="0.3">
      <c r="A237" t="s">
        <v>2021</v>
      </c>
      <c r="B237" t="s">
        <v>2469</v>
      </c>
      <c r="C237">
        <v>222</v>
      </c>
      <c r="D237">
        <v>7</v>
      </c>
      <c r="E237" t="s">
        <v>2474</v>
      </c>
    </row>
    <row r="238" spans="1:5" x14ac:dyDescent="0.3">
      <c r="A238" t="s">
        <v>2020</v>
      </c>
      <c r="B238" t="s">
        <v>2469</v>
      </c>
      <c r="C238">
        <v>578</v>
      </c>
      <c r="D238">
        <v>9</v>
      </c>
      <c r="E238" t="s">
        <v>2476</v>
      </c>
    </row>
    <row r="239" spans="1:5" x14ac:dyDescent="0.3">
      <c r="A239" t="s">
        <v>2019</v>
      </c>
      <c r="B239" t="s">
        <v>2469</v>
      </c>
      <c r="C239">
        <v>277</v>
      </c>
      <c r="D239">
        <v>3</v>
      </c>
      <c r="E239" t="s">
        <v>2472</v>
      </c>
    </row>
    <row r="240" spans="1:5" x14ac:dyDescent="0.3">
      <c r="A240" t="s">
        <v>2018</v>
      </c>
      <c r="B240" t="s">
        <v>2471</v>
      </c>
      <c r="C240">
        <v>44</v>
      </c>
      <c r="D240">
        <v>0</v>
      </c>
      <c r="E240" t="s">
        <v>2470</v>
      </c>
    </row>
    <row r="241" spans="1:5" x14ac:dyDescent="0.3">
      <c r="A241" t="s">
        <v>2017</v>
      </c>
      <c r="B241" t="s">
        <v>2469</v>
      </c>
      <c r="C241">
        <v>419</v>
      </c>
      <c r="D241">
        <v>10</v>
      </c>
      <c r="E241" t="s">
        <v>2474</v>
      </c>
    </row>
    <row r="242" spans="1:5" x14ac:dyDescent="0.3">
      <c r="A242" t="s">
        <v>2016</v>
      </c>
      <c r="B242" t="s">
        <v>2471</v>
      </c>
      <c r="C242">
        <v>4</v>
      </c>
      <c r="D242">
        <v>0</v>
      </c>
      <c r="E242" t="s">
        <v>2470</v>
      </c>
    </row>
    <row r="243" spans="1:5" x14ac:dyDescent="0.3">
      <c r="A243" t="s">
        <v>2015</v>
      </c>
      <c r="B243" t="s">
        <v>2471</v>
      </c>
      <c r="C243">
        <v>13</v>
      </c>
      <c r="D243">
        <v>0</v>
      </c>
      <c r="E243" t="s">
        <v>2470</v>
      </c>
    </row>
    <row r="244" spans="1:5" x14ac:dyDescent="0.3">
      <c r="A244" t="s">
        <v>2014</v>
      </c>
      <c r="B244" t="s">
        <v>2469</v>
      </c>
      <c r="C244">
        <v>291</v>
      </c>
      <c r="D244">
        <v>7</v>
      </c>
      <c r="E244" t="s">
        <v>2476</v>
      </c>
    </row>
    <row r="245" spans="1:5" x14ac:dyDescent="0.3">
      <c r="A245" t="s">
        <v>2013</v>
      </c>
      <c r="B245" t="s">
        <v>2469</v>
      </c>
      <c r="C245">
        <v>127</v>
      </c>
      <c r="D245">
        <v>2</v>
      </c>
      <c r="E245" t="s">
        <v>2476</v>
      </c>
    </row>
    <row r="246" spans="1:5" x14ac:dyDescent="0.3">
      <c r="A246" t="s">
        <v>2012</v>
      </c>
      <c r="B246" t="s">
        <v>2469</v>
      </c>
      <c r="C246">
        <v>767</v>
      </c>
      <c r="D246">
        <v>22</v>
      </c>
      <c r="E246" t="s">
        <v>2472</v>
      </c>
    </row>
    <row r="247" spans="1:5" x14ac:dyDescent="0.3">
      <c r="A247" t="s">
        <v>2011</v>
      </c>
      <c r="B247" t="s">
        <v>2469</v>
      </c>
      <c r="C247">
        <v>263</v>
      </c>
      <c r="D247">
        <v>13</v>
      </c>
      <c r="E247" t="s">
        <v>2472</v>
      </c>
    </row>
    <row r="248" spans="1:5" x14ac:dyDescent="0.3">
      <c r="A248" t="s">
        <v>2010</v>
      </c>
      <c r="B248" t="s">
        <v>2469</v>
      </c>
      <c r="C248">
        <v>103</v>
      </c>
      <c r="D248">
        <v>4</v>
      </c>
      <c r="E248" t="s">
        <v>2474</v>
      </c>
    </row>
    <row r="249" spans="1:5" x14ac:dyDescent="0.3">
      <c r="A249" t="s">
        <v>2009</v>
      </c>
      <c r="B249" t="s">
        <v>2469</v>
      </c>
      <c r="C249">
        <v>1518</v>
      </c>
      <c r="D249">
        <v>63</v>
      </c>
      <c r="E249" t="s">
        <v>2476</v>
      </c>
    </row>
    <row r="250" spans="1:5" x14ac:dyDescent="0.3">
      <c r="A250" t="s">
        <v>2008</v>
      </c>
      <c r="B250" t="s">
        <v>2469</v>
      </c>
      <c r="C250">
        <v>594</v>
      </c>
      <c r="D250">
        <v>11</v>
      </c>
      <c r="E250" t="s">
        <v>2468</v>
      </c>
    </row>
    <row r="251" spans="1:5" x14ac:dyDescent="0.3">
      <c r="A251" t="s">
        <v>2007</v>
      </c>
      <c r="B251" t="s">
        <v>2471</v>
      </c>
      <c r="C251">
        <v>1</v>
      </c>
      <c r="D251">
        <v>0</v>
      </c>
      <c r="E251" t="s">
        <v>2470</v>
      </c>
    </row>
    <row r="252" spans="1:5" x14ac:dyDescent="0.3">
      <c r="A252" t="s">
        <v>2006</v>
      </c>
      <c r="B252" t="s">
        <v>2469</v>
      </c>
      <c r="C252">
        <v>96</v>
      </c>
      <c r="D252">
        <v>2</v>
      </c>
      <c r="E252" t="s">
        <v>2476</v>
      </c>
    </row>
    <row r="253" spans="1:5" x14ac:dyDescent="0.3">
      <c r="A253" t="s">
        <v>2005</v>
      </c>
      <c r="B253" t="s">
        <v>2469</v>
      </c>
      <c r="C253">
        <v>776</v>
      </c>
      <c r="D253">
        <v>13</v>
      </c>
      <c r="E253" t="s">
        <v>2472</v>
      </c>
    </row>
    <row r="254" spans="1:5" x14ac:dyDescent="0.3">
      <c r="A254" t="s">
        <v>2004</v>
      </c>
      <c r="B254" t="s">
        <v>2471</v>
      </c>
      <c r="C254">
        <v>7</v>
      </c>
      <c r="D254">
        <v>0</v>
      </c>
      <c r="E254" t="s">
        <v>2470</v>
      </c>
    </row>
    <row r="255" spans="1:5" x14ac:dyDescent="0.3">
      <c r="A255" t="s">
        <v>2003</v>
      </c>
      <c r="B255" t="s">
        <v>2469</v>
      </c>
      <c r="C255">
        <v>408</v>
      </c>
      <c r="D255">
        <v>4</v>
      </c>
      <c r="E255" t="s">
        <v>2472</v>
      </c>
    </row>
    <row r="256" spans="1:5" x14ac:dyDescent="0.3">
      <c r="A256" t="s">
        <v>2002</v>
      </c>
      <c r="B256" t="s">
        <v>2469</v>
      </c>
      <c r="C256">
        <v>65</v>
      </c>
      <c r="D256">
        <v>2</v>
      </c>
      <c r="E256" t="s">
        <v>2468</v>
      </c>
    </row>
    <row r="257" spans="1:5" x14ac:dyDescent="0.3">
      <c r="A257" t="s">
        <v>2001</v>
      </c>
      <c r="B257" t="s">
        <v>2471</v>
      </c>
      <c r="C257">
        <v>17</v>
      </c>
      <c r="D257">
        <v>0</v>
      </c>
      <c r="E257" t="s">
        <v>2470</v>
      </c>
    </row>
    <row r="258" spans="1:5" x14ac:dyDescent="0.3">
      <c r="A258" t="s">
        <v>2000</v>
      </c>
      <c r="B258" t="s">
        <v>2469</v>
      </c>
      <c r="C258">
        <v>91</v>
      </c>
      <c r="D258">
        <v>3</v>
      </c>
      <c r="E258" t="s">
        <v>2468</v>
      </c>
    </row>
    <row r="259" spans="1:5" x14ac:dyDescent="0.3">
      <c r="A259" t="s">
        <v>1999</v>
      </c>
      <c r="B259" t="s">
        <v>2471</v>
      </c>
      <c r="C259">
        <v>20</v>
      </c>
      <c r="D259">
        <v>0</v>
      </c>
      <c r="E259" t="s">
        <v>2470</v>
      </c>
    </row>
    <row r="260" spans="1:5" x14ac:dyDescent="0.3">
      <c r="A260" t="s">
        <v>1998</v>
      </c>
      <c r="B260" t="s">
        <v>2473</v>
      </c>
      <c r="C260">
        <v>16</v>
      </c>
      <c r="D260">
        <v>2</v>
      </c>
      <c r="E260" t="s">
        <v>2468</v>
      </c>
    </row>
    <row r="261" spans="1:5" x14ac:dyDescent="0.3">
      <c r="A261" t="s">
        <v>1997</v>
      </c>
      <c r="B261" t="s">
        <v>2469</v>
      </c>
      <c r="C261">
        <v>188</v>
      </c>
      <c r="D261">
        <v>4</v>
      </c>
      <c r="E261" t="s">
        <v>2472</v>
      </c>
    </row>
    <row r="262" spans="1:5" x14ac:dyDescent="0.3">
      <c r="A262" t="s">
        <v>1996</v>
      </c>
      <c r="B262" t="s">
        <v>2469</v>
      </c>
      <c r="C262">
        <v>348</v>
      </c>
      <c r="D262">
        <v>4</v>
      </c>
      <c r="E262" t="s">
        <v>2468</v>
      </c>
    </row>
    <row r="263" spans="1:5" x14ac:dyDescent="0.3">
      <c r="A263" t="s">
        <v>1995</v>
      </c>
      <c r="B263" t="s">
        <v>2469</v>
      </c>
      <c r="C263">
        <v>255</v>
      </c>
      <c r="D263">
        <v>6</v>
      </c>
      <c r="E263" t="s">
        <v>2472</v>
      </c>
    </row>
    <row r="264" spans="1:5" x14ac:dyDescent="0.3">
      <c r="A264" t="s">
        <v>1994</v>
      </c>
      <c r="B264" t="s">
        <v>2471</v>
      </c>
      <c r="C264">
        <v>108</v>
      </c>
      <c r="D264">
        <v>0</v>
      </c>
      <c r="E264" t="s">
        <v>2470</v>
      </c>
    </row>
    <row r="265" spans="1:5" x14ac:dyDescent="0.3">
      <c r="A265" t="s">
        <v>1993</v>
      </c>
      <c r="B265" t="s">
        <v>2471</v>
      </c>
      <c r="C265">
        <v>7</v>
      </c>
      <c r="D265">
        <v>0</v>
      </c>
      <c r="E265" t="s">
        <v>2470</v>
      </c>
    </row>
    <row r="266" spans="1:5" x14ac:dyDescent="0.3">
      <c r="A266" t="s">
        <v>1992</v>
      </c>
      <c r="B266" t="s">
        <v>2471</v>
      </c>
      <c r="C266">
        <v>9</v>
      </c>
      <c r="D266">
        <v>0</v>
      </c>
      <c r="E266" t="s">
        <v>2470</v>
      </c>
    </row>
    <row r="267" spans="1:5" x14ac:dyDescent="0.3">
      <c r="A267" t="s">
        <v>1991</v>
      </c>
      <c r="B267" t="s">
        <v>2469</v>
      </c>
      <c r="C267">
        <v>192</v>
      </c>
      <c r="D267">
        <v>6</v>
      </c>
      <c r="E267" t="s">
        <v>2468</v>
      </c>
    </row>
    <row r="268" spans="1:5" x14ac:dyDescent="0.3">
      <c r="A268" t="s">
        <v>1990</v>
      </c>
      <c r="B268" t="s">
        <v>2469</v>
      </c>
      <c r="C268">
        <v>329</v>
      </c>
      <c r="D268">
        <v>6</v>
      </c>
      <c r="E268" t="s">
        <v>2474</v>
      </c>
    </row>
    <row r="269" spans="1:5" x14ac:dyDescent="0.3">
      <c r="A269" t="s">
        <v>1989</v>
      </c>
      <c r="B269" t="s">
        <v>2469</v>
      </c>
      <c r="C269">
        <v>76</v>
      </c>
      <c r="D269">
        <v>1</v>
      </c>
      <c r="E269" t="s">
        <v>2474</v>
      </c>
    </row>
    <row r="270" spans="1:5" x14ac:dyDescent="0.3">
      <c r="A270" t="s">
        <v>1988</v>
      </c>
      <c r="B270" t="s">
        <v>2469</v>
      </c>
      <c r="C270">
        <v>38</v>
      </c>
      <c r="D270">
        <v>1</v>
      </c>
      <c r="E270" t="s">
        <v>2475</v>
      </c>
    </row>
    <row r="271" spans="1:5" x14ac:dyDescent="0.3">
      <c r="A271" t="s">
        <v>1987</v>
      </c>
      <c r="B271" t="s">
        <v>2471</v>
      </c>
      <c r="C271">
        <v>2</v>
      </c>
      <c r="D271">
        <v>0</v>
      </c>
      <c r="E271" t="s">
        <v>2470</v>
      </c>
    </row>
    <row r="272" spans="1:5" x14ac:dyDescent="0.3">
      <c r="A272" t="s">
        <v>1986</v>
      </c>
      <c r="B272" t="s">
        <v>2473</v>
      </c>
      <c r="C272">
        <v>170</v>
      </c>
      <c r="D272">
        <v>24</v>
      </c>
      <c r="E272" t="s">
        <v>2472</v>
      </c>
    </row>
    <row r="273" spans="1:5" x14ac:dyDescent="0.3">
      <c r="A273" t="s">
        <v>1985</v>
      </c>
      <c r="B273" t="s">
        <v>2469</v>
      </c>
      <c r="C273">
        <v>171</v>
      </c>
      <c r="D273">
        <v>1</v>
      </c>
      <c r="E273" t="s">
        <v>2475</v>
      </c>
    </row>
    <row r="274" spans="1:5" x14ac:dyDescent="0.3">
      <c r="A274" t="s">
        <v>1984</v>
      </c>
      <c r="B274" t="s">
        <v>2473</v>
      </c>
      <c r="C274">
        <v>117</v>
      </c>
      <c r="D274">
        <v>8</v>
      </c>
      <c r="E274" t="s">
        <v>2474</v>
      </c>
    </row>
    <row r="275" spans="1:5" x14ac:dyDescent="0.3">
      <c r="A275" t="s">
        <v>1983</v>
      </c>
      <c r="B275" t="s">
        <v>2469</v>
      </c>
      <c r="C275">
        <v>611</v>
      </c>
      <c r="D275">
        <v>14</v>
      </c>
      <c r="E275" t="s">
        <v>2474</v>
      </c>
    </row>
    <row r="276" spans="1:5" x14ac:dyDescent="0.3">
      <c r="A276" t="s">
        <v>1982</v>
      </c>
      <c r="B276" t="s">
        <v>2471</v>
      </c>
      <c r="C276">
        <v>52</v>
      </c>
      <c r="D276">
        <v>0</v>
      </c>
      <c r="E276" t="s">
        <v>2470</v>
      </c>
    </row>
    <row r="277" spans="1:5" x14ac:dyDescent="0.3">
      <c r="A277" t="s">
        <v>1981</v>
      </c>
      <c r="B277" t="s">
        <v>2473</v>
      </c>
      <c r="C277">
        <v>324</v>
      </c>
      <c r="D277">
        <v>21</v>
      </c>
      <c r="E277" t="s">
        <v>2476</v>
      </c>
    </row>
    <row r="278" spans="1:5" x14ac:dyDescent="0.3">
      <c r="A278" t="s">
        <v>1980</v>
      </c>
      <c r="B278" t="s">
        <v>2471</v>
      </c>
      <c r="C278">
        <v>10</v>
      </c>
      <c r="D278">
        <v>0</v>
      </c>
      <c r="E278" t="s">
        <v>2470</v>
      </c>
    </row>
    <row r="279" spans="1:5" x14ac:dyDescent="0.3">
      <c r="A279" t="s">
        <v>1979</v>
      </c>
      <c r="B279" t="s">
        <v>2469</v>
      </c>
      <c r="C279">
        <v>477</v>
      </c>
      <c r="D279">
        <v>8</v>
      </c>
      <c r="E279" t="s">
        <v>2475</v>
      </c>
    </row>
    <row r="280" spans="1:5" x14ac:dyDescent="0.3">
      <c r="A280" t="s">
        <v>1978</v>
      </c>
      <c r="B280" t="s">
        <v>2473</v>
      </c>
      <c r="C280">
        <v>30</v>
      </c>
      <c r="D280">
        <v>2</v>
      </c>
      <c r="E280" t="s">
        <v>2468</v>
      </c>
    </row>
    <row r="281" spans="1:5" x14ac:dyDescent="0.3">
      <c r="A281" t="s">
        <v>1977</v>
      </c>
      <c r="B281" t="s">
        <v>2471</v>
      </c>
      <c r="C281">
        <v>24</v>
      </c>
      <c r="D281">
        <v>0</v>
      </c>
      <c r="E281" t="s">
        <v>2470</v>
      </c>
    </row>
    <row r="282" spans="1:5" x14ac:dyDescent="0.3">
      <c r="A282" t="s">
        <v>1976</v>
      </c>
      <c r="B282" t="s">
        <v>2469</v>
      </c>
      <c r="C282">
        <v>217</v>
      </c>
      <c r="D282">
        <v>4</v>
      </c>
      <c r="E282" t="s">
        <v>2474</v>
      </c>
    </row>
    <row r="283" spans="1:5" x14ac:dyDescent="0.3">
      <c r="A283" t="s">
        <v>1975</v>
      </c>
      <c r="B283" t="s">
        <v>2469</v>
      </c>
      <c r="C283">
        <v>612</v>
      </c>
      <c r="D283">
        <v>24</v>
      </c>
      <c r="E283" t="s">
        <v>2472</v>
      </c>
    </row>
    <row r="284" spans="1:5" x14ac:dyDescent="0.3">
      <c r="A284" t="s">
        <v>1974</v>
      </c>
      <c r="B284" t="s">
        <v>2469</v>
      </c>
      <c r="C284">
        <v>173</v>
      </c>
      <c r="D284">
        <v>6</v>
      </c>
      <c r="E284" t="s">
        <v>2475</v>
      </c>
    </row>
    <row r="285" spans="1:5" x14ac:dyDescent="0.3">
      <c r="A285" t="s">
        <v>1973</v>
      </c>
      <c r="B285" t="s">
        <v>2469</v>
      </c>
      <c r="C285">
        <v>446</v>
      </c>
      <c r="D285">
        <v>6</v>
      </c>
      <c r="E285" t="s">
        <v>2472</v>
      </c>
    </row>
    <row r="286" spans="1:5" x14ac:dyDescent="0.3">
      <c r="A286" t="s">
        <v>1972</v>
      </c>
      <c r="B286" t="s">
        <v>2469</v>
      </c>
      <c r="C286">
        <v>167</v>
      </c>
      <c r="D286">
        <v>5</v>
      </c>
      <c r="E286" t="s">
        <v>2476</v>
      </c>
    </row>
    <row r="287" spans="1:5" x14ac:dyDescent="0.3">
      <c r="A287" t="s">
        <v>1971</v>
      </c>
      <c r="B287" t="s">
        <v>2469</v>
      </c>
      <c r="C287">
        <v>541</v>
      </c>
      <c r="D287">
        <v>8</v>
      </c>
      <c r="E287" t="s">
        <v>2474</v>
      </c>
    </row>
    <row r="288" spans="1:5" x14ac:dyDescent="0.3">
      <c r="A288" t="s">
        <v>1970</v>
      </c>
      <c r="B288" t="s">
        <v>2469</v>
      </c>
      <c r="C288">
        <v>729</v>
      </c>
      <c r="D288">
        <v>35</v>
      </c>
      <c r="E288" t="s">
        <v>2475</v>
      </c>
    </row>
    <row r="289" spans="1:5" x14ac:dyDescent="0.3">
      <c r="A289" t="s">
        <v>1969</v>
      </c>
      <c r="B289" t="s">
        <v>2469</v>
      </c>
      <c r="C289">
        <v>133</v>
      </c>
      <c r="D289">
        <v>3</v>
      </c>
      <c r="E289" t="s">
        <v>2475</v>
      </c>
    </row>
    <row r="290" spans="1:5" x14ac:dyDescent="0.3">
      <c r="A290" t="s">
        <v>1968</v>
      </c>
      <c r="B290" t="s">
        <v>2469</v>
      </c>
      <c r="C290">
        <v>126</v>
      </c>
      <c r="D290">
        <v>1</v>
      </c>
      <c r="E290" t="s">
        <v>2472</v>
      </c>
    </row>
    <row r="291" spans="1:5" x14ac:dyDescent="0.3">
      <c r="A291" t="s">
        <v>1967</v>
      </c>
      <c r="B291" t="s">
        <v>2469</v>
      </c>
      <c r="C291">
        <v>347</v>
      </c>
      <c r="D291">
        <v>7</v>
      </c>
      <c r="E291" t="s">
        <v>2468</v>
      </c>
    </row>
    <row r="292" spans="1:5" x14ac:dyDescent="0.3">
      <c r="A292" t="s">
        <v>1966</v>
      </c>
      <c r="B292" t="s">
        <v>2469</v>
      </c>
      <c r="C292">
        <v>179</v>
      </c>
      <c r="D292">
        <v>7</v>
      </c>
      <c r="E292" t="s">
        <v>2476</v>
      </c>
    </row>
    <row r="293" spans="1:5" x14ac:dyDescent="0.3">
      <c r="A293" t="s">
        <v>1965</v>
      </c>
      <c r="B293" t="s">
        <v>2469</v>
      </c>
      <c r="C293">
        <v>391</v>
      </c>
      <c r="D293">
        <v>6</v>
      </c>
      <c r="E293" t="s">
        <v>2472</v>
      </c>
    </row>
    <row r="294" spans="1:5" x14ac:dyDescent="0.3">
      <c r="A294" t="s">
        <v>1964</v>
      </c>
      <c r="B294" t="s">
        <v>2469</v>
      </c>
      <c r="C294">
        <v>134</v>
      </c>
      <c r="D294">
        <v>1</v>
      </c>
      <c r="E294" t="s">
        <v>2475</v>
      </c>
    </row>
    <row r="295" spans="1:5" x14ac:dyDescent="0.3">
      <c r="A295" t="s">
        <v>1963</v>
      </c>
      <c r="B295" t="s">
        <v>2469</v>
      </c>
      <c r="C295">
        <v>58</v>
      </c>
      <c r="D295">
        <v>1</v>
      </c>
      <c r="E295" t="s">
        <v>2472</v>
      </c>
    </row>
    <row r="296" spans="1:5" x14ac:dyDescent="0.3">
      <c r="A296" t="s">
        <v>1962</v>
      </c>
      <c r="B296" t="s">
        <v>2471</v>
      </c>
      <c r="C296">
        <v>14</v>
      </c>
      <c r="D296">
        <v>0</v>
      </c>
      <c r="E296" t="s">
        <v>2470</v>
      </c>
    </row>
    <row r="297" spans="1:5" x14ac:dyDescent="0.3">
      <c r="A297" t="s">
        <v>1961</v>
      </c>
      <c r="B297" t="s">
        <v>2469</v>
      </c>
      <c r="C297">
        <v>43</v>
      </c>
      <c r="D297">
        <v>1</v>
      </c>
      <c r="E297" t="s">
        <v>2468</v>
      </c>
    </row>
    <row r="298" spans="1:5" x14ac:dyDescent="0.3">
      <c r="A298" t="s">
        <v>1960</v>
      </c>
      <c r="B298" t="s">
        <v>2471</v>
      </c>
      <c r="C298">
        <v>4</v>
      </c>
      <c r="D298">
        <v>0</v>
      </c>
      <c r="E298" t="s">
        <v>2470</v>
      </c>
    </row>
    <row r="299" spans="1:5" x14ac:dyDescent="0.3">
      <c r="A299" t="s">
        <v>1959</v>
      </c>
      <c r="B299" t="s">
        <v>2471</v>
      </c>
      <c r="C299">
        <v>35</v>
      </c>
      <c r="D299">
        <v>0</v>
      </c>
      <c r="E299" t="s">
        <v>2470</v>
      </c>
    </row>
    <row r="300" spans="1:5" x14ac:dyDescent="0.3">
      <c r="A300" t="s">
        <v>1958</v>
      </c>
      <c r="B300" t="s">
        <v>2469</v>
      </c>
      <c r="C300">
        <v>44</v>
      </c>
      <c r="D300">
        <v>1</v>
      </c>
      <c r="E300" t="s">
        <v>2475</v>
      </c>
    </row>
    <row r="301" spans="1:5" x14ac:dyDescent="0.3">
      <c r="A301" t="s">
        <v>1957</v>
      </c>
      <c r="B301" t="s">
        <v>2469</v>
      </c>
      <c r="C301">
        <v>81</v>
      </c>
      <c r="D301">
        <v>1</v>
      </c>
      <c r="E301" t="s">
        <v>2472</v>
      </c>
    </row>
    <row r="302" spans="1:5" x14ac:dyDescent="0.3">
      <c r="A302" t="s">
        <v>1956</v>
      </c>
      <c r="B302" t="s">
        <v>2471</v>
      </c>
      <c r="C302">
        <v>25</v>
      </c>
      <c r="D302">
        <v>0</v>
      </c>
      <c r="E302" t="s">
        <v>2470</v>
      </c>
    </row>
    <row r="303" spans="1:5" x14ac:dyDescent="0.3">
      <c r="A303" t="s">
        <v>1955</v>
      </c>
      <c r="B303" t="s">
        <v>2469</v>
      </c>
      <c r="C303">
        <v>691</v>
      </c>
      <c r="D303">
        <v>12</v>
      </c>
      <c r="E303" t="s">
        <v>2472</v>
      </c>
    </row>
    <row r="304" spans="1:5" x14ac:dyDescent="0.3">
      <c r="A304" t="s">
        <v>1954</v>
      </c>
      <c r="B304" t="s">
        <v>2469</v>
      </c>
      <c r="C304">
        <v>436</v>
      </c>
      <c r="D304">
        <v>10</v>
      </c>
      <c r="E304" t="s">
        <v>2474</v>
      </c>
    </row>
    <row r="305" spans="1:5" x14ac:dyDescent="0.3">
      <c r="A305" t="s">
        <v>1953</v>
      </c>
      <c r="B305" t="s">
        <v>2469</v>
      </c>
      <c r="C305">
        <v>642</v>
      </c>
      <c r="D305">
        <v>9</v>
      </c>
      <c r="E305" t="s">
        <v>2475</v>
      </c>
    </row>
    <row r="306" spans="1:5" x14ac:dyDescent="0.3">
      <c r="A306" t="s">
        <v>1952</v>
      </c>
      <c r="B306" t="s">
        <v>2469</v>
      </c>
      <c r="C306">
        <v>82</v>
      </c>
      <c r="D306">
        <v>1</v>
      </c>
      <c r="E306" t="s">
        <v>2475</v>
      </c>
    </row>
    <row r="307" spans="1:5" x14ac:dyDescent="0.3">
      <c r="A307" t="s">
        <v>1951</v>
      </c>
      <c r="B307" t="s">
        <v>2469</v>
      </c>
      <c r="C307">
        <v>196</v>
      </c>
      <c r="D307">
        <v>10</v>
      </c>
      <c r="E307" t="s">
        <v>2474</v>
      </c>
    </row>
    <row r="308" spans="1:5" x14ac:dyDescent="0.3">
      <c r="A308" t="s">
        <v>1950</v>
      </c>
      <c r="B308" t="s">
        <v>2473</v>
      </c>
      <c r="C308">
        <v>101</v>
      </c>
      <c r="D308">
        <v>9</v>
      </c>
      <c r="E308" t="s">
        <v>2468</v>
      </c>
    </row>
    <row r="309" spans="1:5" x14ac:dyDescent="0.3">
      <c r="A309" t="s">
        <v>1949</v>
      </c>
      <c r="B309" t="s">
        <v>2469</v>
      </c>
      <c r="C309">
        <v>579</v>
      </c>
      <c r="D309">
        <v>21</v>
      </c>
      <c r="E309" t="s">
        <v>2474</v>
      </c>
    </row>
    <row r="310" spans="1:5" x14ac:dyDescent="0.3">
      <c r="A310" t="s">
        <v>1948</v>
      </c>
      <c r="B310" t="s">
        <v>2471</v>
      </c>
      <c r="C310">
        <v>24</v>
      </c>
      <c r="D310">
        <v>0</v>
      </c>
      <c r="E310" t="s">
        <v>2470</v>
      </c>
    </row>
    <row r="311" spans="1:5" x14ac:dyDescent="0.3">
      <c r="A311" t="s">
        <v>1947</v>
      </c>
      <c r="B311" t="s">
        <v>2469</v>
      </c>
      <c r="C311">
        <v>309</v>
      </c>
      <c r="D311">
        <v>6</v>
      </c>
      <c r="E311" t="s">
        <v>2472</v>
      </c>
    </row>
    <row r="312" spans="1:5" x14ac:dyDescent="0.3">
      <c r="A312" t="s">
        <v>1946</v>
      </c>
      <c r="B312" t="s">
        <v>2469</v>
      </c>
      <c r="C312">
        <v>79</v>
      </c>
      <c r="D312">
        <v>1</v>
      </c>
      <c r="E312" t="s">
        <v>2475</v>
      </c>
    </row>
    <row r="313" spans="1:5" x14ac:dyDescent="0.3">
      <c r="A313" t="s">
        <v>1945</v>
      </c>
      <c r="B313" t="s">
        <v>2469</v>
      </c>
      <c r="C313">
        <v>136</v>
      </c>
      <c r="D313">
        <v>1</v>
      </c>
      <c r="E313" t="s">
        <v>2475</v>
      </c>
    </row>
    <row r="314" spans="1:5" x14ac:dyDescent="0.3">
      <c r="A314" t="s">
        <v>1944</v>
      </c>
      <c r="B314" t="s">
        <v>2471</v>
      </c>
      <c r="C314">
        <v>5</v>
      </c>
      <c r="D314">
        <v>0</v>
      </c>
      <c r="E314" t="s">
        <v>2470</v>
      </c>
    </row>
    <row r="315" spans="1:5" x14ac:dyDescent="0.3">
      <c r="A315" t="s">
        <v>1943</v>
      </c>
      <c r="B315" t="s">
        <v>2469</v>
      </c>
      <c r="C315">
        <v>60</v>
      </c>
      <c r="D315">
        <v>2</v>
      </c>
      <c r="E315" t="s">
        <v>2474</v>
      </c>
    </row>
    <row r="316" spans="1:5" x14ac:dyDescent="0.3">
      <c r="A316" t="s">
        <v>1942</v>
      </c>
      <c r="B316" t="s">
        <v>2471</v>
      </c>
      <c r="C316">
        <v>19</v>
      </c>
      <c r="D316">
        <v>0</v>
      </c>
      <c r="E316" t="s">
        <v>2470</v>
      </c>
    </row>
    <row r="317" spans="1:5" x14ac:dyDescent="0.3">
      <c r="A317" t="s">
        <v>1941</v>
      </c>
      <c r="B317" t="s">
        <v>2469</v>
      </c>
      <c r="C317">
        <v>126</v>
      </c>
      <c r="D317">
        <v>3</v>
      </c>
      <c r="E317" t="s">
        <v>2475</v>
      </c>
    </row>
    <row r="318" spans="1:5" x14ac:dyDescent="0.3">
      <c r="A318" t="s">
        <v>1940</v>
      </c>
      <c r="B318" t="s">
        <v>2469</v>
      </c>
      <c r="C318">
        <v>455</v>
      </c>
      <c r="D318">
        <v>5</v>
      </c>
      <c r="E318" t="s">
        <v>2468</v>
      </c>
    </row>
    <row r="319" spans="1:5" x14ac:dyDescent="0.3">
      <c r="A319" t="s">
        <v>1939</v>
      </c>
      <c r="B319" t="s">
        <v>2469</v>
      </c>
      <c r="C319">
        <v>420</v>
      </c>
      <c r="D319">
        <v>7</v>
      </c>
      <c r="E319" t="s">
        <v>2468</v>
      </c>
    </row>
    <row r="320" spans="1:5" x14ac:dyDescent="0.3">
      <c r="A320" t="s">
        <v>1938</v>
      </c>
      <c r="B320" t="s">
        <v>2469</v>
      </c>
      <c r="C320">
        <v>158</v>
      </c>
      <c r="D320">
        <v>3</v>
      </c>
      <c r="E320" t="s">
        <v>2474</v>
      </c>
    </row>
    <row r="321" spans="1:5" x14ac:dyDescent="0.3">
      <c r="A321" t="s">
        <v>1937</v>
      </c>
      <c r="B321" t="s">
        <v>2469</v>
      </c>
      <c r="C321">
        <v>66</v>
      </c>
      <c r="D321">
        <v>3</v>
      </c>
      <c r="E321" t="s">
        <v>2468</v>
      </c>
    </row>
    <row r="322" spans="1:5" x14ac:dyDescent="0.3">
      <c r="A322" t="s">
        <v>1936</v>
      </c>
      <c r="B322" t="s">
        <v>2473</v>
      </c>
      <c r="C322">
        <v>410</v>
      </c>
      <c r="D322">
        <v>25</v>
      </c>
      <c r="E322" t="s">
        <v>2472</v>
      </c>
    </row>
    <row r="323" spans="1:5" x14ac:dyDescent="0.3">
      <c r="A323" t="s">
        <v>1935</v>
      </c>
      <c r="B323" t="s">
        <v>2469</v>
      </c>
      <c r="C323">
        <v>45</v>
      </c>
      <c r="D323">
        <v>1</v>
      </c>
      <c r="E323" t="s">
        <v>2476</v>
      </c>
    </row>
    <row r="324" spans="1:5" x14ac:dyDescent="0.3">
      <c r="A324" t="s">
        <v>1934</v>
      </c>
      <c r="B324" t="s">
        <v>2469</v>
      </c>
      <c r="C324">
        <v>424</v>
      </c>
      <c r="D324">
        <v>7</v>
      </c>
      <c r="E324" t="s">
        <v>2474</v>
      </c>
    </row>
    <row r="325" spans="1:5" x14ac:dyDescent="0.3">
      <c r="A325" t="s">
        <v>1933</v>
      </c>
      <c r="B325" t="s">
        <v>2469</v>
      </c>
      <c r="C325">
        <v>152</v>
      </c>
      <c r="D325">
        <v>3</v>
      </c>
      <c r="E325" t="s">
        <v>2472</v>
      </c>
    </row>
    <row r="326" spans="1:5" x14ac:dyDescent="0.3">
      <c r="A326" t="s">
        <v>1932</v>
      </c>
      <c r="B326" t="s">
        <v>2471</v>
      </c>
      <c r="C326">
        <v>110</v>
      </c>
      <c r="D326">
        <v>0</v>
      </c>
      <c r="E326" t="s">
        <v>2470</v>
      </c>
    </row>
    <row r="327" spans="1:5" x14ac:dyDescent="0.3">
      <c r="A327" t="s">
        <v>1931</v>
      </c>
      <c r="B327" t="s">
        <v>2469</v>
      </c>
      <c r="C327">
        <v>641</v>
      </c>
      <c r="D327">
        <v>7</v>
      </c>
      <c r="E327" t="s">
        <v>2472</v>
      </c>
    </row>
    <row r="328" spans="1:5" x14ac:dyDescent="0.3">
      <c r="A328" t="s">
        <v>1930</v>
      </c>
      <c r="B328" t="s">
        <v>2469</v>
      </c>
      <c r="C328">
        <v>100</v>
      </c>
      <c r="D328">
        <v>1</v>
      </c>
      <c r="E328" t="s">
        <v>2472</v>
      </c>
    </row>
    <row r="329" spans="1:5" x14ac:dyDescent="0.3">
      <c r="A329" t="s">
        <v>1929</v>
      </c>
      <c r="B329" t="s">
        <v>2473</v>
      </c>
      <c r="C329">
        <v>709</v>
      </c>
      <c r="D329">
        <v>43</v>
      </c>
      <c r="E329" t="s">
        <v>2476</v>
      </c>
    </row>
    <row r="330" spans="1:5" x14ac:dyDescent="0.3">
      <c r="A330" t="s">
        <v>1928</v>
      </c>
      <c r="B330" t="s">
        <v>2473</v>
      </c>
      <c r="C330">
        <v>783</v>
      </c>
      <c r="D330">
        <v>45</v>
      </c>
      <c r="E330" t="s">
        <v>2468</v>
      </c>
    </row>
    <row r="331" spans="1:5" x14ac:dyDescent="0.3">
      <c r="A331" t="s">
        <v>1927</v>
      </c>
      <c r="B331" t="s">
        <v>2471</v>
      </c>
      <c r="C331">
        <v>14</v>
      </c>
      <c r="D331">
        <v>0</v>
      </c>
      <c r="E331" t="s">
        <v>2470</v>
      </c>
    </row>
    <row r="332" spans="1:5" x14ac:dyDescent="0.3">
      <c r="A332" t="s">
        <v>1926</v>
      </c>
      <c r="B332" t="s">
        <v>2471</v>
      </c>
      <c r="C332">
        <v>6</v>
      </c>
      <c r="D332">
        <v>0</v>
      </c>
      <c r="E332" t="s">
        <v>2470</v>
      </c>
    </row>
    <row r="333" spans="1:5" x14ac:dyDescent="0.3">
      <c r="A333" t="s">
        <v>1925</v>
      </c>
      <c r="B333" t="s">
        <v>2469</v>
      </c>
      <c r="C333">
        <v>1486</v>
      </c>
      <c r="D333">
        <v>19</v>
      </c>
      <c r="E333" t="s">
        <v>2474</v>
      </c>
    </row>
    <row r="334" spans="1:5" x14ac:dyDescent="0.3">
      <c r="A334" t="s">
        <v>1924</v>
      </c>
      <c r="B334" t="s">
        <v>2469</v>
      </c>
      <c r="C334">
        <v>114</v>
      </c>
      <c r="D334">
        <v>2</v>
      </c>
      <c r="E334" t="s">
        <v>2468</v>
      </c>
    </row>
    <row r="335" spans="1:5" x14ac:dyDescent="0.3">
      <c r="A335" t="s">
        <v>1923</v>
      </c>
      <c r="B335" t="s">
        <v>2469</v>
      </c>
      <c r="C335">
        <v>343</v>
      </c>
      <c r="D335">
        <v>7</v>
      </c>
      <c r="E335" t="s">
        <v>2476</v>
      </c>
    </row>
    <row r="336" spans="1:5" x14ac:dyDescent="0.3">
      <c r="A336" t="s">
        <v>1922</v>
      </c>
      <c r="B336" t="s">
        <v>2469</v>
      </c>
      <c r="C336">
        <v>106</v>
      </c>
      <c r="D336">
        <v>1</v>
      </c>
      <c r="E336" t="s">
        <v>2474</v>
      </c>
    </row>
    <row r="337" spans="1:5" x14ac:dyDescent="0.3">
      <c r="A337" t="s">
        <v>1921</v>
      </c>
      <c r="B337" t="s">
        <v>2471</v>
      </c>
      <c r="C337">
        <v>6</v>
      </c>
      <c r="D337">
        <v>0</v>
      </c>
      <c r="E337" t="s">
        <v>2470</v>
      </c>
    </row>
    <row r="338" spans="1:5" x14ac:dyDescent="0.3">
      <c r="A338" t="s">
        <v>1920</v>
      </c>
      <c r="B338" t="s">
        <v>2469</v>
      </c>
      <c r="C338">
        <v>138</v>
      </c>
      <c r="D338">
        <v>1</v>
      </c>
      <c r="E338" t="s">
        <v>2474</v>
      </c>
    </row>
    <row r="339" spans="1:5" x14ac:dyDescent="0.3">
      <c r="A339" t="s">
        <v>1919</v>
      </c>
      <c r="B339" t="s">
        <v>2469</v>
      </c>
      <c r="C339">
        <v>170</v>
      </c>
      <c r="D339">
        <v>1</v>
      </c>
      <c r="E339" t="s">
        <v>2468</v>
      </c>
    </row>
    <row r="340" spans="1:5" x14ac:dyDescent="0.3">
      <c r="A340" t="s">
        <v>1918</v>
      </c>
      <c r="B340" t="s">
        <v>2473</v>
      </c>
      <c r="C340">
        <v>15</v>
      </c>
      <c r="D340">
        <v>1</v>
      </c>
      <c r="E340" t="s">
        <v>2468</v>
      </c>
    </row>
    <row r="341" spans="1:5" x14ac:dyDescent="0.3">
      <c r="A341" t="s">
        <v>1917</v>
      </c>
      <c r="B341" t="s">
        <v>2471</v>
      </c>
      <c r="C341">
        <v>10</v>
      </c>
      <c r="D341">
        <v>0</v>
      </c>
      <c r="E341" t="s">
        <v>2470</v>
      </c>
    </row>
    <row r="342" spans="1:5" x14ac:dyDescent="0.3">
      <c r="A342" t="s">
        <v>1916</v>
      </c>
      <c r="B342" t="s">
        <v>2469</v>
      </c>
      <c r="C342">
        <v>291</v>
      </c>
      <c r="D342">
        <v>5</v>
      </c>
      <c r="E342" t="s">
        <v>2468</v>
      </c>
    </row>
    <row r="343" spans="1:5" x14ac:dyDescent="0.3">
      <c r="A343" t="s">
        <v>1915</v>
      </c>
      <c r="B343" t="s">
        <v>2469</v>
      </c>
      <c r="C343">
        <v>52</v>
      </c>
      <c r="D343">
        <v>2</v>
      </c>
      <c r="E343" t="s">
        <v>2475</v>
      </c>
    </row>
    <row r="344" spans="1:5" x14ac:dyDescent="0.3">
      <c r="A344" t="s">
        <v>1914</v>
      </c>
      <c r="B344" t="s">
        <v>2471</v>
      </c>
      <c r="C344">
        <v>13</v>
      </c>
      <c r="D344">
        <v>0</v>
      </c>
      <c r="E344" t="s">
        <v>2470</v>
      </c>
    </row>
    <row r="345" spans="1:5" x14ac:dyDescent="0.3">
      <c r="A345" t="s">
        <v>1913</v>
      </c>
      <c r="B345" t="s">
        <v>2469</v>
      </c>
      <c r="C345">
        <v>135</v>
      </c>
      <c r="D345">
        <v>1</v>
      </c>
      <c r="E345" t="s">
        <v>2468</v>
      </c>
    </row>
    <row r="346" spans="1:5" x14ac:dyDescent="0.3">
      <c r="A346" t="s">
        <v>1912</v>
      </c>
      <c r="B346" t="s">
        <v>2471</v>
      </c>
      <c r="C346">
        <v>15</v>
      </c>
      <c r="D346">
        <v>0</v>
      </c>
      <c r="E346" t="s">
        <v>2470</v>
      </c>
    </row>
    <row r="347" spans="1:5" x14ac:dyDescent="0.3">
      <c r="A347" t="s">
        <v>1911</v>
      </c>
      <c r="B347" t="s">
        <v>2473</v>
      </c>
      <c r="C347">
        <v>5</v>
      </c>
      <c r="D347">
        <v>1</v>
      </c>
      <c r="E347" t="s">
        <v>2476</v>
      </c>
    </row>
    <row r="348" spans="1:5" x14ac:dyDescent="0.3">
      <c r="A348" t="s">
        <v>1910</v>
      </c>
      <c r="B348" t="s">
        <v>2469</v>
      </c>
      <c r="C348">
        <v>406</v>
      </c>
      <c r="D348">
        <v>17</v>
      </c>
      <c r="E348" t="s">
        <v>2475</v>
      </c>
    </row>
    <row r="349" spans="1:5" x14ac:dyDescent="0.3">
      <c r="A349" t="s">
        <v>1909</v>
      </c>
      <c r="B349" t="s">
        <v>2469</v>
      </c>
      <c r="C349">
        <v>188</v>
      </c>
      <c r="D349">
        <v>1</v>
      </c>
      <c r="E349" t="s">
        <v>2475</v>
      </c>
    </row>
    <row r="350" spans="1:5" x14ac:dyDescent="0.3">
      <c r="A350" t="s">
        <v>1908</v>
      </c>
      <c r="B350" t="s">
        <v>2471</v>
      </c>
      <c r="C350">
        <v>6</v>
      </c>
      <c r="D350">
        <v>0</v>
      </c>
      <c r="E350" t="s">
        <v>2470</v>
      </c>
    </row>
    <row r="351" spans="1:5" x14ac:dyDescent="0.3">
      <c r="A351" t="s">
        <v>1907</v>
      </c>
      <c r="B351" t="s">
        <v>2469</v>
      </c>
      <c r="C351">
        <v>456</v>
      </c>
      <c r="D351">
        <v>7</v>
      </c>
      <c r="E351" t="s">
        <v>2474</v>
      </c>
    </row>
    <row r="352" spans="1:5" x14ac:dyDescent="0.3">
      <c r="A352" t="s">
        <v>1906</v>
      </c>
      <c r="B352" t="s">
        <v>2471</v>
      </c>
      <c r="C352">
        <v>18</v>
      </c>
      <c r="D352">
        <v>0</v>
      </c>
      <c r="E352" t="s">
        <v>2470</v>
      </c>
    </row>
    <row r="353" spans="1:5" x14ac:dyDescent="0.3">
      <c r="A353" t="s">
        <v>1905</v>
      </c>
      <c r="B353" t="s">
        <v>2471</v>
      </c>
      <c r="C353">
        <v>3</v>
      </c>
      <c r="D353">
        <v>0</v>
      </c>
      <c r="E353" t="s">
        <v>2470</v>
      </c>
    </row>
    <row r="354" spans="1:5" x14ac:dyDescent="0.3">
      <c r="A354" t="s">
        <v>1904</v>
      </c>
      <c r="B354" t="s">
        <v>2471</v>
      </c>
      <c r="C354">
        <v>6</v>
      </c>
      <c r="D354">
        <v>0</v>
      </c>
      <c r="E354" t="s">
        <v>2470</v>
      </c>
    </row>
    <row r="355" spans="1:5" x14ac:dyDescent="0.3">
      <c r="A355" t="s">
        <v>1903</v>
      </c>
      <c r="B355" t="s">
        <v>2473</v>
      </c>
      <c r="C355">
        <v>148</v>
      </c>
      <c r="D355">
        <v>12</v>
      </c>
      <c r="E355" t="s">
        <v>2472</v>
      </c>
    </row>
    <row r="356" spans="1:5" x14ac:dyDescent="0.3">
      <c r="A356" t="s">
        <v>1902</v>
      </c>
      <c r="B356" t="s">
        <v>2469</v>
      </c>
      <c r="C356">
        <v>134</v>
      </c>
      <c r="D356">
        <v>2</v>
      </c>
      <c r="E356" t="s">
        <v>2474</v>
      </c>
    </row>
    <row r="357" spans="1:5" x14ac:dyDescent="0.3">
      <c r="A357" t="s">
        <v>1901</v>
      </c>
      <c r="B357" t="s">
        <v>2469</v>
      </c>
      <c r="C357">
        <v>621</v>
      </c>
      <c r="D357">
        <v>20</v>
      </c>
      <c r="E357" t="s">
        <v>2474</v>
      </c>
    </row>
    <row r="358" spans="1:5" x14ac:dyDescent="0.3">
      <c r="A358" t="s">
        <v>1900</v>
      </c>
      <c r="B358" t="s">
        <v>2469</v>
      </c>
      <c r="C358">
        <v>369</v>
      </c>
      <c r="D358">
        <v>7</v>
      </c>
      <c r="E358" t="s">
        <v>2472</v>
      </c>
    </row>
    <row r="359" spans="1:5" x14ac:dyDescent="0.3">
      <c r="A359" t="s">
        <v>1899</v>
      </c>
      <c r="B359" t="s">
        <v>2469</v>
      </c>
      <c r="C359">
        <v>606</v>
      </c>
      <c r="D359">
        <v>4</v>
      </c>
      <c r="E359" t="s">
        <v>2475</v>
      </c>
    </row>
    <row r="360" spans="1:5" x14ac:dyDescent="0.3">
      <c r="A360" t="s">
        <v>1898</v>
      </c>
      <c r="B360" t="s">
        <v>2469</v>
      </c>
      <c r="C360">
        <v>51</v>
      </c>
      <c r="D360">
        <v>1</v>
      </c>
      <c r="E360" t="s">
        <v>2474</v>
      </c>
    </row>
    <row r="361" spans="1:5" x14ac:dyDescent="0.3">
      <c r="A361" t="s">
        <v>1897</v>
      </c>
      <c r="B361" t="s">
        <v>2469</v>
      </c>
      <c r="C361">
        <v>607</v>
      </c>
      <c r="D361">
        <v>10</v>
      </c>
      <c r="E361" t="s">
        <v>2474</v>
      </c>
    </row>
    <row r="362" spans="1:5" x14ac:dyDescent="0.3">
      <c r="A362" t="s">
        <v>1896</v>
      </c>
      <c r="B362" t="s">
        <v>2473</v>
      </c>
      <c r="C362">
        <v>516</v>
      </c>
      <c r="D362">
        <v>28</v>
      </c>
      <c r="E362" t="s">
        <v>2474</v>
      </c>
    </row>
    <row r="363" spans="1:5" x14ac:dyDescent="0.3">
      <c r="A363" t="s">
        <v>1895</v>
      </c>
      <c r="B363" t="s">
        <v>2469</v>
      </c>
      <c r="C363">
        <v>642</v>
      </c>
      <c r="D363">
        <v>22</v>
      </c>
      <c r="E363" t="s">
        <v>2474</v>
      </c>
    </row>
    <row r="364" spans="1:5" x14ac:dyDescent="0.3">
      <c r="A364" t="s">
        <v>1894</v>
      </c>
      <c r="B364" t="s">
        <v>2469</v>
      </c>
      <c r="C364">
        <v>528</v>
      </c>
      <c r="D364">
        <v>6</v>
      </c>
      <c r="E364" t="s">
        <v>2475</v>
      </c>
    </row>
    <row r="365" spans="1:5" x14ac:dyDescent="0.3">
      <c r="A365" t="s">
        <v>1893</v>
      </c>
      <c r="B365" t="s">
        <v>2473</v>
      </c>
      <c r="C365">
        <v>569</v>
      </c>
      <c r="D365">
        <v>38</v>
      </c>
      <c r="E365" t="s">
        <v>2472</v>
      </c>
    </row>
    <row r="366" spans="1:5" x14ac:dyDescent="0.3">
      <c r="A366" t="s">
        <v>1892</v>
      </c>
      <c r="B366" t="s">
        <v>2469</v>
      </c>
      <c r="C366">
        <v>496</v>
      </c>
      <c r="D366">
        <v>4</v>
      </c>
      <c r="E366" t="s">
        <v>2475</v>
      </c>
    </row>
    <row r="367" spans="1:5" x14ac:dyDescent="0.3">
      <c r="A367" t="s">
        <v>1891</v>
      </c>
      <c r="B367" t="s">
        <v>2473</v>
      </c>
      <c r="C367">
        <v>171</v>
      </c>
      <c r="D367">
        <v>9</v>
      </c>
      <c r="E367" t="s">
        <v>2468</v>
      </c>
    </row>
    <row r="368" spans="1:5" x14ac:dyDescent="0.3">
      <c r="A368" t="s">
        <v>1890</v>
      </c>
      <c r="B368" t="s">
        <v>2469</v>
      </c>
      <c r="C368">
        <v>24</v>
      </c>
      <c r="D368">
        <v>1</v>
      </c>
      <c r="E368" t="s">
        <v>2475</v>
      </c>
    </row>
    <row r="369" spans="1:5" x14ac:dyDescent="0.3">
      <c r="A369" t="s">
        <v>1889</v>
      </c>
      <c r="B369" t="s">
        <v>2471</v>
      </c>
      <c r="C369">
        <v>9</v>
      </c>
      <c r="D369">
        <v>0</v>
      </c>
      <c r="E369" t="s">
        <v>2470</v>
      </c>
    </row>
    <row r="370" spans="1:5" x14ac:dyDescent="0.3">
      <c r="A370" t="s">
        <v>1888</v>
      </c>
      <c r="B370" t="s">
        <v>2469</v>
      </c>
      <c r="C370">
        <v>712</v>
      </c>
      <c r="D370">
        <v>31</v>
      </c>
      <c r="E370" t="s">
        <v>2468</v>
      </c>
    </row>
    <row r="371" spans="1:5" x14ac:dyDescent="0.3">
      <c r="A371" t="s">
        <v>1887</v>
      </c>
      <c r="B371" t="s">
        <v>2471</v>
      </c>
      <c r="C371">
        <v>8</v>
      </c>
      <c r="D371">
        <v>0</v>
      </c>
      <c r="E371" t="s">
        <v>2470</v>
      </c>
    </row>
    <row r="372" spans="1:5" x14ac:dyDescent="0.3">
      <c r="A372" t="s">
        <v>1886</v>
      </c>
      <c r="B372" t="s">
        <v>2469</v>
      </c>
      <c r="C372">
        <v>75</v>
      </c>
      <c r="D372">
        <v>1</v>
      </c>
      <c r="E372" t="s">
        <v>2468</v>
      </c>
    </row>
    <row r="373" spans="1:5" x14ac:dyDescent="0.3">
      <c r="A373" t="s">
        <v>1885</v>
      </c>
      <c r="B373" t="s">
        <v>2473</v>
      </c>
      <c r="C373">
        <v>983</v>
      </c>
      <c r="D373">
        <v>55</v>
      </c>
      <c r="E373" t="s">
        <v>2474</v>
      </c>
    </row>
    <row r="374" spans="1:5" x14ac:dyDescent="0.3">
      <c r="A374" t="s">
        <v>1884</v>
      </c>
      <c r="B374" t="s">
        <v>2469</v>
      </c>
      <c r="C374">
        <v>461</v>
      </c>
      <c r="D374">
        <v>13</v>
      </c>
      <c r="E374" t="s">
        <v>2474</v>
      </c>
    </row>
    <row r="375" spans="1:5" x14ac:dyDescent="0.3">
      <c r="A375" t="s">
        <v>1883</v>
      </c>
      <c r="B375" t="s">
        <v>2473</v>
      </c>
      <c r="C375">
        <v>78</v>
      </c>
      <c r="D375">
        <v>5</v>
      </c>
      <c r="E375" t="s">
        <v>2475</v>
      </c>
    </row>
    <row r="376" spans="1:5" x14ac:dyDescent="0.3">
      <c r="A376" t="s">
        <v>1882</v>
      </c>
      <c r="B376" t="s">
        <v>2473</v>
      </c>
      <c r="C376">
        <v>121</v>
      </c>
      <c r="D376">
        <v>10</v>
      </c>
      <c r="E376" t="s">
        <v>2476</v>
      </c>
    </row>
    <row r="377" spans="1:5" x14ac:dyDescent="0.3">
      <c r="A377" t="s">
        <v>1881</v>
      </c>
      <c r="B377" t="s">
        <v>2471</v>
      </c>
      <c r="C377">
        <v>12</v>
      </c>
      <c r="D377">
        <v>0</v>
      </c>
      <c r="E377" t="s">
        <v>2470</v>
      </c>
    </row>
    <row r="378" spans="1:5" x14ac:dyDescent="0.3">
      <c r="A378" t="s">
        <v>1880</v>
      </c>
      <c r="B378" t="s">
        <v>2473</v>
      </c>
      <c r="C378">
        <v>372</v>
      </c>
      <c r="D378">
        <v>23</v>
      </c>
      <c r="E378" t="s">
        <v>2474</v>
      </c>
    </row>
    <row r="379" spans="1:5" x14ac:dyDescent="0.3">
      <c r="A379" t="s">
        <v>1879</v>
      </c>
      <c r="B379" t="s">
        <v>2471</v>
      </c>
      <c r="C379">
        <v>4</v>
      </c>
      <c r="D379">
        <v>0</v>
      </c>
      <c r="E379" t="s">
        <v>2470</v>
      </c>
    </row>
    <row r="380" spans="1:5" x14ac:dyDescent="0.3">
      <c r="A380" t="s">
        <v>1878</v>
      </c>
      <c r="B380" t="s">
        <v>2469</v>
      </c>
      <c r="C380">
        <v>111</v>
      </c>
      <c r="D380">
        <v>5</v>
      </c>
      <c r="E380" t="s">
        <v>2476</v>
      </c>
    </row>
    <row r="381" spans="1:5" x14ac:dyDescent="0.3">
      <c r="A381" t="s">
        <v>1877</v>
      </c>
      <c r="B381" t="s">
        <v>2469</v>
      </c>
      <c r="C381">
        <v>134</v>
      </c>
      <c r="D381">
        <v>2</v>
      </c>
      <c r="E381" t="s">
        <v>2474</v>
      </c>
    </row>
    <row r="382" spans="1:5" x14ac:dyDescent="0.3">
      <c r="A382" t="s">
        <v>1876</v>
      </c>
      <c r="B382" t="s">
        <v>2469</v>
      </c>
      <c r="C382">
        <v>142</v>
      </c>
      <c r="D382">
        <v>2</v>
      </c>
      <c r="E382" t="s">
        <v>2476</v>
      </c>
    </row>
    <row r="383" spans="1:5" x14ac:dyDescent="0.3">
      <c r="A383" t="s">
        <v>1875</v>
      </c>
      <c r="B383" t="s">
        <v>2469</v>
      </c>
      <c r="C383">
        <v>100</v>
      </c>
      <c r="D383">
        <v>1</v>
      </c>
      <c r="E383" t="s">
        <v>2475</v>
      </c>
    </row>
    <row r="384" spans="1:5" x14ac:dyDescent="0.3">
      <c r="A384" t="s">
        <v>1874</v>
      </c>
      <c r="B384" t="s">
        <v>2471</v>
      </c>
      <c r="C384">
        <v>172</v>
      </c>
      <c r="D384">
        <v>0</v>
      </c>
      <c r="E384" t="s">
        <v>2470</v>
      </c>
    </row>
    <row r="385" spans="1:5" x14ac:dyDescent="0.3">
      <c r="A385" t="s">
        <v>1873</v>
      </c>
      <c r="B385" t="s">
        <v>2469</v>
      </c>
      <c r="C385">
        <v>130</v>
      </c>
      <c r="D385">
        <v>1</v>
      </c>
      <c r="E385" t="s">
        <v>2468</v>
      </c>
    </row>
    <row r="386" spans="1:5" x14ac:dyDescent="0.3">
      <c r="A386" t="s">
        <v>1872</v>
      </c>
      <c r="B386" t="s">
        <v>2469</v>
      </c>
      <c r="C386">
        <v>76</v>
      </c>
      <c r="D386">
        <v>2</v>
      </c>
      <c r="E386" t="s">
        <v>2472</v>
      </c>
    </row>
    <row r="387" spans="1:5" x14ac:dyDescent="0.3">
      <c r="A387" t="s">
        <v>1871</v>
      </c>
      <c r="B387" t="s">
        <v>2469</v>
      </c>
      <c r="C387">
        <v>318</v>
      </c>
      <c r="D387">
        <v>7</v>
      </c>
      <c r="E387" t="s">
        <v>2472</v>
      </c>
    </row>
    <row r="388" spans="1:5" x14ac:dyDescent="0.3">
      <c r="A388" t="s">
        <v>1870</v>
      </c>
      <c r="B388" t="s">
        <v>2469</v>
      </c>
      <c r="C388">
        <v>649</v>
      </c>
      <c r="D388">
        <v>16</v>
      </c>
      <c r="E388" t="s">
        <v>2472</v>
      </c>
    </row>
    <row r="389" spans="1:5" x14ac:dyDescent="0.3">
      <c r="A389" t="s">
        <v>1869</v>
      </c>
      <c r="B389" t="s">
        <v>2471</v>
      </c>
      <c r="C389">
        <v>7</v>
      </c>
      <c r="D389">
        <v>0</v>
      </c>
      <c r="E389" t="s">
        <v>2470</v>
      </c>
    </row>
    <row r="390" spans="1:5" x14ac:dyDescent="0.3">
      <c r="A390" t="s">
        <v>1868</v>
      </c>
      <c r="B390" t="s">
        <v>2469</v>
      </c>
      <c r="C390">
        <v>576</v>
      </c>
      <c r="D390">
        <v>7</v>
      </c>
      <c r="E390" t="s">
        <v>2475</v>
      </c>
    </row>
    <row r="391" spans="1:5" x14ac:dyDescent="0.3">
      <c r="A391" t="s">
        <v>1867</v>
      </c>
      <c r="B391" t="s">
        <v>2469</v>
      </c>
      <c r="C391">
        <v>416</v>
      </c>
      <c r="D391">
        <v>17</v>
      </c>
      <c r="E391" t="s">
        <v>2475</v>
      </c>
    </row>
    <row r="392" spans="1:5" x14ac:dyDescent="0.3">
      <c r="A392" t="s">
        <v>1866</v>
      </c>
      <c r="B392" t="s">
        <v>2469</v>
      </c>
      <c r="C392">
        <v>166</v>
      </c>
      <c r="D392">
        <v>7</v>
      </c>
      <c r="E392" t="s">
        <v>2468</v>
      </c>
    </row>
    <row r="393" spans="1:5" x14ac:dyDescent="0.3">
      <c r="A393" t="s">
        <v>1865</v>
      </c>
      <c r="B393" t="s">
        <v>2469</v>
      </c>
      <c r="C393">
        <v>107</v>
      </c>
      <c r="D393">
        <v>1</v>
      </c>
      <c r="E393" t="s">
        <v>2468</v>
      </c>
    </row>
    <row r="394" spans="1:5" x14ac:dyDescent="0.3">
      <c r="A394" t="s">
        <v>1864</v>
      </c>
      <c r="B394" t="s">
        <v>2469</v>
      </c>
      <c r="C394">
        <v>348</v>
      </c>
      <c r="D394">
        <v>4</v>
      </c>
      <c r="E394" t="s">
        <v>2472</v>
      </c>
    </row>
    <row r="395" spans="1:5" x14ac:dyDescent="0.3">
      <c r="A395" t="s">
        <v>1863</v>
      </c>
      <c r="B395" t="s">
        <v>2473</v>
      </c>
      <c r="C395">
        <v>11</v>
      </c>
      <c r="D395">
        <v>1</v>
      </c>
      <c r="E395" t="s">
        <v>2468</v>
      </c>
    </row>
    <row r="396" spans="1:5" x14ac:dyDescent="0.3">
      <c r="A396" t="s">
        <v>1862</v>
      </c>
      <c r="B396" t="s">
        <v>2473</v>
      </c>
      <c r="C396">
        <v>6</v>
      </c>
      <c r="D396">
        <v>1</v>
      </c>
      <c r="E396" t="s">
        <v>2468</v>
      </c>
    </row>
    <row r="397" spans="1:5" x14ac:dyDescent="0.3">
      <c r="A397" t="s">
        <v>1861</v>
      </c>
      <c r="B397" t="s">
        <v>2469</v>
      </c>
      <c r="C397">
        <v>609</v>
      </c>
      <c r="D397">
        <v>13</v>
      </c>
      <c r="E397" t="s">
        <v>2476</v>
      </c>
    </row>
    <row r="398" spans="1:5" x14ac:dyDescent="0.3">
      <c r="A398" t="s">
        <v>1860</v>
      </c>
      <c r="B398" t="s">
        <v>2471</v>
      </c>
      <c r="C398">
        <v>67</v>
      </c>
      <c r="D398">
        <v>0</v>
      </c>
      <c r="E398" t="s">
        <v>2470</v>
      </c>
    </row>
    <row r="399" spans="1:5" x14ac:dyDescent="0.3">
      <c r="A399" t="s">
        <v>1859</v>
      </c>
      <c r="B399" t="s">
        <v>2473</v>
      </c>
      <c r="C399">
        <v>37</v>
      </c>
      <c r="D399">
        <v>3</v>
      </c>
      <c r="E399" t="s">
        <v>2476</v>
      </c>
    </row>
    <row r="400" spans="1:5" x14ac:dyDescent="0.3">
      <c r="A400" t="s">
        <v>1858</v>
      </c>
      <c r="B400" t="s">
        <v>2471</v>
      </c>
      <c r="C400">
        <v>8</v>
      </c>
      <c r="D400">
        <v>0</v>
      </c>
      <c r="E400" t="s">
        <v>2470</v>
      </c>
    </row>
    <row r="401" spans="1:5" x14ac:dyDescent="0.3">
      <c r="A401" t="s">
        <v>1857</v>
      </c>
      <c r="B401" t="s">
        <v>2469</v>
      </c>
      <c r="C401">
        <v>46</v>
      </c>
      <c r="D401">
        <v>2</v>
      </c>
      <c r="E401" t="s">
        <v>2472</v>
      </c>
    </row>
    <row r="402" spans="1:5" x14ac:dyDescent="0.3">
      <c r="A402" t="s">
        <v>1856</v>
      </c>
      <c r="B402" t="s">
        <v>2471</v>
      </c>
      <c r="C402">
        <v>4</v>
      </c>
      <c r="D402">
        <v>0</v>
      </c>
      <c r="E402" t="s">
        <v>2470</v>
      </c>
    </row>
    <row r="403" spans="1:5" x14ac:dyDescent="0.3">
      <c r="A403" t="s">
        <v>1855</v>
      </c>
      <c r="B403" t="s">
        <v>2469</v>
      </c>
      <c r="C403">
        <v>328</v>
      </c>
      <c r="D403">
        <v>2</v>
      </c>
      <c r="E403" t="s">
        <v>2472</v>
      </c>
    </row>
    <row r="404" spans="1:5" x14ac:dyDescent="0.3">
      <c r="A404" t="s">
        <v>1854</v>
      </c>
      <c r="B404" t="s">
        <v>2469</v>
      </c>
      <c r="C404">
        <v>178</v>
      </c>
      <c r="D404">
        <v>4</v>
      </c>
      <c r="E404" t="s">
        <v>2474</v>
      </c>
    </row>
    <row r="405" spans="1:5" x14ac:dyDescent="0.3">
      <c r="A405" t="s">
        <v>1853</v>
      </c>
      <c r="B405" t="s">
        <v>2469</v>
      </c>
      <c r="C405">
        <v>84</v>
      </c>
      <c r="D405">
        <v>4</v>
      </c>
      <c r="E405" t="s">
        <v>2472</v>
      </c>
    </row>
    <row r="406" spans="1:5" x14ac:dyDescent="0.3">
      <c r="A406" t="s">
        <v>1852</v>
      </c>
      <c r="B406" t="s">
        <v>2469</v>
      </c>
      <c r="C406">
        <v>240</v>
      </c>
      <c r="D406">
        <v>5</v>
      </c>
      <c r="E406" t="s">
        <v>2475</v>
      </c>
    </row>
    <row r="407" spans="1:5" x14ac:dyDescent="0.3">
      <c r="A407" t="s">
        <v>1851</v>
      </c>
      <c r="B407" t="s">
        <v>2473</v>
      </c>
      <c r="C407">
        <v>170</v>
      </c>
      <c r="D407">
        <v>12</v>
      </c>
      <c r="E407" t="s">
        <v>2476</v>
      </c>
    </row>
    <row r="408" spans="1:5" x14ac:dyDescent="0.3">
      <c r="A408" t="s">
        <v>1850</v>
      </c>
      <c r="B408" t="s">
        <v>2469</v>
      </c>
      <c r="C408">
        <v>83</v>
      </c>
      <c r="D408">
        <v>1</v>
      </c>
      <c r="E408" t="s">
        <v>2468</v>
      </c>
    </row>
    <row r="409" spans="1:5" x14ac:dyDescent="0.3">
      <c r="A409" t="s">
        <v>1849</v>
      </c>
      <c r="B409" t="s">
        <v>2469</v>
      </c>
      <c r="C409">
        <v>383</v>
      </c>
      <c r="D409">
        <v>17</v>
      </c>
      <c r="E409" t="s">
        <v>2476</v>
      </c>
    </row>
    <row r="410" spans="1:5" x14ac:dyDescent="0.3">
      <c r="A410" t="s">
        <v>1848</v>
      </c>
      <c r="B410" t="s">
        <v>2471</v>
      </c>
      <c r="C410">
        <v>9</v>
      </c>
      <c r="D410">
        <v>0</v>
      </c>
      <c r="E410" t="s">
        <v>2470</v>
      </c>
    </row>
    <row r="411" spans="1:5" x14ac:dyDescent="0.3">
      <c r="A411" t="s">
        <v>1847</v>
      </c>
      <c r="B411" t="s">
        <v>2469</v>
      </c>
      <c r="C411">
        <v>188</v>
      </c>
      <c r="D411">
        <v>4</v>
      </c>
      <c r="E411" t="s">
        <v>2468</v>
      </c>
    </row>
    <row r="412" spans="1:5" x14ac:dyDescent="0.3">
      <c r="A412" t="s">
        <v>1846</v>
      </c>
      <c r="B412" t="s">
        <v>2471</v>
      </c>
      <c r="C412">
        <v>2</v>
      </c>
      <c r="D412">
        <v>0</v>
      </c>
      <c r="E412" t="s">
        <v>2470</v>
      </c>
    </row>
    <row r="413" spans="1:5" x14ac:dyDescent="0.3">
      <c r="A413" t="s">
        <v>1845</v>
      </c>
      <c r="B413" t="s">
        <v>2469</v>
      </c>
      <c r="C413">
        <v>149</v>
      </c>
      <c r="D413">
        <v>1</v>
      </c>
      <c r="E413" t="s">
        <v>2475</v>
      </c>
    </row>
    <row r="414" spans="1:5" x14ac:dyDescent="0.3">
      <c r="A414" t="s">
        <v>1844</v>
      </c>
      <c r="B414" t="s">
        <v>2469</v>
      </c>
      <c r="C414">
        <v>478</v>
      </c>
      <c r="D414">
        <v>2</v>
      </c>
      <c r="E414" t="s">
        <v>2475</v>
      </c>
    </row>
    <row r="415" spans="1:5" x14ac:dyDescent="0.3">
      <c r="A415" t="s">
        <v>1843</v>
      </c>
      <c r="B415" t="s">
        <v>2473</v>
      </c>
      <c r="C415">
        <v>33</v>
      </c>
      <c r="D415">
        <v>3</v>
      </c>
      <c r="E415" t="s">
        <v>2472</v>
      </c>
    </row>
    <row r="416" spans="1:5" x14ac:dyDescent="0.3">
      <c r="A416" t="s">
        <v>1842</v>
      </c>
      <c r="B416" t="s">
        <v>2473</v>
      </c>
      <c r="C416">
        <v>73</v>
      </c>
      <c r="D416">
        <v>4</v>
      </c>
      <c r="E416" t="s">
        <v>2474</v>
      </c>
    </row>
    <row r="417" spans="1:5" x14ac:dyDescent="0.3">
      <c r="A417" t="s">
        <v>1841</v>
      </c>
      <c r="B417" t="s">
        <v>2469</v>
      </c>
      <c r="C417">
        <v>601</v>
      </c>
      <c r="D417">
        <v>10</v>
      </c>
      <c r="E417" t="s">
        <v>2474</v>
      </c>
    </row>
    <row r="418" spans="1:5" x14ac:dyDescent="0.3">
      <c r="A418" t="s">
        <v>1840</v>
      </c>
      <c r="B418" t="s">
        <v>2473</v>
      </c>
      <c r="C418">
        <v>130</v>
      </c>
      <c r="D418">
        <v>11</v>
      </c>
      <c r="E418" t="s">
        <v>2476</v>
      </c>
    </row>
    <row r="419" spans="1:5" x14ac:dyDescent="0.3">
      <c r="A419" t="s">
        <v>1839</v>
      </c>
      <c r="B419" t="s">
        <v>2469</v>
      </c>
      <c r="C419">
        <v>125</v>
      </c>
      <c r="D419">
        <v>1</v>
      </c>
      <c r="E419" t="s">
        <v>2475</v>
      </c>
    </row>
    <row r="420" spans="1:5" x14ac:dyDescent="0.3">
      <c r="A420" t="s">
        <v>1838</v>
      </c>
      <c r="B420" t="s">
        <v>2471</v>
      </c>
      <c r="C420">
        <v>22</v>
      </c>
      <c r="D420">
        <v>0</v>
      </c>
      <c r="E420" t="s">
        <v>2470</v>
      </c>
    </row>
    <row r="421" spans="1:5" x14ac:dyDescent="0.3">
      <c r="A421" t="s">
        <v>1837</v>
      </c>
      <c r="B421" t="s">
        <v>2471</v>
      </c>
      <c r="C421">
        <v>2</v>
      </c>
      <c r="D421">
        <v>0</v>
      </c>
      <c r="E421" t="s">
        <v>2470</v>
      </c>
    </row>
    <row r="422" spans="1:5" x14ac:dyDescent="0.3">
      <c r="A422" t="s">
        <v>1836</v>
      </c>
      <c r="B422" t="s">
        <v>2471</v>
      </c>
      <c r="C422">
        <v>20</v>
      </c>
      <c r="D422">
        <v>0</v>
      </c>
      <c r="E422" t="s">
        <v>2470</v>
      </c>
    </row>
    <row r="423" spans="1:5" x14ac:dyDescent="0.3">
      <c r="A423" t="s">
        <v>1835</v>
      </c>
      <c r="B423" t="s">
        <v>2469</v>
      </c>
      <c r="C423">
        <v>138</v>
      </c>
      <c r="D423">
        <v>5</v>
      </c>
      <c r="E423" t="s">
        <v>2474</v>
      </c>
    </row>
    <row r="424" spans="1:5" x14ac:dyDescent="0.3">
      <c r="A424" t="s">
        <v>1834</v>
      </c>
      <c r="B424" t="s">
        <v>2469</v>
      </c>
      <c r="C424">
        <v>49</v>
      </c>
      <c r="D424">
        <v>2</v>
      </c>
      <c r="E424" t="s">
        <v>2474</v>
      </c>
    </row>
    <row r="425" spans="1:5" x14ac:dyDescent="0.3">
      <c r="A425" t="s">
        <v>1833</v>
      </c>
      <c r="B425" t="s">
        <v>2469</v>
      </c>
      <c r="C425">
        <v>584</v>
      </c>
      <c r="D425">
        <v>20</v>
      </c>
      <c r="E425" t="s">
        <v>2476</v>
      </c>
    </row>
    <row r="426" spans="1:5" x14ac:dyDescent="0.3">
      <c r="A426" t="s">
        <v>1832</v>
      </c>
      <c r="B426" t="s">
        <v>2473</v>
      </c>
      <c r="C426">
        <v>61</v>
      </c>
      <c r="D426">
        <v>6</v>
      </c>
      <c r="E426" t="s">
        <v>2475</v>
      </c>
    </row>
    <row r="427" spans="1:5" x14ac:dyDescent="0.3">
      <c r="A427" t="s">
        <v>1831</v>
      </c>
      <c r="B427" t="s">
        <v>2469</v>
      </c>
      <c r="C427">
        <v>397</v>
      </c>
      <c r="D427">
        <v>7</v>
      </c>
      <c r="E427" t="s">
        <v>2472</v>
      </c>
    </row>
    <row r="428" spans="1:5" x14ac:dyDescent="0.3">
      <c r="A428" t="s">
        <v>1830</v>
      </c>
      <c r="B428" t="s">
        <v>2471</v>
      </c>
      <c r="C428">
        <v>16</v>
      </c>
      <c r="D428">
        <v>0</v>
      </c>
      <c r="E428" t="s">
        <v>2470</v>
      </c>
    </row>
    <row r="429" spans="1:5" x14ac:dyDescent="0.3">
      <c r="A429" t="s">
        <v>1829</v>
      </c>
      <c r="B429" t="s">
        <v>2471</v>
      </c>
      <c r="C429">
        <v>19</v>
      </c>
      <c r="D429">
        <v>0</v>
      </c>
      <c r="E429" t="s">
        <v>2470</v>
      </c>
    </row>
    <row r="430" spans="1:5" x14ac:dyDescent="0.3">
      <c r="A430" t="s">
        <v>1828</v>
      </c>
      <c r="B430" t="s">
        <v>2469</v>
      </c>
      <c r="C430">
        <v>122</v>
      </c>
      <c r="D430">
        <v>4</v>
      </c>
      <c r="E430" t="s">
        <v>2474</v>
      </c>
    </row>
    <row r="431" spans="1:5" x14ac:dyDescent="0.3">
      <c r="A431" t="s">
        <v>1827</v>
      </c>
      <c r="B431" t="s">
        <v>2471</v>
      </c>
      <c r="C431">
        <v>9</v>
      </c>
      <c r="D431">
        <v>0</v>
      </c>
      <c r="E431" t="s">
        <v>2470</v>
      </c>
    </row>
    <row r="432" spans="1:5" x14ac:dyDescent="0.3">
      <c r="A432" t="s">
        <v>1826</v>
      </c>
      <c r="B432" t="s">
        <v>2469</v>
      </c>
      <c r="C432">
        <v>205</v>
      </c>
      <c r="D432">
        <v>2</v>
      </c>
      <c r="E432" t="s">
        <v>2476</v>
      </c>
    </row>
    <row r="433" spans="1:5" x14ac:dyDescent="0.3">
      <c r="A433" t="s">
        <v>1825</v>
      </c>
      <c r="B433" t="s">
        <v>2471</v>
      </c>
      <c r="C433">
        <v>28</v>
      </c>
      <c r="D433">
        <v>0</v>
      </c>
      <c r="E433" t="s">
        <v>2470</v>
      </c>
    </row>
    <row r="434" spans="1:5" x14ac:dyDescent="0.3">
      <c r="A434" t="s">
        <v>1824</v>
      </c>
      <c r="B434" t="s">
        <v>2469</v>
      </c>
      <c r="C434">
        <v>466</v>
      </c>
      <c r="D434">
        <v>9</v>
      </c>
      <c r="E434" t="s">
        <v>2474</v>
      </c>
    </row>
    <row r="435" spans="1:5" x14ac:dyDescent="0.3">
      <c r="A435" t="s">
        <v>1823</v>
      </c>
      <c r="B435" t="s">
        <v>2469</v>
      </c>
      <c r="C435">
        <v>90</v>
      </c>
      <c r="D435">
        <v>4</v>
      </c>
      <c r="E435" t="s">
        <v>2475</v>
      </c>
    </row>
    <row r="436" spans="1:5" x14ac:dyDescent="0.3">
      <c r="A436" t="s">
        <v>1822</v>
      </c>
      <c r="B436" t="s">
        <v>2469</v>
      </c>
      <c r="C436">
        <v>21</v>
      </c>
      <c r="D436">
        <v>1</v>
      </c>
      <c r="E436" t="s">
        <v>2475</v>
      </c>
    </row>
    <row r="437" spans="1:5" x14ac:dyDescent="0.3">
      <c r="A437" t="s">
        <v>1821</v>
      </c>
      <c r="B437" t="s">
        <v>2469</v>
      </c>
      <c r="C437">
        <v>162</v>
      </c>
      <c r="D437">
        <v>7</v>
      </c>
      <c r="E437" t="s">
        <v>2475</v>
      </c>
    </row>
    <row r="438" spans="1:5" x14ac:dyDescent="0.3">
      <c r="A438" t="s">
        <v>1820</v>
      </c>
      <c r="B438" t="s">
        <v>2469</v>
      </c>
      <c r="C438">
        <v>437</v>
      </c>
      <c r="D438">
        <v>8</v>
      </c>
      <c r="E438" t="s">
        <v>2475</v>
      </c>
    </row>
    <row r="439" spans="1:5" x14ac:dyDescent="0.3">
      <c r="A439" t="s">
        <v>1819</v>
      </c>
      <c r="B439" t="s">
        <v>2469</v>
      </c>
      <c r="C439">
        <v>562</v>
      </c>
      <c r="D439">
        <v>14</v>
      </c>
      <c r="E439" t="s">
        <v>2474</v>
      </c>
    </row>
    <row r="440" spans="1:5" x14ac:dyDescent="0.3">
      <c r="A440" t="s">
        <v>1818</v>
      </c>
      <c r="B440" t="s">
        <v>2471</v>
      </c>
      <c r="C440">
        <v>134</v>
      </c>
      <c r="D440">
        <v>0</v>
      </c>
      <c r="E440" t="s">
        <v>2470</v>
      </c>
    </row>
    <row r="441" spans="1:5" x14ac:dyDescent="0.3">
      <c r="A441" t="s">
        <v>1817</v>
      </c>
      <c r="B441" t="s">
        <v>2469</v>
      </c>
      <c r="C441">
        <v>724</v>
      </c>
      <c r="D441">
        <v>12</v>
      </c>
      <c r="E441" t="s">
        <v>2474</v>
      </c>
    </row>
    <row r="442" spans="1:5" x14ac:dyDescent="0.3">
      <c r="A442" t="s">
        <v>1816</v>
      </c>
      <c r="B442" t="s">
        <v>2469</v>
      </c>
      <c r="C442">
        <v>759</v>
      </c>
      <c r="D442">
        <v>10</v>
      </c>
      <c r="E442" t="s">
        <v>2475</v>
      </c>
    </row>
    <row r="443" spans="1:5" x14ac:dyDescent="0.3">
      <c r="A443" t="s">
        <v>1815</v>
      </c>
      <c r="B443" t="s">
        <v>2469</v>
      </c>
      <c r="C443">
        <v>184</v>
      </c>
      <c r="D443">
        <v>9</v>
      </c>
      <c r="E443" t="s">
        <v>2474</v>
      </c>
    </row>
    <row r="444" spans="1:5" x14ac:dyDescent="0.3">
      <c r="A444" t="s">
        <v>1814</v>
      </c>
      <c r="B444" t="s">
        <v>2469</v>
      </c>
      <c r="C444">
        <v>637</v>
      </c>
      <c r="D444">
        <v>1</v>
      </c>
      <c r="E444" t="s">
        <v>2474</v>
      </c>
    </row>
    <row r="445" spans="1:5" x14ac:dyDescent="0.3">
      <c r="A445" t="s">
        <v>1813</v>
      </c>
      <c r="B445" t="s">
        <v>2469</v>
      </c>
      <c r="C445">
        <v>87</v>
      </c>
      <c r="D445">
        <v>3</v>
      </c>
      <c r="E445" t="s">
        <v>2475</v>
      </c>
    </row>
    <row r="446" spans="1:5" x14ac:dyDescent="0.3">
      <c r="A446" t="s">
        <v>1812</v>
      </c>
      <c r="B446" t="s">
        <v>2469</v>
      </c>
      <c r="C446">
        <v>195</v>
      </c>
      <c r="D446">
        <v>5</v>
      </c>
      <c r="E446" t="s">
        <v>2472</v>
      </c>
    </row>
    <row r="447" spans="1:5" x14ac:dyDescent="0.3">
      <c r="A447" t="s">
        <v>1811</v>
      </c>
      <c r="B447" t="s">
        <v>2469</v>
      </c>
      <c r="C447">
        <v>183</v>
      </c>
      <c r="D447">
        <v>2</v>
      </c>
      <c r="E447" t="s">
        <v>2468</v>
      </c>
    </row>
    <row r="448" spans="1:5" x14ac:dyDescent="0.3">
      <c r="A448" t="s">
        <v>1810</v>
      </c>
      <c r="B448" t="s">
        <v>2469</v>
      </c>
      <c r="C448">
        <v>522</v>
      </c>
      <c r="D448">
        <v>13</v>
      </c>
      <c r="E448" t="s">
        <v>2472</v>
      </c>
    </row>
    <row r="449" spans="1:5" x14ac:dyDescent="0.3">
      <c r="A449" t="s">
        <v>1809</v>
      </c>
      <c r="B449" t="s">
        <v>2469</v>
      </c>
      <c r="C449">
        <v>689</v>
      </c>
      <c r="D449">
        <v>10</v>
      </c>
      <c r="E449" t="s">
        <v>2472</v>
      </c>
    </row>
    <row r="450" spans="1:5" x14ac:dyDescent="0.3">
      <c r="A450" t="s">
        <v>1808</v>
      </c>
      <c r="B450" t="s">
        <v>2469</v>
      </c>
      <c r="C450">
        <v>614</v>
      </c>
      <c r="D450">
        <v>4</v>
      </c>
      <c r="E450" t="s">
        <v>2468</v>
      </c>
    </row>
    <row r="451" spans="1:5" x14ac:dyDescent="0.3">
      <c r="A451" t="s">
        <v>1807</v>
      </c>
      <c r="B451" t="s">
        <v>2469</v>
      </c>
      <c r="C451">
        <v>769</v>
      </c>
      <c r="D451">
        <v>24</v>
      </c>
      <c r="E451" t="s">
        <v>2474</v>
      </c>
    </row>
    <row r="452" spans="1:5" x14ac:dyDescent="0.3">
      <c r="A452" t="s">
        <v>1806</v>
      </c>
      <c r="B452" t="s">
        <v>2469</v>
      </c>
      <c r="C452">
        <v>301</v>
      </c>
      <c r="D452">
        <v>7</v>
      </c>
      <c r="E452" t="s">
        <v>2474</v>
      </c>
    </row>
    <row r="453" spans="1:5" x14ac:dyDescent="0.3">
      <c r="A453" t="s">
        <v>1805</v>
      </c>
      <c r="B453" t="s">
        <v>2473</v>
      </c>
      <c r="C453">
        <v>17</v>
      </c>
      <c r="D453">
        <v>2</v>
      </c>
      <c r="E453" t="s">
        <v>2474</v>
      </c>
    </row>
    <row r="454" spans="1:5" x14ac:dyDescent="0.3">
      <c r="A454" t="s">
        <v>1804</v>
      </c>
      <c r="B454" t="s">
        <v>2469</v>
      </c>
      <c r="C454">
        <v>544</v>
      </c>
      <c r="D454">
        <v>4</v>
      </c>
      <c r="E454" t="s">
        <v>2472</v>
      </c>
    </row>
    <row r="455" spans="1:5" x14ac:dyDescent="0.3">
      <c r="A455" t="s">
        <v>1803</v>
      </c>
      <c r="B455" t="s">
        <v>2469</v>
      </c>
      <c r="C455">
        <v>58</v>
      </c>
      <c r="D455">
        <v>1</v>
      </c>
      <c r="E455" t="s">
        <v>2474</v>
      </c>
    </row>
    <row r="456" spans="1:5" x14ac:dyDescent="0.3">
      <c r="A456" t="s">
        <v>1802</v>
      </c>
      <c r="B456" t="s">
        <v>2469</v>
      </c>
      <c r="C456">
        <v>379</v>
      </c>
      <c r="D456">
        <v>4</v>
      </c>
      <c r="E456" t="s">
        <v>2475</v>
      </c>
    </row>
    <row r="457" spans="1:5" x14ac:dyDescent="0.3">
      <c r="A457" t="s">
        <v>1801</v>
      </c>
      <c r="B457" t="s">
        <v>2469</v>
      </c>
      <c r="C457">
        <v>168</v>
      </c>
      <c r="D457">
        <v>6</v>
      </c>
      <c r="E457" t="s">
        <v>2476</v>
      </c>
    </row>
    <row r="458" spans="1:5" x14ac:dyDescent="0.3">
      <c r="A458" t="s">
        <v>1800</v>
      </c>
      <c r="B458" t="s">
        <v>2469</v>
      </c>
      <c r="C458">
        <v>127</v>
      </c>
      <c r="D458">
        <v>1</v>
      </c>
      <c r="E458" t="s">
        <v>2475</v>
      </c>
    </row>
    <row r="459" spans="1:5" x14ac:dyDescent="0.3">
      <c r="A459" t="s">
        <v>1799</v>
      </c>
      <c r="B459" t="s">
        <v>2471</v>
      </c>
      <c r="C459">
        <v>30</v>
      </c>
      <c r="D459">
        <v>0</v>
      </c>
      <c r="E459" t="s">
        <v>2470</v>
      </c>
    </row>
    <row r="460" spans="1:5" x14ac:dyDescent="0.3">
      <c r="A460" t="s">
        <v>1798</v>
      </c>
      <c r="B460" t="s">
        <v>2469</v>
      </c>
      <c r="C460">
        <v>169</v>
      </c>
      <c r="D460">
        <v>1</v>
      </c>
      <c r="E460" t="s">
        <v>2468</v>
      </c>
    </row>
    <row r="461" spans="1:5" x14ac:dyDescent="0.3">
      <c r="A461" t="s">
        <v>1797</v>
      </c>
      <c r="B461" t="s">
        <v>2471</v>
      </c>
      <c r="C461">
        <v>20</v>
      </c>
      <c r="D461">
        <v>0</v>
      </c>
      <c r="E461" t="s">
        <v>2470</v>
      </c>
    </row>
    <row r="462" spans="1:5" x14ac:dyDescent="0.3">
      <c r="A462" t="s">
        <v>1796</v>
      </c>
      <c r="B462" t="s">
        <v>2473</v>
      </c>
      <c r="C462">
        <v>255</v>
      </c>
      <c r="D462">
        <v>23</v>
      </c>
      <c r="E462" t="s">
        <v>2475</v>
      </c>
    </row>
    <row r="463" spans="1:5" x14ac:dyDescent="0.3">
      <c r="A463" t="s">
        <v>1795</v>
      </c>
      <c r="B463" t="s">
        <v>2473</v>
      </c>
      <c r="C463">
        <v>279</v>
      </c>
      <c r="D463">
        <v>15</v>
      </c>
      <c r="E463" t="s">
        <v>2476</v>
      </c>
    </row>
    <row r="464" spans="1:5" x14ac:dyDescent="0.3">
      <c r="A464" t="s">
        <v>1794</v>
      </c>
      <c r="B464" t="s">
        <v>2469</v>
      </c>
      <c r="C464">
        <v>626</v>
      </c>
      <c r="D464">
        <v>3</v>
      </c>
      <c r="E464" t="s">
        <v>2474</v>
      </c>
    </row>
    <row r="465" spans="1:5" x14ac:dyDescent="0.3">
      <c r="A465" t="s">
        <v>1793</v>
      </c>
      <c r="B465" t="s">
        <v>2473</v>
      </c>
      <c r="C465">
        <v>466</v>
      </c>
      <c r="D465">
        <v>29</v>
      </c>
      <c r="E465" t="s">
        <v>2468</v>
      </c>
    </row>
    <row r="466" spans="1:5" x14ac:dyDescent="0.3">
      <c r="A466" t="s">
        <v>1792</v>
      </c>
      <c r="B466" t="s">
        <v>2469</v>
      </c>
      <c r="C466">
        <v>105</v>
      </c>
      <c r="D466">
        <v>4</v>
      </c>
      <c r="E466" t="s">
        <v>2475</v>
      </c>
    </row>
    <row r="467" spans="1:5" x14ac:dyDescent="0.3">
      <c r="A467" t="s">
        <v>1791</v>
      </c>
      <c r="B467" t="s">
        <v>2471</v>
      </c>
      <c r="C467">
        <v>18</v>
      </c>
      <c r="D467">
        <v>0</v>
      </c>
      <c r="E467" t="s">
        <v>2470</v>
      </c>
    </row>
    <row r="468" spans="1:5" x14ac:dyDescent="0.3">
      <c r="A468" t="s">
        <v>1790</v>
      </c>
      <c r="B468" t="s">
        <v>2471</v>
      </c>
      <c r="C468">
        <v>22</v>
      </c>
      <c r="D468">
        <v>0</v>
      </c>
      <c r="E468" t="s">
        <v>2470</v>
      </c>
    </row>
    <row r="469" spans="1:5" x14ac:dyDescent="0.3">
      <c r="A469" t="s">
        <v>1789</v>
      </c>
      <c r="B469" t="s">
        <v>2471</v>
      </c>
      <c r="C469">
        <v>9</v>
      </c>
      <c r="D469">
        <v>0</v>
      </c>
      <c r="E469" t="s">
        <v>2470</v>
      </c>
    </row>
    <row r="470" spans="1:5" x14ac:dyDescent="0.3">
      <c r="A470" t="s">
        <v>1788</v>
      </c>
      <c r="B470" t="s">
        <v>2471</v>
      </c>
      <c r="C470">
        <v>1</v>
      </c>
      <c r="D470">
        <v>0</v>
      </c>
      <c r="E470" t="s">
        <v>2470</v>
      </c>
    </row>
    <row r="471" spans="1:5" x14ac:dyDescent="0.3">
      <c r="A471" t="s">
        <v>1787</v>
      </c>
      <c r="B471" t="s">
        <v>2469</v>
      </c>
      <c r="C471">
        <v>209</v>
      </c>
      <c r="D471">
        <v>2</v>
      </c>
      <c r="E471" t="s">
        <v>2472</v>
      </c>
    </row>
    <row r="472" spans="1:5" x14ac:dyDescent="0.3">
      <c r="A472" t="s">
        <v>1786</v>
      </c>
      <c r="B472" t="s">
        <v>2471</v>
      </c>
      <c r="C472">
        <v>23</v>
      </c>
      <c r="D472">
        <v>0</v>
      </c>
      <c r="E472" t="s">
        <v>2470</v>
      </c>
    </row>
    <row r="473" spans="1:5" x14ac:dyDescent="0.3">
      <c r="A473" t="s">
        <v>1785</v>
      </c>
      <c r="B473" t="s">
        <v>2471</v>
      </c>
      <c r="C473">
        <v>21</v>
      </c>
      <c r="D473">
        <v>0</v>
      </c>
      <c r="E473" t="s">
        <v>2470</v>
      </c>
    </row>
    <row r="474" spans="1:5" x14ac:dyDescent="0.3">
      <c r="A474" t="s">
        <v>1784</v>
      </c>
      <c r="B474" t="s">
        <v>2471</v>
      </c>
      <c r="C474">
        <v>5</v>
      </c>
      <c r="D474">
        <v>0</v>
      </c>
      <c r="E474" t="s">
        <v>2470</v>
      </c>
    </row>
    <row r="475" spans="1:5" x14ac:dyDescent="0.3">
      <c r="A475" t="s">
        <v>1783</v>
      </c>
      <c r="B475" t="s">
        <v>2473</v>
      </c>
      <c r="C475">
        <v>180</v>
      </c>
      <c r="D475">
        <v>14</v>
      </c>
      <c r="E475" t="s">
        <v>2474</v>
      </c>
    </row>
    <row r="476" spans="1:5" x14ac:dyDescent="0.3">
      <c r="A476" t="s">
        <v>1782</v>
      </c>
      <c r="B476" t="s">
        <v>2469</v>
      </c>
      <c r="C476">
        <v>216</v>
      </c>
      <c r="D476">
        <v>8</v>
      </c>
      <c r="E476" t="s">
        <v>2472</v>
      </c>
    </row>
    <row r="477" spans="1:5" x14ac:dyDescent="0.3">
      <c r="A477" t="s">
        <v>1781</v>
      </c>
      <c r="B477" t="s">
        <v>2469</v>
      </c>
      <c r="C477">
        <v>775</v>
      </c>
      <c r="D477">
        <v>16</v>
      </c>
      <c r="E477" t="s">
        <v>2472</v>
      </c>
    </row>
    <row r="478" spans="1:5" x14ac:dyDescent="0.3">
      <c r="A478" t="s">
        <v>1780</v>
      </c>
      <c r="B478" t="s">
        <v>2473</v>
      </c>
      <c r="C478">
        <v>173</v>
      </c>
      <c r="D478">
        <v>12</v>
      </c>
      <c r="E478" t="s">
        <v>2468</v>
      </c>
    </row>
    <row r="479" spans="1:5" x14ac:dyDescent="0.3">
      <c r="A479" t="s">
        <v>1779</v>
      </c>
      <c r="B479" t="s">
        <v>2469</v>
      </c>
      <c r="C479">
        <v>128</v>
      </c>
      <c r="D479">
        <v>3</v>
      </c>
      <c r="E479" t="s">
        <v>2476</v>
      </c>
    </row>
    <row r="480" spans="1:5" x14ac:dyDescent="0.3">
      <c r="A480" t="s">
        <v>1778</v>
      </c>
      <c r="B480" t="s">
        <v>2469</v>
      </c>
      <c r="C480">
        <v>146</v>
      </c>
      <c r="D480">
        <v>2</v>
      </c>
      <c r="E480" t="s">
        <v>2468</v>
      </c>
    </row>
    <row r="481" spans="1:5" x14ac:dyDescent="0.3">
      <c r="A481" t="s">
        <v>1777</v>
      </c>
      <c r="B481" t="s">
        <v>2469</v>
      </c>
      <c r="C481">
        <v>23</v>
      </c>
      <c r="D481">
        <v>1</v>
      </c>
      <c r="E481" t="s">
        <v>2475</v>
      </c>
    </row>
    <row r="482" spans="1:5" x14ac:dyDescent="0.3">
      <c r="A482" t="s">
        <v>1776</v>
      </c>
      <c r="B482" t="s">
        <v>2469</v>
      </c>
      <c r="C482">
        <v>197</v>
      </c>
      <c r="D482">
        <v>2</v>
      </c>
      <c r="E482" t="s">
        <v>2472</v>
      </c>
    </row>
    <row r="483" spans="1:5" x14ac:dyDescent="0.3">
      <c r="A483" t="s">
        <v>1775</v>
      </c>
      <c r="B483" t="s">
        <v>2469</v>
      </c>
      <c r="C483">
        <v>127</v>
      </c>
      <c r="D483">
        <v>2</v>
      </c>
      <c r="E483" t="s">
        <v>2475</v>
      </c>
    </row>
    <row r="484" spans="1:5" x14ac:dyDescent="0.3">
      <c r="A484" t="s">
        <v>1774</v>
      </c>
      <c r="B484" t="s">
        <v>2469</v>
      </c>
      <c r="C484">
        <v>168</v>
      </c>
      <c r="D484">
        <v>2</v>
      </c>
      <c r="E484" t="s">
        <v>2475</v>
      </c>
    </row>
    <row r="485" spans="1:5" x14ac:dyDescent="0.3">
      <c r="A485" t="s">
        <v>1773</v>
      </c>
      <c r="B485" t="s">
        <v>2471</v>
      </c>
      <c r="C485">
        <v>5</v>
      </c>
      <c r="D485">
        <v>0</v>
      </c>
      <c r="E485" t="s">
        <v>2470</v>
      </c>
    </row>
    <row r="486" spans="1:5" x14ac:dyDescent="0.3">
      <c r="A486" t="s">
        <v>1772</v>
      </c>
      <c r="B486" t="s">
        <v>2469</v>
      </c>
      <c r="C486">
        <v>422</v>
      </c>
      <c r="D486">
        <v>2</v>
      </c>
      <c r="E486" t="s">
        <v>2475</v>
      </c>
    </row>
    <row r="487" spans="1:5" x14ac:dyDescent="0.3">
      <c r="A487" t="s">
        <v>1771</v>
      </c>
      <c r="B487" t="s">
        <v>2469</v>
      </c>
      <c r="C487">
        <v>150</v>
      </c>
      <c r="D487">
        <v>2</v>
      </c>
      <c r="E487" t="s">
        <v>2475</v>
      </c>
    </row>
    <row r="488" spans="1:5" x14ac:dyDescent="0.3">
      <c r="A488" t="s">
        <v>1770</v>
      </c>
      <c r="B488" t="s">
        <v>2469</v>
      </c>
      <c r="C488">
        <v>761</v>
      </c>
      <c r="D488">
        <v>11</v>
      </c>
      <c r="E488" t="s">
        <v>2476</v>
      </c>
    </row>
    <row r="489" spans="1:5" x14ac:dyDescent="0.3">
      <c r="A489" t="s">
        <v>1769</v>
      </c>
      <c r="B489" t="s">
        <v>2473</v>
      </c>
      <c r="C489">
        <v>204</v>
      </c>
      <c r="D489">
        <v>11</v>
      </c>
      <c r="E489" t="s">
        <v>2475</v>
      </c>
    </row>
    <row r="490" spans="1:5" x14ac:dyDescent="0.3">
      <c r="A490" t="s">
        <v>1768</v>
      </c>
      <c r="B490" t="s">
        <v>2469</v>
      </c>
      <c r="C490">
        <v>188</v>
      </c>
      <c r="D490">
        <v>2</v>
      </c>
      <c r="E490" t="s">
        <v>2472</v>
      </c>
    </row>
    <row r="491" spans="1:5" x14ac:dyDescent="0.3">
      <c r="A491" t="s">
        <v>1767</v>
      </c>
      <c r="B491" t="s">
        <v>2471</v>
      </c>
      <c r="C491">
        <v>21</v>
      </c>
      <c r="D491">
        <v>0</v>
      </c>
      <c r="E491" t="s">
        <v>2470</v>
      </c>
    </row>
    <row r="492" spans="1:5" x14ac:dyDescent="0.3">
      <c r="A492" t="s">
        <v>1766</v>
      </c>
      <c r="B492" t="s">
        <v>2471</v>
      </c>
      <c r="C492">
        <v>14</v>
      </c>
      <c r="D492">
        <v>0</v>
      </c>
      <c r="E492" t="s">
        <v>2470</v>
      </c>
    </row>
    <row r="493" spans="1:5" x14ac:dyDescent="0.3">
      <c r="A493" t="s">
        <v>1765</v>
      </c>
      <c r="B493" t="s">
        <v>2473</v>
      </c>
      <c r="C493">
        <v>50</v>
      </c>
      <c r="D493">
        <v>4</v>
      </c>
      <c r="E493" t="s">
        <v>2468</v>
      </c>
    </row>
    <row r="494" spans="1:5" x14ac:dyDescent="0.3">
      <c r="A494" t="s">
        <v>1764</v>
      </c>
      <c r="B494" t="s">
        <v>2469</v>
      </c>
      <c r="C494">
        <v>336</v>
      </c>
      <c r="D494">
        <v>6</v>
      </c>
      <c r="E494" t="s">
        <v>2468</v>
      </c>
    </row>
    <row r="495" spans="1:5" x14ac:dyDescent="0.3">
      <c r="A495" t="s">
        <v>1763</v>
      </c>
      <c r="B495" t="s">
        <v>2469</v>
      </c>
      <c r="C495">
        <v>710</v>
      </c>
      <c r="D495">
        <v>10</v>
      </c>
      <c r="E495" t="s">
        <v>2472</v>
      </c>
    </row>
    <row r="496" spans="1:5" x14ac:dyDescent="0.3">
      <c r="A496" t="s">
        <v>1762</v>
      </c>
      <c r="B496" t="s">
        <v>2473</v>
      </c>
      <c r="C496">
        <v>13</v>
      </c>
      <c r="D496">
        <v>1</v>
      </c>
      <c r="E496" t="s">
        <v>2476</v>
      </c>
    </row>
    <row r="497" spans="1:5" x14ac:dyDescent="0.3">
      <c r="A497" t="s">
        <v>1761</v>
      </c>
      <c r="B497" t="s">
        <v>2473</v>
      </c>
      <c r="C497">
        <v>589</v>
      </c>
      <c r="D497">
        <v>33</v>
      </c>
      <c r="E497" t="s">
        <v>2474</v>
      </c>
    </row>
    <row r="498" spans="1:5" x14ac:dyDescent="0.3">
      <c r="A498" t="s">
        <v>1760</v>
      </c>
      <c r="B498" t="s">
        <v>2473</v>
      </c>
      <c r="C498">
        <v>107</v>
      </c>
      <c r="D498">
        <v>6</v>
      </c>
      <c r="E498" t="s">
        <v>2468</v>
      </c>
    </row>
    <row r="499" spans="1:5" x14ac:dyDescent="0.3">
      <c r="A499" t="s">
        <v>1759</v>
      </c>
      <c r="B499" t="s">
        <v>2469</v>
      </c>
      <c r="C499">
        <v>336</v>
      </c>
      <c r="D499">
        <v>15</v>
      </c>
      <c r="E499" t="s">
        <v>2468</v>
      </c>
    </row>
    <row r="500" spans="1:5" x14ac:dyDescent="0.3">
      <c r="A500" t="s">
        <v>1758</v>
      </c>
      <c r="B500" t="s">
        <v>2469</v>
      </c>
      <c r="C500">
        <v>303</v>
      </c>
      <c r="D500">
        <v>3</v>
      </c>
      <c r="E500" t="s">
        <v>2472</v>
      </c>
    </row>
    <row r="501" spans="1:5" x14ac:dyDescent="0.3">
      <c r="A501" t="s">
        <v>1757</v>
      </c>
      <c r="B501" t="s">
        <v>2469</v>
      </c>
      <c r="C501">
        <v>126</v>
      </c>
      <c r="D501">
        <v>1</v>
      </c>
      <c r="E501" t="s">
        <v>2468</v>
      </c>
    </row>
    <row r="502" spans="1:5" x14ac:dyDescent="0.3">
      <c r="A502" t="s">
        <v>1756</v>
      </c>
      <c r="B502" t="s">
        <v>2471</v>
      </c>
      <c r="C502">
        <v>22</v>
      </c>
      <c r="D502">
        <v>0</v>
      </c>
      <c r="E502" t="s">
        <v>2470</v>
      </c>
    </row>
    <row r="503" spans="1:5" x14ac:dyDescent="0.3">
      <c r="A503" t="s">
        <v>1755</v>
      </c>
      <c r="B503" t="s">
        <v>2469</v>
      </c>
      <c r="C503">
        <v>139</v>
      </c>
      <c r="D503">
        <v>3</v>
      </c>
      <c r="E503" t="s">
        <v>2475</v>
      </c>
    </row>
    <row r="504" spans="1:5" x14ac:dyDescent="0.3">
      <c r="A504" t="s">
        <v>1754</v>
      </c>
      <c r="B504" t="s">
        <v>2469</v>
      </c>
      <c r="C504">
        <v>391</v>
      </c>
      <c r="D504">
        <v>9</v>
      </c>
      <c r="E504" t="s">
        <v>2476</v>
      </c>
    </row>
    <row r="505" spans="1:5" x14ac:dyDescent="0.3">
      <c r="A505" t="s">
        <v>1753</v>
      </c>
      <c r="B505" t="s">
        <v>2473</v>
      </c>
      <c r="C505">
        <v>304</v>
      </c>
      <c r="D505">
        <v>21</v>
      </c>
      <c r="E505" t="s">
        <v>2468</v>
      </c>
    </row>
    <row r="506" spans="1:5" x14ac:dyDescent="0.3">
      <c r="A506" t="s">
        <v>1752</v>
      </c>
      <c r="B506" t="s">
        <v>2469</v>
      </c>
      <c r="C506">
        <v>259</v>
      </c>
      <c r="D506">
        <v>2</v>
      </c>
      <c r="E506" t="s">
        <v>2472</v>
      </c>
    </row>
    <row r="507" spans="1:5" x14ac:dyDescent="0.3">
      <c r="A507" t="s">
        <v>1751</v>
      </c>
      <c r="B507" t="s">
        <v>2469</v>
      </c>
      <c r="C507">
        <v>129</v>
      </c>
      <c r="D507">
        <v>1</v>
      </c>
      <c r="E507" t="s">
        <v>2472</v>
      </c>
    </row>
    <row r="508" spans="1:5" x14ac:dyDescent="0.3">
      <c r="A508" t="s">
        <v>1750</v>
      </c>
      <c r="B508" t="s">
        <v>2469</v>
      </c>
      <c r="C508">
        <v>551</v>
      </c>
      <c r="D508">
        <v>3</v>
      </c>
      <c r="E508" t="s">
        <v>2472</v>
      </c>
    </row>
    <row r="509" spans="1:5" x14ac:dyDescent="0.3">
      <c r="A509" t="s">
        <v>1749</v>
      </c>
      <c r="B509" t="s">
        <v>2469</v>
      </c>
      <c r="C509">
        <v>319</v>
      </c>
      <c r="D509">
        <v>6</v>
      </c>
      <c r="E509" t="s">
        <v>2468</v>
      </c>
    </row>
    <row r="510" spans="1:5" x14ac:dyDescent="0.3">
      <c r="A510" t="s">
        <v>1748</v>
      </c>
      <c r="B510" t="s">
        <v>2471</v>
      </c>
      <c r="C510">
        <v>18</v>
      </c>
      <c r="D510">
        <v>0</v>
      </c>
      <c r="E510" t="s">
        <v>2470</v>
      </c>
    </row>
    <row r="511" spans="1:5" x14ac:dyDescent="0.3">
      <c r="A511" t="s">
        <v>1747</v>
      </c>
      <c r="B511" t="s">
        <v>2471</v>
      </c>
      <c r="C511">
        <v>8</v>
      </c>
      <c r="D511">
        <v>0</v>
      </c>
      <c r="E511" t="s">
        <v>2470</v>
      </c>
    </row>
    <row r="512" spans="1:5" x14ac:dyDescent="0.3">
      <c r="A512" t="s">
        <v>1746</v>
      </c>
      <c r="B512" t="s">
        <v>2469</v>
      </c>
      <c r="C512">
        <v>164</v>
      </c>
      <c r="D512">
        <v>2</v>
      </c>
      <c r="E512" t="s">
        <v>2468</v>
      </c>
    </row>
    <row r="513" spans="1:5" x14ac:dyDescent="0.3">
      <c r="A513" t="s">
        <v>1745</v>
      </c>
      <c r="B513" t="s">
        <v>2471</v>
      </c>
      <c r="C513">
        <v>12</v>
      </c>
      <c r="D513">
        <v>0</v>
      </c>
      <c r="E513" t="s">
        <v>2470</v>
      </c>
    </row>
    <row r="514" spans="1:5" x14ac:dyDescent="0.3">
      <c r="A514" t="s">
        <v>1744</v>
      </c>
      <c r="B514" t="s">
        <v>2473</v>
      </c>
      <c r="C514">
        <v>13</v>
      </c>
      <c r="D514">
        <v>1</v>
      </c>
      <c r="E514" t="s">
        <v>2472</v>
      </c>
    </row>
    <row r="515" spans="1:5" x14ac:dyDescent="0.3">
      <c r="A515" t="s">
        <v>1743</v>
      </c>
      <c r="B515" t="s">
        <v>2469</v>
      </c>
      <c r="C515">
        <v>150</v>
      </c>
      <c r="D515">
        <v>2</v>
      </c>
      <c r="E515" t="s">
        <v>2472</v>
      </c>
    </row>
    <row r="516" spans="1:5" x14ac:dyDescent="0.3">
      <c r="A516" t="s">
        <v>1742</v>
      </c>
      <c r="B516" t="s">
        <v>2469</v>
      </c>
      <c r="C516">
        <v>202</v>
      </c>
      <c r="D516">
        <v>1</v>
      </c>
      <c r="E516" t="s">
        <v>2475</v>
      </c>
    </row>
    <row r="517" spans="1:5" x14ac:dyDescent="0.3">
      <c r="A517" t="s">
        <v>1741</v>
      </c>
      <c r="B517" t="s">
        <v>2469</v>
      </c>
      <c r="C517">
        <v>140</v>
      </c>
      <c r="D517">
        <v>2</v>
      </c>
      <c r="E517" t="s">
        <v>2475</v>
      </c>
    </row>
    <row r="518" spans="1:5" x14ac:dyDescent="0.3">
      <c r="A518" t="s">
        <v>1740</v>
      </c>
      <c r="B518" t="s">
        <v>2471</v>
      </c>
      <c r="C518">
        <v>5</v>
      </c>
      <c r="D518">
        <v>0</v>
      </c>
      <c r="E518" t="s">
        <v>2470</v>
      </c>
    </row>
    <row r="519" spans="1:5" x14ac:dyDescent="0.3">
      <c r="A519" t="s">
        <v>1739</v>
      </c>
      <c r="B519" t="s">
        <v>2471</v>
      </c>
      <c r="C519">
        <v>12</v>
      </c>
      <c r="D519">
        <v>0</v>
      </c>
      <c r="E519" t="s">
        <v>2470</v>
      </c>
    </row>
    <row r="520" spans="1:5" x14ac:dyDescent="0.3">
      <c r="A520" t="s">
        <v>1738</v>
      </c>
      <c r="B520" t="s">
        <v>2469</v>
      </c>
      <c r="C520">
        <v>178</v>
      </c>
      <c r="D520">
        <v>5</v>
      </c>
      <c r="E520" t="s">
        <v>2476</v>
      </c>
    </row>
    <row r="521" spans="1:5" x14ac:dyDescent="0.3">
      <c r="A521" t="s">
        <v>1737</v>
      </c>
      <c r="B521" t="s">
        <v>2469</v>
      </c>
      <c r="C521">
        <v>177</v>
      </c>
      <c r="D521">
        <v>5</v>
      </c>
      <c r="E521" t="s">
        <v>2475</v>
      </c>
    </row>
    <row r="522" spans="1:5" x14ac:dyDescent="0.3">
      <c r="A522" t="s">
        <v>1736</v>
      </c>
      <c r="B522" t="s">
        <v>2469</v>
      </c>
      <c r="C522">
        <v>127</v>
      </c>
      <c r="D522">
        <v>1</v>
      </c>
      <c r="E522" t="s">
        <v>2475</v>
      </c>
    </row>
    <row r="523" spans="1:5" x14ac:dyDescent="0.3">
      <c r="A523" t="s">
        <v>1735</v>
      </c>
      <c r="B523" t="s">
        <v>2469</v>
      </c>
      <c r="C523">
        <v>27</v>
      </c>
      <c r="D523">
        <v>1</v>
      </c>
      <c r="E523" t="s">
        <v>2475</v>
      </c>
    </row>
    <row r="524" spans="1:5" x14ac:dyDescent="0.3">
      <c r="A524" t="s">
        <v>1734</v>
      </c>
      <c r="B524" t="s">
        <v>2469</v>
      </c>
      <c r="C524">
        <v>663</v>
      </c>
      <c r="D524">
        <v>6</v>
      </c>
      <c r="E524" t="s">
        <v>2475</v>
      </c>
    </row>
    <row r="525" spans="1:5" x14ac:dyDescent="0.3">
      <c r="A525" t="s">
        <v>1733</v>
      </c>
      <c r="B525" t="s">
        <v>2473</v>
      </c>
      <c r="C525">
        <v>134</v>
      </c>
      <c r="D525">
        <v>9</v>
      </c>
      <c r="E525" t="s">
        <v>2476</v>
      </c>
    </row>
    <row r="526" spans="1:5" x14ac:dyDescent="0.3">
      <c r="A526" t="s">
        <v>1732</v>
      </c>
      <c r="B526" t="s">
        <v>2469</v>
      </c>
      <c r="C526">
        <v>199</v>
      </c>
      <c r="D526">
        <v>1</v>
      </c>
      <c r="E526" t="s">
        <v>2475</v>
      </c>
    </row>
    <row r="527" spans="1:5" x14ac:dyDescent="0.3">
      <c r="A527" t="s">
        <v>1731</v>
      </c>
      <c r="B527" t="s">
        <v>2471</v>
      </c>
      <c r="C527">
        <v>8</v>
      </c>
      <c r="D527">
        <v>0</v>
      </c>
      <c r="E527" t="s">
        <v>2470</v>
      </c>
    </row>
    <row r="528" spans="1:5" x14ac:dyDescent="0.3">
      <c r="A528" t="s">
        <v>1730</v>
      </c>
      <c r="B528" t="s">
        <v>2469</v>
      </c>
      <c r="C528">
        <v>669</v>
      </c>
      <c r="D528">
        <v>13</v>
      </c>
      <c r="E528" t="s">
        <v>2474</v>
      </c>
    </row>
    <row r="529" spans="1:5" x14ac:dyDescent="0.3">
      <c r="A529" t="s">
        <v>1729</v>
      </c>
      <c r="B529" t="s">
        <v>2469</v>
      </c>
      <c r="C529">
        <v>115</v>
      </c>
      <c r="D529">
        <v>2</v>
      </c>
      <c r="E529" t="s">
        <v>2476</v>
      </c>
    </row>
    <row r="530" spans="1:5" x14ac:dyDescent="0.3">
      <c r="A530" t="s">
        <v>1728</v>
      </c>
      <c r="B530" t="s">
        <v>2469</v>
      </c>
      <c r="C530">
        <v>1832</v>
      </c>
      <c r="D530">
        <v>37</v>
      </c>
      <c r="E530" t="s">
        <v>2468</v>
      </c>
    </row>
    <row r="531" spans="1:5" x14ac:dyDescent="0.3">
      <c r="A531" t="s">
        <v>1727</v>
      </c>
      <c r="B531" t="s">
        <v>2469</v>
      </c>
      <c r="C531">
        <v>187</v>
      </c>
      <c r="D531">
        <v>1</v>
      </c>
      <c r="E531" t="s">
        <v>2475</v>
      </c>
    </row>
    <row r="532" spans="1:5" x14ac:dyDescent="0.3">
      <c r="A532" t="s">
        <v>1726</v>
      </c>
      <c r="B532" t="s">
        <v>2471</v>
      </c>
      <c r="C532">
        <v>22</v>
      </c>
      <c r="D532">
        <v>0</v>
      </c>
      <c r="E532" t="s">
        <v>2470</v>
      </c>
    </row>
    <row r="533" spans="1:5" x14ac:dyDescent="0.3">
      <c r="A533" t="s">
        <v>1725</v>
      </c>
      <c r="B533" t="s">
        <v>2471</v>
      </c>
      <c r="C533">
        <v>99</v>
      </c>
      <c r="D533">
        <v>0</v>
      </c>
      <c r="E533" t="s">
        <v>2470</v>
      </c>
    </row>
    <row r="534" spans="1:5" x14ac:dyDescent="0.3">
      <c r="A534" t="s">
        <v>1724</v>
      </c>
      <c r="B534" t="s">
        <v>2469</v>
      </c>
      <c r="C534">
        <v>339</v>
      </c>
      <c r="D534">
        <v>4</v>
      </c>
      <c r="E534" t="s">
        <v>2472</v>
      </c>
    </row>
    <row r="535" spans="1:5" x14ac:dyDescent="0.3">
      <c r="A535" t="s">
        <v>1723</v>
      </c>
      <c r="B535" t="s">
        <v>2469</v>
      </c>
      <c r="C535">
        <v>487</v>
      </c>
      <c r="D535">
        <v>3</v>
      </c>
      <c r="E535" t="s">
        <v>2474</v>
      </c>
    </row>
    <row r="536" spans="1:5" x14ac:dyDescent="0.3">
      <c r="A536" t="s">
        <v>1722</v>
      </c>
      <c r="B536" t="s">
        <v>2469</v>
      </c>
      <c r="C536">
        <v>615</v>
      </c>
      <c r="D536">
        <v>9</v>
      </c>
      <c r="E536" t="s">
        <v>2468</v>
      </c>
    </row>
    <row r="537" spans="1:5" x14ac:dyDescent="0.3">
      <c r="A537" t="s">
        <v>1721</v>
      </c>
      <c r="B537" t="s">
        <v>2469</v>
      </c>
      <c r="C537">
        <v>473</v>
      </c>
      <c r="D537">
        <v>9</v>
      </c>
      <c r="E537" t="s">
        <v>2472</v>
      </c>
    </row>
    <row r="538" spans="1:5" x14ac:dyDescent="0.3">
      <c r="A538" t="s">
        <v>1720</v>
      </c>
      <c r="B538" t="s">
        <v>2469</v>
      </c>
      <c r="C538">
        <v>322</v>
      </c>
      <c r="D538">
        <v>3</v>
      </c>
      <c r="E538" t="s">
        <v>2475</v>
      </c>
    </row>
    <row r="539" spans="1:5" x14ac:dyDescent="0.3">
      <c r="A539" t="s">
        <v>1719</v>
      </c>
      <c r="B539" t="s">
        <v>2469</v>
      </c>
      <c r="C539">
        <v>667</v>
      </c>
      <c r="D539">
        <v>15</v>
      </c>
      <c r="E539" t="s">
        <v>2476</v>
      </c>
    </row>
    <row r="540" spans="1:5" x14ac:dyDescent="0.3">
      <c r="A540" t="s">
        <v>1718</v>
      </c>
      <c r="B540" t="s">
        <v>2469</v>
      </c>
      <c r="C540">
        <v>144</v>
      </c>
      <c r="D540">
        <v>2</v>
      </c>
      <c r="E540" t="s">
        <v>2476</v>
      </c>
    </row>
    <row r="541" spans="1:5" x14ac:dyDescent="0.3">
      <c r="A541" t="s">
        <v>1717</v>
      </c>
      <c r="B541" t="s">
        <v>2471</v>
      </c>
      <c r="C541">
        <v>2</v>
      </c>
      <c r="D541">
        <v>0</v>
      </c>
      <c r="E541" t="s">
        <v>2470</v>
      </c>
    </row>
    <row r="542" spans="1:5" x14ac:dyDescent="0.3">
      <c r="A542" t="s">
        <v>1716</v>
      </c>
      <c r="B542" t="s">
        <v>2469</v>
      </c>
      <c r="C542">
        <v>133</v>
      </c>
      <c r="D542">
        <v>4</v>
      </c>
      <c r="E542" t="s">
        <v>2472</v>
      </c>
    </row>
    <row r="543" spans="1:5" x14ac:dyDescent="0.3">
      <c r="A543" t="s">
        <v>1715</v>
      </c>
      <c r="B543" t="s">
        <v>2469</v>
      </c>
      <c r="C543">
        <v>109</v>
      </c>
      <c r="D543">
        <v>1</v>
      </c>
      <c r="E543" t="s">
        <v>2472</v>
      </c>
    </row>
    <row r="544" spans="1:5" x14ac:dyDescent="0.3">
      <c r="A544" t="s">
        <v>1714</v>
      </c>
      <c r="B544" t="s">
        <v>2469</v>
      </c>
      <c r="C544">
        <v>771</v>
      </c>
      <c r="D544">
        <v>10</v>
      </c>
      <c r="E544" t="s">
        <v>2468</v>
      </c>
    </row>
    <row r="545" spans="1:5" x14ac:dyDescent="0.3">
      <c r="A545" t="s">
        <v>1713</v>
      </c>
      <c r="B545" t="s">
        <v>2469</v>
      </c>
      <c r="C545">
        <v>142</v>
      </c>
      <c r="D545">
        <v>4</v>
      </c>
      <c r="E545" t="s">
        <v>2472</v>
      </c>
    </row>
    <row r="546" spans="1:5" x14ac:dyDescent="0.3">
      <c r="A546" t="s">
        <v>1712</v>
      </c>
      <c r="B546" t="s">
        <v>2471</v>
      </c>
      <c r="C546">
        <v>93</v>
      </c>
      <c r="D546">
        <v>0</v>
      </c>
      <c r="E546" t="s">
        <v>2470</v>
      </c>
    </row>
    <row r="547" spans="1:5" x14ac:dyDescent="0.3">
      <c r="A547" t="s">
        <v>1711</v>
      </c>
      <c r="B547" t="s">
        <v>2469</v>
      </c>
      <c r="C547">
        <v>100</v>
      </c>
      <c r="D547">
        <v>3</v>
      </c>
      <c r="E547" t="s">
        <v>2476</v>
      </c>
    </row>
    <row r="548" spans="1:5" x14ac:dyDescent="0.3">
      <c r="A548" t="s">
        <v>1710</v>
      </c>
      <c r="B548" t="s">
        <v>2473</v>
      </c>
      <c r="C548">
        <v>7</v>
      </c>
      <c r="D548">
        <v>1</v>
      </c>
      <c r="E548" t="s">
        <v>2468</v>
      </c>
    </row>
    <row r="549" spans="1:5" x14ac:dyDescent="0.3">
      <c r="A549" t="s">
        <v>1709</v>
      </c>
      <c r="B549" t="s">
        <v>2469</v>
      </c>
      <c r="C549">
        <v>739</v>
      </c>
      <c r="D549">
        <v>15</v>
      </c>
      <c r="E549" t="s">
        <v>2474</v>
      </c>
    </row>
    <row r="550" spans="1:5" x14ac:dyDescent="0.3">
      <c r="A550" t="s">
        <v>1708</v>
      </c>
      <c r="B550" t="s">
        <v>2469</v>
      </c>
      <c r="C550">
        <v>678</v>
      </c>
      <c r="D550">
        <v>5</v>
      </c>
      <c r="E550" t="s">
        <v>2472</v>
      </c>
    </row>
    <row r="551" spans="1:5" x14ac:dyDescent="0.3">
      <c r="A551" t="s">
        <v>1707</v>
      </c>
      <c r="B551" t="s">
        <v>2469</v>
      </c>
      <c r="C551">
        <v>526</v>
      </c>
      <c r="D551">
        <v>23</v>
      </c>
      <c r="E551" t="s">
        <v>2474</v>
      </c>
    </row>
    <row r="552" spans="1:5" x14ac:dyDescent="0.3">
      <c r="A552" t="s">
        <v>1706</v>
      </c>
      <c r="B552" t="s">
        <v>2471</v>
      </c>
      <c r="C552">
        <v>16</v>
      </c>
      <c r="D552">
        <v>0</v>
      </c>
      <c r="E552" t="s">
        <v>2470</v>
      </c>
    </row>
    <row r="553" spans="1:5" x14ac:dyDescent="0.3">
      <c r="A553" t="s">
        <v>1705</v>
      </c>
      <c r="B553" t="s">
        <v>2471</v>
      </c>
      <c r="C553">
        <v>3</v>
      </c>
      <c r="D553">
        <v>0</v>
      </c>
      <c r="E553" t="s">
        <v>2470</v>
      </c>
    </row>
    <row r="554" spans="1:5" x14ac:dyDescent="0.3">
      <c r="A554" t="s">
        <v>1704</v>
      </c>
      <c r="B554" t="s">
        <v>2473</v>
      </c>
      <c r="C554">
        <v>9</v>
      </c>
      <c r="D554">
        <v>1</v>
      </c>
      <c r="E554" t="s">
        <v>2472</v>
      </c>
    </row>
    <row r="555" spans="1:5" x14ac:dyDescent="0.3">
      <c r="A555" t="s">
        <v>1703</v>
      </c>
      <c r="B555" t="s">
        <v>2469</v>
      </c>
      <c r="C555">
        <v>596</v>
      </c>
      <c r="D555">
        <v>8</v>
      </c>
      <c r="E555" t="s">
        <v>2475</v>
      </c>
    </row>
    <row r="556" spans="1:5" x14ac:dyDescent="0.3">
      <c r="A556" t="s">
        <v>1702</v>
      </c>
      <c r="B556" t="s">
        <v>2471</v>
      </c>
      <c r="C556">
        <v>6</v>
      </c>
      <c r="D556">
        <v>0</v>
      </c>
      <c r="E556" t="s">
        <v>2470</v>
      </c>
    </row>
    <row r="557" spans="1:5" x14ac:dyDescent="0.3">
      <c r="A557" t="s">
        <v>1701</v>
      </c>
      <c r="B557" t="s">
        <v>2471</v>
      </c>
      <c r="C557">
        <v>58</v>
      </c>
      <c r="D557">
        <v>0</v>
      </c>
      <c r="E557" t="s">
        <v>2470</v>
      </c>
    </row>
    <row r="558" spans="1:5" x14ac:dyDescent="0.3">
      <c r="A558" t="s">
        <v>1700</v>
      </c>
      <c r="B558" t="s">
        <v>2469</v>
      </c>
      <c r="C558">
        <v>89</v>
      </c>
      <c r="D558">
        <v>1</v>
      </c>
      <c r="E558" t="s">
        <v>2472</v>
      </c>
    </row>
    <row r="559" spans="1:5" x14ac:dyDescent="0.3">
      <c r="A559" t="s">
        <v>1699</v>
      </c>
      <c r="B559" t="s">
        <v>2473</v>
      </c>
      <c r="C559">
        <v>7</v>
      </c>
      <c r="D559">
        <v>1</v>
      </c>
      <c r="E559" t="s">
        <v>2476</v>
      </c>
    </row>
    <row r="560" spans="1:5" x14ac:dyDescent="0.3">
      <c r="A560" t="s">
        <v>1698</v>
      </c>
      <c r="B560" t="s">
        <v>2469</v>
      </c>
      <c r="C560">
        <v>537</v>
      </c>
      <c r="D560">
        <v>14</v>
      </c>
      <c r="E560" t="s">
        <v>2474</v>
      </c>
    </row>
    <row r="561" spans="1:5" x14ac:dyDescent="0.3">
      <c r="A561" t="s">
        <v>1697</v>
      </c>
      <c r="B561" t="s">
        <v>2469</v>
      </c>
      <c r="C561">
        <v>62</v>
      </c>
      <c r="D561">
        <v>1</v>
      </c>
      <c r="E561" t="s">
        <v>2475</v>
      </c>
    </row>
    <row r="562" spans="1:5" x14ac:dyDescent="0.3">
      <c r="A562" t="s">
        <v>1696</v>
      </c>
      <c r="B562" t="s">
        <v>2471</v>
      </c>
      <c r="C562">
        <v>7</v>
      </c>
      <c r="D562">
        <v>0</v>
      </c>
      <c r="E562" t="s">
        <v>2470</v>
      </c>
    </row>
    <row r="563" spans="1:5" x14ac:dyDescent="0.3">
      <c r="A563" t="s">
        <v>1695</v>
      </c>
      <c r="B563" t="s">
        <v>2469</v>
      </c>
      <c r="C563">
        <v>120</v>
      </c>
      <c r="D563">
        <v>2</v>
      </c>
      <c r="E563" t="s">
        <v>2474</v>
      </c>
    </row>
    <row r="564" spans="1:5" x14ac:dyDescent="0.3">
      <c r="A564" t="s">
        <v>1694</v>
      </c>
      <c r="B564" t="s">
        <v>2469</v>
      </c>
      <c r="C564">
        <v>68</v>
      </c>
      <c r="D564">
        <v>1</v>
      </c>
      <c r="E564" t="s">
        <v>2476</v>
      </c>
    </row>
    <row r="565" spans="1:5" x14ac:dyDescent="0.3">
      <c r="A565" t="s">
        <v>1693</v>
      </c>
      <c r="B565" t="s">
        <v>2469</v>
      </c>
      <c r="C565">
        <v>617</v>
      </c>
      <c r="D565">
        <v>4</v>
      </c>
      <c r="E565" t="s">
        <v>2474</v>
      </c>
    </row>
    <row r="566" spans="1:5" x14ac:dyDescent="0.3">
      <c r="A566" t="s">
        <v>1692</v>
      </c>
      <c r="B566" t="s">
        <v>2471</v>
      </c>
      <c r="C566">
        <v>2</v>
      </c>
      <c r="D566">
        <v>0</v>
      </c>
      <c r="E566" t="s">
        <v>2470</v>
      </c>
    </row>
    <row r="567" spans="1:5" x14ac:dyDescent="0.3">
      <c r="A567" t="s">
        <v>1691</v>
      </c>
      <c r="B567" t="s">
        <v>2469</v>
      </c>
      <c r="C567">
        <v>498</v>
      </c>
      <c r="D567">
        <v>5</v>
      </c>
      <c r="E567" t="s">
        <v>2474</v>
      </c>
    </row>
    <row r="568" spans="1:5" x14ac:dyDescent="0.3">
      <c r="A568" t="s">
        <v>1690</v>
      </c>
      <c r="B568" t="s">
        <v>2469</v>
      </c>
      <c r="C568">
        <v>119</v>
      </c>
      <c r="D568">
        <v>1</v>
      </c>
      <c r="E568" t="s">
        <v>2474</v>
      </c>
    </row>
    <row r="569" spans="1:5" x14ac:dyDescent="0.3">
      <c r="A569" t="s">
        <v>1689</v>
      </c>
      <c r="B569" t="s">
        <v>2469</v>
      </c>
      <c r="C569">
        <v>272</v>
      </c>
      <c r="D569">
        <v>1</v>
      </c>
      <c r="E569" t="s">
        <v>2475</v>
      </c>
    </row>
    <row r="570" spans="1:5" x14ac:dyDescent="0.3">
      <c r="A570" t="s">
        <v>1688</v>
      </c>
      <c r="B570" t="s">
        <v>2471</v>
      </c>
      <c r="C570">
        <v>18</v>
      </c>
      <c r="D570">
        <v>0</v>
      </c>
      <c r="E570" t="s">
        <v>2470</v>
      </c>
    </row>
    <row r="571" spans="1:5" x14ac:dyDescent="0.3">
      <c r="A571" t="s">
        <v>1687</v>
      </c>
      <c r="B571" t="s">
        <v>2471</v>
      </c>
      <c r="C571">
        <v>5</v>
      </c>
      <c r="D571">
        <v>0</v>
      </c>
      <c r="E571" t="s">
        <v>2470</v>
      </c>
    </row>
    <row r="572" spans="1:5" x14ac:dyDescent="0.3">
      <c r="A572" t="s">
        <v>1686</v>
      </c>
      <c r="B572" t="s">
        <v>2469</v>
      </c>
      <c r="C572">
        <v>187</v>
      </c>
      <c r="D572">
        <v>4</v>
      </c>
      <c r="E572" t="s">
        <v>2472</v>
      </c>
    </row>
    <row r="573" spans="1:5" x14ac:dyDescent="0.3">
      <c r="A573" t="s">
        <v>1685</v>
      </c>
      <c r="B573" t="s">
        <v>2473</v>
      </c>
      <c r="C573">
        <v>146</v>
      </c>
      <c r="D573">
        <v>10</v>
      </c>
      <c r="E573" t="s">
        <v>2475</v>
      </c>
    </row>
    <row r="574" spans="1:5" x14ac:dyDescent="0.3">
      <c r="A574" t="s">
        <v>1684</v>
      </c>
      <c r="B574" t="s">
        <v>2469</v>
      </c>
      <c r="C574">
        <v>748</v>
      </c>
      <c r="D574">
        <v>8</v>
      </c>
      <c r="E574" t="s">
        <v>2472</v>
      </c>
    </row>
    <row r="575" spans="1:5" x14ac:dyDescent="0.3">
      <c r="A575" t="s">
        <v>1683</v>
      </c>
      <c r="B575" t="s">
        <v>2469</v>
      </c>
      <c r="C575">
        <v>609</v>
      </c>
      <c r="D575">
        <v>31</v>
      </c>
      <c r="E575" t="s">
        <v>2474</v>
      </c>
    </row>
    <row r="576" spans="1:5" x14ac:dyDescent="0.3">
      <c r="A576" t="s">
        <v>1682</v>
      </c>
      <c r="B576" t="s">
        <v>2469</v>
      </c>
      <c r="C576">
        <v>1833</v>
      </c>
      <c r="D576">
        <v>44</v>
      </c>
      <c r="E576" t="s">
        <v>2468</v>
      </c>
    </row>
    <row r="577" spans="1:5" x14ac:dyDescent="0.3">
      <c r="A577" t="s">
        <v>1681</v>
      </c>
      <c r="B577" t="s">
        <v>2471</v>
      </c>
      <c r="C577">
        <v>5</v>
      </c>
      <c r="D577">
        <v>0</v>
      </c>
      <c r="E577" t="s">
        <v>2470</v>
      </c>
    </row>
    <row r="578" spans="1:5" x14ac:dyDescent="0.3">
      <c r="A578" t="s">
        <v>1680</v>
      </c>
      <c r="B578" t="s">
        <v>2473</v>
      </c>
      <c r="C578">
        <v>92</v>
      </c>
      <c r="D578">
        <v>9</v>
      </c>
      <c r="E578" t="s">
        <v>2474</v>
      </c>
    </row>
    <row r="579" spans="1:5" x14ac:dyDescent="0.3">
      <c r="A579" t="s">
        <v>1679</v>
      </c>
      <c r="B579" t="s">
        <v>2469</v>
      </c>
      <c r="C579">
        <v>480</v>
      </c>
      <c r="D579">
        <v>12</v>
      </c>
      <c r="E579" t="s">
        <v>2475</v>
      </c>
    </row>
    <row r="580" spans="1:5" x14ac:dyDescent="0.3">
      <c r="A580" t="s">
        <v>1678</v>
      </c>
      <c r="B580" t="s">
        <v>2469</v>
      </c>
      <c r="C580">
        <v>149</v>
      </c>
      <c r="D580">
        <v>1</v>
      </c>
      <c r="E580" t="s">
        <v>2474</v>
      </c>
    </row>
    <row r="581" spans="1:5" x14ac:dyDescent="0.3">
      <c r="A581" t="s">
        <v>1677</v>
      </c>
      <c r="B581" t="s">
        <v>2473</v>
      </c>
      <c r="C581">
        <v>125</v>
      </c>
      <c r="D581">
        <v>8</v>
      </c>
      <c r="E581" t="s">
        <v>2476</v>
      </c>
    </row>
    <row r="582" spans="1:5" x14ac:dyDescent="0.3">
      <c r="A582" t="s">
        <v>1676</v>
      </c>
      <c r="B582" t="s">
        <v>2469</v>
      </c>
      <c r="C582">
        <v>121</v>
      </c>
      <c r="D582">
        <v>2</v>
      </c>
      <c r="E582" t="s">
        <v>2475</v>
      </c>
    </row>
    <row r="583" spans="1:5" x14ac:dyDescent="0.3">
      <c r="A583" t="s">
        <v>1675</v>
      </c>
      <c r="B583" t="s">
        <v>2471</v>
      </c>
      <c r="C583">
        <v>13</v>
      </c>
      <c r="D583">
        <v>0</v>
      </c>
      <c r="E583" t="s">
        <v>2470</v>
      </c>
    </row>
    <row r="584" spans="1:5" x14ac:dyDescent="0.3">
      <c r="A584" t="s">
        <v>1674</v>
      </c>
      <c r="B584" t="s">
        <v>2471</v>
      </c>
      <c r="C584">
        <v>8</v>
      </c>
      <c r="D584">
        <v>0</v>
      </c>
      <c r="E584" t="s">
        <v>2470</v>
      </c>
    </row>
    <row r="585" spans="1:5" x14ac:dyDescent="0.3">
      <c r="A585" t="s">
        <v>1673</v>
      </c>
      <c r="B585" t="s">
        <v>2469</v>
      </c>
      <c r="C585">
        <v>24</v>
      </c>
      <c r="D585">
        <v>1</v>
      </c>
      <c r="E585" t="s">
        <v>2475</v>
      </c>
    </row>
    <row r="586" spans="1:5" x14ac:dyDescent="0.3">
      <c r="A586" t="s">
        <v>1672</v>
      </c>
      <c r="B586" t="s">
        <v>2473</v>
      </c>
      <c r="C586">
        <v>10</v>
      </c>
      <c r="D586">
        <v>1</v>
      </c>
      <c r="E586" t="s">
        <v>2476</v>
      </c>
    </row>
    <row r="587" spans="1:5" x14ac:dyDescent="0.3">
      <c r="A587" t="s">
        <v>1671</v>
      </c>
      <c r="B587" t="s">
        <v>2471</v>
      </c>
      <c r="C587">
        <v>8</v>
      </c>
      <c r="D587">
        <v>0</v>
      </c>
      <c r="E587" t="s">
        <v>2470</v>
      </c>
    </row>
    <row r="588" spans="1:5" x14ac:dyDescent="0.3">
      <c r="A588" t="s">
        <v>1670</v>
      </c>
      <c r="B588" t="s">
        <v>2471</v>
      </c>
      <c r="C588">
        <v>6</v>
      </c>
      <c r="D588">
        <v>0</v>
      </c>
      <c r="E588" t="s">
        <v>2470</v>
      </c>
    </row>
    <row r="589" spans="1:5" x14ac:dyDescent="0.3">
      <c r="A589" t="s">
        <v>1669</v>
      </c>
      <c r="B589" t="s">
        <v>2469</v>
      </c>
      <c r="C589">
        <v>713</v>
      </c>
      <c r="D589">
        <v>13</v>
      </c>
      <c r="E589" t="s">
        <v>2476</v>
      </c>
    </row>
    <row r="590" spans="1:5" x14ac:dyDescent="0.3">
      <c r="A590" t="s">
        <v>1668</v>
      </c>
      <c r="B590" t="s">
        <v>2469</v>
      </c>
      <c r="C590">
        <v>176</v>
      </c>
      <c r="D590">
        <v>2</v>
      </c>
      <c r="E590" t="s">
        <v>2468</v>
      </c>
    </row>
    <row r="591" spans="1:5" x14ac:dyDescent="0.3">
      <c r="A591" t="s">
        <v>1667</v>
      </c>
      <c r="B591" t="s">
        <v>2469</v>
      </c>
      <c r="C591">
        <v>188</v>
      </c>
      <c r="D591">
        <v>3</v>
      </c>
      <c r="E591" t="s">
        <v>2474</v>
      </c>
    </row>
    <row r="592" spans="1:5" x14ac:dyDescent="0.3">
      <c r="A592" t="s">
        <v>1666</v>
      </c>
      <c r="B592" t="s">
        <v>2469</v>
      </c>
      <c r="C592">
        <v>612</v>
      </c>
      <c r="D592">
        <v>12</v>
      </c>
      <c r="E592" t="s">
        <v>2474</v>
      </c>
    </row>
    <row r="593" spans="1:5" x14ac:dyDescent="0.3">
      <c r="A593" t="s">
        <v>1665</v>
      </c>
      <c r="B593" t="s">
        <v>2471</v>
      </c>
      <c r="C593">
        <v>2</v>
      </c>
      <c r="D593">
        <v>0</v>
      </c>
      <c r="E593" t="s">
        <v>2470</v>
      </c>
    </row>
    <row r="594" spans="1:5" x14ac:dyDescent="0.3">
      <c r="A594" t="s">
        <v>1664</v>
      </c>
      <c r="B594" t="s">
        <v>2473</v>
      </c>
      <c r="C594">
        <v>107</v>
      </c>
      <c r="D594">
        <v>6</v>
      </c>
      <c r="E594" t="s">
        <v>2472</v>
      </c>
    </row>
    <row r="595" spans="1:5" x14ac:dyDescent="0.3">
      <c r="A595" t="s">
        <v>1663</v>
      </c>
      <c r="B595" t="s">
        <v>2473</v>
      </c>
      <c r="C595">
        <v>11</v>
      </c>
      <c r="D595">
        <v>1</v>
      </c>
      <c r="E595" t="s">
        <v>2468</v>
      </c>
    </row>
    <row r="596" spans="1:5" x14ac:dyDescent="0.3">
      <c r="A596" t="s">
        <v>1662</v>
      </c>
      <c r="B596" t="s">
        <v>2469</v>
      </c>
      <c r="C596">
        <v>162</v>
      </c>
      <c r="D596">
        <v>4</v>
      </c>
      <c r="E596" t="s">
        <v>2476</v>
      </c>
    </row>
    <row r="597" spans="1:5" x14ac:dyDescent="0.3">
      <c r="A597" t="s">
        <v>1661</v>
      </c>
      <c r="B597" t="s">
        <v>2469</v>
      </c>
      <c r="C597">
        <v>91</v>
      </c>
      <c r="D597">
        <v>3</v>
      </c>
      <c r="E597" t="s">
        <v>2475</v>
      </c>
    </row>
    <row r="598" spans="1:5" x14ac:dyDescent="0.3">
      <c r="A598" t="s">
        <v>1660</v>
      </c>
      <c r="B598" t="s">
        <v>2471</v>
      </c>
      <c r="C598">
        <v>3</v>
      </c>
      <c r="D598">
        <v>0</v>
      </c>
      <c r="E598" t="s">
        <v>2470</v>
      </c>
    </row>
    <row r="599" spans="1:5" x14ac:dyDescent="0.3">
      <c r="A599" t="s">
        <v>1659</v>
      </c>
      <c r="B599" t="s">
        <v>2469</v>
      </c>
      <c r="C599">
        <v>608</v>
      </c>
      <c r="D599">
        <v>20</v>
      </c>
      <c r="E599" t="s">
        <v>2474</v>
      </c>
    </row>
    <row r="600" spans="1:5" x14ac:dyDescent="0.3">
      <c r="A600" t="s">
        <v>1658</v>
      </c>
      <c r="B600" t="s">
        <v>2469</v>
      </c>
      <c r="C600">
        <v>195</v>
      </c>
      <c r="D600">
        <v>1</v>
      </c>
      <c r="E600" t="s">
        <v>2476</v>
      </c>
    </row>
    <row r="601" spans="1:5" x14ac:dyDescent="0.3">
      <c r="A601" t="s">
        <v>1657</v>
      </c>
      <c r="B601" t="s">
        <v>2469</v>
      </c>
      <c r="C601">
        <v>692</v>
      </c>
      <c r="D601">
        <v>10</v>
      </c>
      <c r="E601" t="s">
        <v>2474</v>
      </c>
    </row>
    <row r="602" spans="1:5" x14ac:dyDescent="0.3">
      <c r="A602" t="s">
        <v>1656</v>
      </c>
      <c r="B602" t="s">
        <v>2469</v>
      </c>
      <c r="C602">
        <v>167</v>
      </c>
      <c r="D602">
        <v>2</v>
      </c>
      <c r="E602" t="s">
        <v>2475</v>
      </c>
    </row>
    <row r="603" spans="1:5" x14ac:dyDescent="0.3">
      <c r="A603" t="s">
        <v>1655</v>
      </c>
      <c r="B603" t="s">
        <v>2469</v>
      </c>
      <c r="C603">
        <v>199</v>
      </c>
      <c r="D603">
        <v>7</v>
      </c>
      <c r="E603" t="s">
        <v>2468</v>
      </c>
    </row>
    <row r="604" spans="1:5" x14ac:dyDescent="0.3">
      <c r="A604" t="s">
        <v>1654</v>
      </c>
      <c r="B604" t="s">
        <v>2469</v>
      </c>
      <c r="C604">
        <v>253</v>
      </c>
      <c r="D604">
        <v>9</v>
      </c>
      <c r="E604" t="s">
        <v>2476</v>
      </c>
    </row>
    <row r="605" spans="1:5" x14ac:dyDescent="0.3">
      <c r="A605" t="s">
        <v>1653</v>
      </c>
      <c r="B605" t="s">
        <v>2469</v>
      </c>
      <c r="C605">
        <v>59</v>
      </c>
      <c r="D605">
        <v>2</v>
      </c>
      <c r="E605" t="s">
        <v>2476</v>
      </c>
    </row>
    <row r="606" spans="1:5" x14ac:dyDescent="0.3">
      <c r="A606" t="s">
        <v>1652</v>
      </c>
      <c r="B606" t="s">
        <v>2473</v>
      </c>
      <c r="C606">
        <v>141</v>
      </c>
      <c r="D606">
        <v>9</v>
      </c>
      <c r="E606" t="s">
        <v>2472</v>
      </c>
    </row>
    <row r="607" spans="1:5" x14ac:dyDescent="0.3">
      <c r="A607" t="s">
        <v>1651</v>
      </c>
      <c r="B607" t="s">
        <v>2471</v>
      </c>
      <c r="C607">
        <v>2</v>
      </c>
      <c r="D607">
        <v>0</v>
      </c>
      <c r="E607" t="s">
        <v>2470</v>
      </c>
    </row>
    <row r="608" spans="1:5" x14ac:dyDescent="0.3">
      <c r="A608" t="s">
        <v>1650</v>
      </c>
      <c r="B608" t="s">
        <v>2471</v>
      </c>
      <c r="C608">
        <v>3</v>
      </c>
      <c r="D608">
        <v>0</v>
      </c>
      <c r="E608" t="s">
        <v>2470</v>
      </c>
    </row>
    <row r="609" spans="1:5" x14ac:dyDescent="0.3">
      <c r="A609" t="s">
        <v>1649</v>
      </c>
      <c r="B609" t="s">
        <v>2469</v>
      </c>
      <c r="C609">
        <v>509</v>
      </c>
      <c r="D609">
        <v>14</v>
      </c>
      <c r="E609" t="s">
        <v>2472</v>
      </c>
    </row>
    <row r="610" spans="1:5" x14ac:dyDescent="0.3">
      <c r="A610" t="s">
        <v>1648</v>
      </c>
      <c r="B610" t="s">
        <v>2469</v>
      </c>
      <c r="C610">
        <v>738</v>
      </c>
      <c r="D610">
        <v>6</v>
      </c>
      <c r="E610" t="s">
        <v>2474</v>
      </c>
    </row>
    <row r="611" spans="1:5" x14ac:dyDescent="0.3">
      <c r="A611" t="s">
        <v>1647</v>
      </c>
      <c r="B611" t="s">
        <v>2471</v>
      </c>
      <c r="C611">
        <v>4</v>
      </c>
      <c r="D611">
        <v>0</v>
      </c>
      <c r="E611" t="s">
        <v>2470</v>
      </c>
    </row>
    <row r="612" spans="1:5" x14ac:dyDescent="0.3">
      <c r="A612" t="s">
        <v>1646</v>
      </c>
      <c r="B612" t="s">
        <v>2469</v>
      </c>
      <c r="C612">
        <v>618</v>
      </c>
      <c r="D612">
        <v>16</v>
      </c>
      <c r="E612" t="s">
        <v>2468</v>
      </c>
    </row>
    <row r="613" spans="1:5" x14ac:dyDescent="0.3">
      <c r="A613" t="s">
        <v>1645</v>
      </c>
      <c r="B613" t="s">
        <v>2469</v>
      </c>
      <c r="C613">
        <v>89</v>
      </c>
      <c r="D613">
        <v>1</v>
      </c>
      <c r="E613" t="s">
        <v>2468</v>
      </c>
    </row>
    <row r="614" spans="1:5" x14ac:dyDescent="0.3">
      <c r="A614" t="s">
        <v>1644</v>
      </c>
      <c r="B614" t="s">
        <v>2469</v>
      </c>
      <c r="C614">
        <v>356</v>
      </c>
      <c r="D614">
        <v>3</v>
      </c>
      <c r="E614" t="s">
        <v>2475</v>
      </c>
    </row>
    <row r="615" spans="1:5" x14ac:dyDescent="0.3">
      <c r="A615" t="s">
        <v>1643</v>
      </c>
      <c r="B615" t="s">
        <v>2469</v>
      </c>
      <c r="C615">
        <v>142</v>
      </c>
      <c r="D615">
        <v>2</v>
      </c>
      <c r="E615" t="s">
        <v>2475</v>
      </c>
    </row>
    <row r="616" spans="1:5" x14ac:dyDescent="0.3">
      <c r="A616" t="s">
        <v>1642</v>
      </c>
      <c r="B616" t="s">
        <v>2473</v>
      </c>
      <c r="C616">
        <v>17</v>
      </c>
      <c r="D616">
        <v>1</v>
      </c>
      <c r="E616" t="s">
        <v>2472</v>
      </c>
    </row>
    <row r="617" spans="1:5" x14ac:dyDescent="0.3">
      <c r="A617" t="s">
        <v>1641</v>
      </c>
      <c r="B617" t="s">
        <v>2473</v>
      </c>
      <c r="C617">
        <v>38</v>
      </c>
      <c r="D617">
        <v>4</v>
      </c>
      <c r="E617" t="s">
        <v>2475</v>
      </c>
    </row>
    <row r="618" spans="1:5" x14ac:dyDescent="0.3">
      <c r="A618" t="s">
        <v>1640</v>
      </c>
      <c r="B618" t="s">
        <v>2469</v>
      </c>
      <c r="C618">
        <v>89</v>
      </c>
      <c r="D618">
        <v>2</v>
      </c>
      <c r="E618" t="s">
        <v>2472</v>
      </c>
    </row>
    <row r="619" spans="1:5" x14ac:dyDescent="0.3">
      <c r="A619" t="s">
        <v>1639</v>
      </c>
      <c r="B619" t="s">
        <v>2469</v>
      </c>
      <c r="C619">
        <v>372</v>
      </c>
      <c r="D619">
        <v>6</v>
      </c>
      <c r="E619" t="s">
        <v>2475</v>
      </c>
    </row>
    <row r="620" spans="1:5" x14ac:dyDescent="0.3">
      <c r="A620" t="s">
        <v>1638</v>
      </c>
      <c r="B620" t="s">
        <v>2469</v>
      </c>
      <c r="C620">
        <v>47</v>
      </c>
      <c r="D620">
        <v>1</v>
      </c>
      <c r="E620" t="s">
        <v>2468</v>
      </c>
    </row>
    <row r="621" spans="1:5" x14ac:dyDescent="0.3">
      <c r="A621" t="s">
        <v>1637</v>
      </c>
      <c r="B621" t="s">
        <v>2471</v>
      </c>
      <c r="C621">
        <v>9</v>
      </c>
      <c r="D621">
        <v>0</v>
      </c>
      <c r="E621" t="s">
        <v>2470</v>
      </c>
    </row>
    <row r="622" spans="1:5" x14ac:dyDescent="0.3">
      <c r="A622" t="s">
        <v>1636</v>
      </c>
      <c r="B622" t="s">
        <v>2469</v>
      </c>
      <c r="C622">
        <v>21</v>
      </c>
      <c r="D622">
        <v>1</v>
      </c>
      <c r="E622" t="s">
        <v>2476</v>
      </c>
    </row>
    <row r="623" spans="1:5" x14ac:dyDescent="0.3">
      <c r="A623" t="s">
        <v>1635</v>
      </c>
      <c r="B623" t="s">
        <v>2469</v>
      </c>
      <c r="C623">
        <v>447</v>
      </c>
      <c r="D623">
        <v>4</v>
      </c>
      <c r="E623" t="s">
        <v>2475</v>
      </c>
    </row>
    <row r="624" spans="1:5" x14ac:dyDescent="0.3">
      <c r="A624" t="s">
        <v>1634</v>
      </c>
      <c r="B624" t="s">
        <v>2469</v>
      </c>
      <c r="C624">
        <v>176</v>
      </c>
      <c r="D624">
        <v>5</v>
      </c>
      <c r="E624" t="s">
        <v>2476</v>
      </c>
    </row>
    <row r="625" spans="1:5" x14ac:dyDescent="0.3">
      <c r="A625" t="s">
        <v>1633</v>
      </c>
      <c r="B625" t="s">
        <v>2473</v>
      </c>
      <c r="C625">
        <v>176</v>
      </c>
      <c r="D625">
        <v>12</v>
      </c>
      <c r="E625" t="s">
        <v>2474</v>
      </c>
    </row>
    <row r="626" spans="1:5" x14ac:dyDescent="0.3">
      <c r="A626" t="s">
        <v>1632</v>
      </c>
      <c r="B626" t="s">
        <v>2469</v>
      </c>
      <c r="C626">
        <v>162</v>
      </c>
      <c r="D626">
        <v>5</v>
      </c>
      <c r="E626" t="s">
        <v>2476</v>
      </c>
    </row>
    <row r="627" spans="1:5" x14ac:dyDescent="0.3">
      <c r="A627" t="s">
        <v>1631</v>
      </c>
      <c r="B627" t="s">
        <v>2469</v>
      </c>
      <c r="C627">
        <v>538</v>
      </c>
      <c r="D627">
        <v>11</v>
      </c>
      <c r="E627" t="s">
        <v>2468</v>
      </c>
    </row>
    <row r="628" spans="1:5" x14ac:dyDescent="0.3">
      <c r="A628" t="s">
        <v>1630</v>
      </c>
      <c r="B628" t="s">
        <v>2469</v>
      </c>
      <c r="C628">
        <v>1615</v>
      </c>
      <c r="D628">
        <v>57</v>
      </c>
      <c r="E628" t="s">
        <v>2476</v>
      </c>
    </row>
    <row r="629" spans="1:5" x14ac:dyDescent="0.3">
      <c r="A629" t="s">
        <v>1629</v>
      </c>
      <c r="B629" t="s">
        <v>2471</v>
      </c>
      <c r="C629">
        <v>22</v>
      </c>
      <c r="D629">
        <v>0</v>
      </c>
      <c r="E629" t="s">
        <v>2470</v>
      </c>
    </row>
    <row r="630" spans="1:5" x14ac:dyDescent="0.3">
      <c r="A630" t="s">
        <v>1628</v>
      </c>
      <c r="B630" t="s">
        <v>2473</v>
      </c>
      <c r="C630">
        <v>136</v>
      </c>
      <c r="D630">
        <v>14</v>
      </c>
      <c r="E630" t="s">
        <v>2468</v>
      </c>
    </row>
    <row r="631" spans="1:5" x14ac:dyDescent="0.3">
      <c r="A631" t="s">
        <v>1627</v>
      </c>
      <c r="B631" t="s">
        <v>2469</v>
      </c>
      <c r="C631">
        <v>1649</v>
      </c>
      <c r="D631">
        <v>57</v>
      </c>
      <c r="E631" t="s">
        <v>2468</v>
      </c>
    </row>
    <row r="632" spans="1:5" x14ac:dyDescent="0.3">
      <c r="A632" t="s">
        <v>1626</v>
      </c>
      <c r="B632" t="s">
        <v>2471</v>
      </c>
      <c r="C632">
        <v>8</v>
      </c>
      <c r="D632">
        <v>0</v>
      </c>
      <c r="E632" t="s">
        <v>2470</v>
      </c>
    </row>
    <row r="633" spans="1:5" x14ac:dyDescent="0.3">
      <c r="A633" t="s">
        <v>1625</v>
      </c>
      <c r="B633" t="s">
        <v>2471</v>
      </c>
      <c r="C633">
        <v>14</v>
      </c>
      <c r="D633">
        <v>0</v>
      </c>
      <c r="E633" t="s">
        <v>2470</v>
      </c>
    </row>
    <row r="634" spans="1:5" x14ac:dyDescent="0.3">
      <c r="A634" t="s">
        <v>1624</v>
      </c>
      <c r="B634" t="s">
        <v>2471</v>
      </c>
      <c r="C634">
        <v>2</v>
      </c>
      <c r="D634">
        <v>0</v>
      </c>
      <c r="E634" t="s">
        <v>2470</v>
      </c>
    </row>
    <row r="635" spans="1:5" x14ac:dyDescent="0.3">
      <c r="A635" t="s">
        <v>1623</v>
      </c>
      <c r="B635" t="s">
        <v>2469</v>
      </c>
      <c r="C635">
        <v>83</v>
      </c>
      <c r="D635">
        <v>1</v>
      </c>
      <c r="E635" t="s">
        <v>2472</v>
      </c>
    </row>
    <row r="636" spans="1:5" x14ac:dyDescent="0.3">
      <c r="A636" t="s">
        <v>1622</v>
      </c>
      <c r="B636" t="s">
        <v>2469</v>
      </c>
      <c r="C636">
        <v>357</v>
      </c>
      <c r="D636">
        <v>4</v>
      </c>
      <c r="E636" t="s">
        <v>2476</v>
      </c>
    </row>
    <row r="637" spans="1:5" x14ac:dyDescent="0.3">
      <c r="A637" t="s">
        <v>1621</v>
      </c>
      <c r="B637" t="s">
        <v>2469</v>
      </c>
      <c r="C637">
        <v>137</v>
      </c>
      <c r="D637">
        <v>3</v>
      </c>
      <c r="E637" t="s">
        <v>2474</v>
      </c>
    </row>
    <row r="638" spans="1:5" x14ac:dyDescent="0.3">
      <c r="A638" t="s">
        <v>1620</v>
      </c>
      <c r="B638" t="s">
        <v>2469</v>
      </c>
      <c r="C638">
        <v>49</v>
      </c>
      <c r="D638">
        <v>1</v>
      </c>
      <c r="E638" t="s">
        <v>2472</v>
      </c>
    </row>
    <row r="639" spans="1:5" x14ac:dyDescent="0.3">
      <c r="A639" t="s">
        <v>1619</v>
      </c>
      <c r="B639" t="s">
        <v>2469</v>
      </c>
      <c r="C639">
        <v>158</v>
      </c>
      <c r="D639">
        <v>3</v>
      </c>
      <c r="E639" t="s">
        <v>2475</v>
      </c>
    </row>
    <row r="640" spans="1:5" x14ac:dyDescent="0.3">
      <c r="A640" t="s">
        <v>1618</v>
      </c>
      <c r="B640" t="s">
        <v>2469</v>
      </c>
      <c r="C640">
        <v>224</v>
      </c>
      <c r="D640">
        <v>3</v>
      </c>
      <c r="E640" t="s">
        <v>2475</v>
      </c>
    </row>
    <row r="641" spans="1:5" x14ac:dyDescent="0.3">
      <c r="A641" t="s">
        <v>1617</v>
      </c>
      <c r="B641" t="s">
        <v>2471</v>
      </c>
      <c r="C641">
        <v>3</v>
      </c>
      <c r="D641">
        <v>0</v>
      </c>
      <c r="E641" t="s">
        <v>2470</v>
      </c>
    </row>
    <row r="642" spans="1:5" x14ac:dyDescent="0.3">
      <c r="A642" t="s">
        <v>1616</v>
      </c>
      <c r="B642" t="s">
        <v>2469</v>
      </c>
      <c r="C642">
        <v>131</v>
      </c>
      <c r="D642">
        <v>3</v>
      </c>
      <c r="E642" t="s">
        <v>2476</v>
      </c>
    </row>
    <row r="643" spans="1:5" x14ac:dyDescent="0.3">
      <c r="A643" t="s">
        <v>1615</v>
      </c>
      <c r="B643" t="s">
        <v>2471</v>
      </c>
      <c r="C643">
        <v>8</v>
      </c>
      <c r="D643">
        <v>0</v>
      </c>
      <c r="E643" t="s">
        <v>2470</v>
      </c>
    </row>
    <row r="644" spans="1:5" x14ac:dyDescent="0.3">
      <c r="A644" t="s">
        <v>1614</v>
      </c>
      <c r="B644" t="s">
        <v>2469</v>
      </c>
      <c r="C644">
        <v>440</v>
      </c>
      <c r="D644">
        <v>3</v>
      </c>
      <c r="E644" t="s">
        <v>2472</v>
      </c>
    </row>
    <row r="645" spans="1:5" x14ac:dyDescent="0.3">
      <c r="A645" t="s">
        <v>1613</v>
      </c>
      <c r="B645" t="s">
        <v>2469</v>
      </c>
      <c r="C645">
        <v>168</v>
      </c>
      <c r="D645">
        <v>1</v>
      </c>
      <c r="E645" t="s">
        <v>2468</v>
      </c>
    </row>
    <row r="646" spans="1:5" x14ac:dyDescent="0.3">
      <c r="A646" t="s">
        <v>1612</v>
      </c>
      <c r="B646" t="s">
        <v>2471</v>
      </c>
      <c r="C646">
        <v>5</v>
      </c>
      <c r="D646">
        <v>0</v>
      </c>
      <c r="E646" t="s">
        <v>2470</v>
      </c>
    </row>
    <row r="647" spans="1:5" x14ac:dyDescent="0.3">
      <c r="A647" t="s">
        <v>1611</v>
      </c>
      <c r="B647" t="s">
        <v>2469</v>
      </c>
      <c r="C647">
        <v>333</v>
      </c>
      <c r="D647">
        <v>3</v>
      </c>
      <c r="E647" t="s">
        <v>2468</v>
      </c>
    </row>
    <row r="648" spans="1:5" x14ac:dyDescent="0.3">
      <c r="A648" t="s">
        <v>1610</v>
      </c>
      <c r="B648" t="s">
        <v>2471</v>
      </c>
      <c r="C648">
        <v>2</v>
      </c>
      <c r="D648">
        <v>0</v>
      </c>
      <c r="E648" t="s">
        <v>2470</v>
      </c>
    </row>
    <row r="649" spans="1:5" x14ac:dyDescent="0.3">
      <c r="A649" t="s">
        <v>1609</v>
      </c>
      <c r="B649" t="s">
        <v>2471</v>
      </c>
      <c r="C649">
        <v>12</v>
      </c>
      <c r="D649">
        <v>0</v>
      </c>
      <c r="E649" t="s">
        <v>2470</v>
      </c>
    </row>
    <row r="650" spans="1:5" x14ac:dyDescent="0.3">
      <c r="A650" t="s">
        <v>1608</v>
      </c>
      <c r="B650" t="s">
        <v>2469</v>
      </c>
      <c r="C650">
        <v>82</v>
      </c>
      <c r="D650">
        <v>3</v>
      </c>
      <c r="E650" t="s">
        <v>2468</v>
      </c>
    </row>
    <row r="651" spans="1:5" x14ac:dyDescent="0.3">
      <c r="A651" t="s">
        <v>1607</v>
      </c>
      <c r="B651" t="s">
        <v>2471</v>
      </c>
      <c r="C651">
        <v>22</v>
      </c>
      <c r="D651">
        <v>0</v>
      </c>
      <c r="E651" t="s">
        <v>2470</v>
      </c>
    </row>
    <row r="652" spans="1:5" x14ac:dyDescent="0.3">
      <c r="A652" t="s">
        <v>1606</v>
      </c>
      <c r="B652" t="s">
        <v>2473</v>
      </c>
      <c r="C652">
        <v>113</v>
      </c>
      <c r="D652">
        <v>21</v>
      </c>
      <c r="E652" t="s">
        <v>2468</v>
      </c>
    </row>
    <row r="653" spans="1:5" x14ac:dyDescent="0.3">
      <c r="A653" t="s">
        <v>1605</v>
      </c>
      <c r="B653" t="s">
        <v>2471</v>
      </c>
      <c r="C653">
        <v>10</v>
      </c>
      <c r="D653">
        <v>0</v>
      </c>
      <c r="E653" t="s">
        <v>2470</v>
      </c>
    </row>
    <row r="654" spans="1:5" x14ac:dyDescent="0.3">
      <c r="A654" t="s">
        <v>1604</v>
      </c>
      <c r="B654" t="s">
        <v>2469</v>
      </c>
      <c r="C654">
        <v>311</v>
      </c>
      <c r="D654">
        <v>6</v>
      </c>
      <c r="E654" t="s">
        <v>2474</v>
      </c>
    </row>
    <row r="655" spans="1:5" x14ac:dyDescent="0.3">
      <c r="A655" t="s">
        <v>1603</v>
      </c>
      <c r="B655" t="s">
        <v>2471</v>
      </c>
      <c r="C655">
        <v>3</v>
      </c>
      <c r="D655">
        <v>0</v>
      </c>
      <c r="E655" t="s">
        <v>2470</v>
      </c>
    </row>
    <row r="656" spans="1:5" x14ac:dyDescent="0.3">
      <c r="A656" t="s">
        <v>1602</v>
      </c>
      <c r="B656" t="s">
        <v>2473</v>
      </c>
      <c r="C656">
        <v>645</v>
      </c>
      <c r="D656">
        <v>75</v>
      </c>
      <c r="E656" t="s">
        <v>2472</v>
      </c>
    </row>
    <row r="657" spans="1:5" x14ac:dyDescent="0.3">
      <c r="A657" t="s">
        <v>1601</v>
      </c>
      <c r="B657" t="s">
        <v>2471</v>
      </c>
      <c r="C657">
        <v>52</v>
      </c>
      <c r="D657">
        <v>0</v>
      </c>
      <c r="E657" t="s">
        <v>2470</v>
      </c>
    </row>
    <row r="658" spans="1:5" x14ac:dyDescent="0.3">
      <c r="A658" t="s">
        <v>1600</v>
      </c>
      <c r="B658" t="s">
        <v>2469</v>
      </c>
      <c r="C658">
        <v>282</v>
      </c>
      <c r="D658">
        <v>7</v>
      </c>
      <c r="E658" t="s">
        <v>2474</v>
      </c>
    </row>
    <row r="659" spans="1:5" x14ac:dyDescent="0.3">
      <c r="A659" t="s">
        <v>1599</v>
      </c>
      <c r="B659" t="s">
        <v>2469</v>
      </c>
      <c r="C659">
        <v>123</v>
      </c>
      <c r="D659">
        <v>1</v>
      </c>
      <c r="E659" t="s">
        <v>2472</v>
      </c>
    </row>
    <row r="660" spans="1:5" x14ac:dyDescent="0.3">
      <c r="A660" t="s">
        <v>1598</v>
      </c>
      <c r="B660" t="s">
        <v>2469</v>
      </c>
      <c r="C660">
        <v>483</v>
      </c>
      <c r="D660">
        <v>9</v>
      </c>
      <c r="E660" t="s">
        <v>2468</v>
      </c>
    </row>
    <row r="661" spans="1:5" x14ac:dyDescent="0.3">
      <c r="A661" t="s">
        <v>1597</v>
      </c>
      <c r="B661" t="s">
        <v>2469</v>
      </c>
      <c r="C661">
        <v>441</v>
      </c>
      <c r="D661">
        <v>9</v>
      </c>
      <c r="E661" t="s">
        <v>2474</v>
      </c>
    </row>
    <row r="662" spans="1:5" x14ac:dyDescent="0.3">
      <c r="A662" t="s">
        <v>1596</v>
      </c>
      <c r="B662" t="s">
        <v>2471</v>
      </c>
      <c r="C662">
        <v>3</v>
      </c>
      <c r="D662">
        <v>0</v>
      </c>
      <c r="E662" t="s">
        <v>2470</v>
      </c>
    </row>
    <row r="663" spans="1:5" x14ac:dyDescent="0.3">
      <c r="A663" t="s">
        <v>1595</v>
      </c>
      <c r="B663" t="s">
        <v>2469</v>
      </c>
      <c r="C663">
        <v>566</v>
      </c>
      <c r="D663">
        <v>21</v>
      </c>
      <c r="E663" t="s">
        <v>2474</v>
      </c>
    </row>
    <row r="664" spans="1:5" x14ac:dyDescent="0.3">
      <c r="A664" t="s">
        <v>1594</v>
      </c>
      <c r="B664" t="s">
        <v>2469</v>
      </c>
      <c r="C664">
        <v>141</v>
      </c>
      <c r="D664">
        <v>3</v>
      </c>
      <c r="E664" t="s">
        <v>2468</v>
      </c>
    </row>
    <row r="665" spans="1:5" x14ac:dyDescent="0.3">
      <c r="A665" t="s">
        <v>1593</v>
      </c>
      <c r="B665" t="s">
        <v>2469</v>
      </c>
      <c r="C665">
        <v>645</v>
      </c>
      <c r="D665">
        <v>24</v>
      </c>
      <c r="E665" t="s">
        <v>2476</v>
      </c>
    </row>
    <row r="666" spans="1:5" x14ac:dyDescent="0.3">
      <c r="A666" t="s">
        <v>1592</v>
      </c>
      <c r="B666" t="s">
        <v>2469</v>
      </c>
      <c r="C666">
        <v>690</v>
      </c>
      <c r="D666">
        <v>13</v>
      </c>
      <c r="E666" t="s">
        <v>2468</v>
      </c>
    </row>
    <row r="667" spans="1:5" x14ac:dyDescent="0.3">
      <c r="A667" t="s">
        <v>1591</v>
      </c>
      <c r="B667" t="s">
        <v>2471</v>
      </c>
      <c r="C667">
        <v>28</v>
      </c>
      <c r="D667">
        <v>0</v>
      </c>
      <c r="E667" t="s">
        <v>2470</v>
      </c>
    </row>
    <row r="668" spans="1:5" x14ac:dyDescent="0.3">
      <c r="A668" t="s">
        <v>1590</v>
      </c>
      <c r="B668" t="s">
        <v>2469</v>
      </c>
      <c r="C668">
        <v>76</v>
      </c>
      <c r="D668">
        <v>1</v>
      </c>
      <c r="E668" t="s">
        <v>2475</v>
      </c>
    </row>
    <row r="669" spans="1:5" x14ac:dyDescent="0.3">
      <c r="A669" t="s">
        <v>1589</v>
      </c>
      <c r="B669" t="s">
        <v>2469</v>
      </c>
      <c r="C669">
        <v>158</v>
      </c>
      <c r="D669">
        <v>3</v>
      </c>
      <c r="E669" t="s">
        <v>2474</v>
      </c>
    </row>
    <row r="670" spans="1:5" x14ac:dyDescent="0.3">
      <c r="A670" t="s">
        <v>1588</v>
      </c>
      <c r="B670" t="s">
        <v>2469</v>
      </c>
      <c r="C670">
        <v>780</v>
      </c>
      <c r="D670">
        <v>2</v>
      </c>
      <c r="E670" t="s">
        <v>2476</v>
      </c>
    </row>
    <row r="671" spans="1:5" x14ac:dyDescent="0.3">
      <c r="A671" t="s">
        <v>1587</v>
      </c>
      <c r="B671" t="s">
        <v>2469</v>
      </c>
      <c r="C671">
        <v>67</v>
      </c>
      <c r="D671">
        <v>2</v>
      </c>
      <c r="E671" t="s">
        <v>2472</v>
      </c>
    </row>
    <row r="672" spans="1:5" x14ac:dyDescent="0.3">
      <c r="A672" t="s">
        <v>1586</v>
      </c>
      <c r="B672" t="s">
        <v>2469</v>
      </c>
      <c r="C672">
        <v>23</v>
      </c>
      <c r="D672">
        <v>1</v>
      </c>
      <c r="E672" t="s">
        <v>2472</v>
      </c>
    </row>
    <row r="673" spans="1:5" x14ac:dyDescent="0.3">
      <c r="A673" t="s">
        <v>1585</v>
      </c>
      <c r="B673" t="s">
        <v>2471</v>
      </c>
      <c r="C673">
        <v>27</v>
      </c>
      <c r="D673">
        <v>0</v>
      </c>
      <c r="E673" t="s">
        <v>2470</v>
      </c>
    </row>
    <row r="674" spans="1:5" x14ac:dyDescent="0.3">
      <c r="A674" t="s">
        <v>1584</v>
      </c>
      <c r="B674" t="s">
        <v>2469</v>
      </c>
      <c r="C674">
        <v>413</v>
      </c>
      <c r="D674">
        <v>4</v>
      </c>
      <c r="E674" t="s">
        <v>2475</v>
      </c>
    </row>
    <row r="675" spans="1:5" x14ac:dyDescent="0.3">
      <c r="A675" t="s">
        <v>1583</v>
      </c>
      <c r="B675" t="s">
        <v>2469</v>
      </c>
      <c r="C675">
        <v>260</v>
      </c>
      <c r="D675">
        <v>4</v>
      </c>
      <c r="E675" t="s">
        <v>2468</v>
      </c>
    </row>
    <row r="676" spans="1:5" x14ac:dyDescent="0.3">
      <c r="A676" t="s">
        <v>1582</v>
      </c>
      <c r="B676" t="s">
        <v>2469</v>
      </c>
      <c r="C676">
        <v>432</v>
      </c>
      <c r="D676">
        <v>11</v>
      </c>
      <c r="E676" t="s">
        <v>2474</v>
      </c>
    </row>
    <row r="677" spans="1:5" x14ac:dyDescent="0.3">
      <c r="A677" t="s">
        <v>1581</v>
      </c>
      <c r="B677" t="s">
        <v>2469</v>
      </c>
      <c r="C677">
        <v>479</v>
      </c>
      <c r="D677">
        <v>4</v>
      </c>
      <c r="E677" t="s">
        <v>2474</v>
      </c>
    </row>
    <row r="678" spans="1:5" x14ac:dyDescent="0.3">
      <c r="A678" t="s">
        <v>1580</v>
      </c>
      <c r="B678" t="s">
        <v>2469</v>
      </c>
      <c r="C678">
        <v>106</v>
      </c>
      <c r="D678">
        <v>3</v>
      </c>
      <c r="E678" t="s">
        <v>2468</v>
      </c>
    </row>
    <row r="679" spans="1:5" x14ac:dyDescent="0.3">
      <c r="A679" t="s">
        <v>1579</v>
      </c>
      <c r="B679" t="s">
        <v>2471</v>
      </c>
      <c r="C679">
        <v>14</v>
      </c>
      <c r="D679">
        <v>0</v>
      </c>
      <c r="E679" t="s">
        <v>2470</v>
      </c>
    </row>
    <row r="680" spans="1:5" x14ac:dyDescent="0.3">
      <c r="A680" t="s">
        <v>1578</v>
      </c>
      <c r="B680" t="s">
        <v>2469</v>
      </c>
      <c r="C680">
        <v>178</v>
      </c>
      <c r="D680">
        <v>2</v>
      </c>
      <c r="E680" t="s">
        <v>2476</v>
      </c>
    </row>
    <row r="681" spans="1:5" x14ac:dyDescent="0.3">
      <c r="A681" t="s">
        <v>1577</v>
      </c>
      <c r="B681" t="s">
        <v>2469</v>
      </c>
      <c r="C681">
        <v>86</v>
      </c>
      <c r="D681">
        <v>1</v>
      </c>
      <c r="E681" t="s">
        <v>2474</v>
      </c>
    </row>
    <row r="682" spans="1:5" x14ac:dyDescent="0.3">
      <c r="A682" t="s">
        <v>1576</v>
      </c>
      <c r="B682" t="s">
        <v>2469</v>
      </c>
      <c r="C682">
        <v>185</v>
      </c>
      <c r="D682">
        <v>4</v>
      </c>
      <c r="E682" t="s">
        <v>2475</v>
      </c>
    </row>
    <row r="683" spans="1:5" x14ac:dyDescent="0.3">
      <c r="A683" t="s">
        <v>1575</v>
      </c>
      <c r="B683" t="s">
        <v>2471</v>
      </c>
      <c r="C683">
        <v>16</v>
      </c>
      <c r="D683">
        <v>0</v>
      </c>
      <c r="E683" t="s">
        <v>2470</v>
      </c>
    </row>
    <row r="684" spans="1:5" x14ac:dyDescent="0.3">
      <c r="A684" t="s">
        <v>1574</v>
      </c>
      <c r="B684" t="s">
        <v>2471</v>
      </c>
      <c r="C684">
        <v>21</v>
      </c>
      <c r="D684">
        <v>0</v>
      </c>
      <c r="E684" t="s">
        <v>2470</v>
      </c>
    </row>
    <row r="685" spans="1:5" x14ac:dyDescent="0.3">
      <c r="A685" t="s">
        <v>1573</v>
      </c>
      <c r="B685" t="s">
        <v>2469</v>
      </c>
      <c r="C685">
        <v>728</v>
      </c>
      <c r="D685">
        <v>16</v>
      </c>
      <c r="E685" t="s">
        <v>2468</v>
      </c>
    </row>
    <row r="686" spans="1:5" x14ac:dyDescent="0.3">
      <c r="A686" t="s">
        <v>1572</v>
      </c>
      <c r="B686" t="s">
        <v>2469</v>
      </c>
      <c r="C686">
        <v>93</v>
      </c>
      <c r="D686">
        <v>3</v>
      </c>
      <c r="E686" t="s">
        <v>2474</v>
      </c>
    </row>
    <row r="687" spans="1:5" x14ac:dyDescent="0.3">
      <c r="A687" t="s">
        <v>1571</v>
      </c>
      <c r="B687" t="s">
        <v>2469</v>
      </c>
      <c r="C687">
        <v>745</v>
      </c>
      <c r="D687">
        <v>18</v>
      </c>
      <c r="E687" t="s">
        <v>2476</v>
      </c>
    </row>
    <row r="688" spans="1:5" x14ac:dyDescent="0.3">
      <c r="A688" t="s">
        <v>1570</v>
      </c>
      <c r="B688" t="s">
        <v>2469</v>
      </c>
      <c r="C688">
        <v>160</v>
      </c>
      <c r="D688">
        <v>6</v>
      </c>
      <c r="E688" t="s">
        <v>2476</v>
      </c>
    </row>
    <row r="689" spans="1:5" x14ac:dyDescent="0.3">
      <c r="A689" t="s">
        <v>1569</v>
      </c>
      <c r="B689" t="s">
        <v>2469</v>
      </c>
      <c r="C689">
        <v>139</v>
      </c>
      <c r="D689">
        <v>2</v>
      </c>
      <c r="E689" t="s">
        <v>2468</v>
      </c>
    </row>
    <row r="690" spans="1:5" x14ac:dyDescent="0.3">
      <c r="A690" t="s">
        <v>1568</v>
      </c>
      <c r="B690" t="s">
        <v>2469</v>
      </c>
      <c r="C690">
        <v>322</v>
      </c>
      <c r="D690">
        <v>5</v>
      </c>
      <c r="E690" t="s">
        <v>2474</v>
      </c>
    </row>
    <row r="691" spans="1:5" x14ac:dyDescent="0.3">
      <c r="A691" t="s">
        <v>1567</v>
      </c>
      <c r="B691" t="s">
        <v>2469</v>
      </c>
      <c r="C691">
        <v>773</v>
      </c>
      <c r="D691">
        <v>11</v>
      </c>
      <c r="E691" t="s">
        <v>2475</v>
      </c>
    </row>
    <row r="692" spans="1:5" x14ac:dyDescent="0.3">
      <c r="A692" t="s">
        <v>1566</v>
      </c>
      <c r="B692" t="s">
        <v>2469</v>
      </c>
      <c r="C692">
        <v>236</v>
      </c>
      <c r="D692">
        <v>10</v>
      </c>
      <c r="E692" t="s">
        <v>2476</v>
      </c>
    </row>
    <row r="693" spans="1:5" x14ac:dyDescent="0.3">
      <c r="A693" t="s">
        <v>1565</v>
      </c>
      <c r="B693" t="s">
        <v>2469</v>
      </c>
      <c r="C693">
        <v>551</v>
      </c>
      <c r="D693">
        <v>18</v>
      </c>
      <c r="E693" t="s">
        <v>2474</v>
      </c>
    </row>
    <row r="694" spans="1:5" x14ac:dyDescent="0.3">
      <c r="A694" t="s">
        <v>1564</v>
      </c>
      <c r="B694" t="s">
        <v>2471</v>
      </c>
      <c r="C694">
        <v>48</v>
      </c>
      <c r="D694">
        <v>0</v>
      </c>
      <c r="E694" t="s">
        <v>2470</v>
      </c>
    </row>
    <row r="695" spans="1:5" x14ac:dyDescent="0.3">
      <c r="A695" t="s">
        <v>1563</v>
      </c>
      <c r="B695" t="s">
        <v>2469</v>
      </c>
      <c r="C695">
        <v>411</v>
      </c>
      <c r="D695">
        <v>11</v>
      </c>
      <c r="E695" t="s">
        <v>2475</v>
      </c>
    </row>
    <row r="696" spans="1:5" x14ac:dyDescent="0.3">
      <c r="A696" t="s">
        <v>1562</v>
      </c>
      <c r="B696" t="s">
        <v>2469</v>
      </c>
      <c r="C696">
        <v>196</v>
      </c>
      <c r="D696">
        <v>3</v>
      </c>
      <c r="E696" t="s">
        <v>2475</v>
      </c>
    </row>
    <row r="697" spans="1:5" x14ac:dyDescent="0.3">
      <c r="A697" t="s">
        <v>1561</v>
      </c>
      <c r="B697" t="s">
        <v>2471</v>
      </c>
      <c r="C697">
        <v>4</v>
      </c>
      <c r="D697">
        <v>0</v>
      </c>
      <c r="E697" t="s">
        <v>2470</v>
      </c>
    </row>
    <row r="698" spans="1:5" x14ac:dyDescent="0.3">
      <c r="A698" t="s">
        <v>1560</v>
      </c>
      <c r="B698" t="s">
        <v>2473</v>
      </c>
      <c r="C698">
        <v>36</v>
      </c>
      <c r="D698">
        <v>2</v>
      </c>
      <c r="E698" t="s">
        <v>2475</v>
      </c>
    </row>
    <row r="699" spans="1:5" x14ac:dyDescent="0.3">
      <c r="A699" t="s">
        <v>1559</v>
      </c>
      <c r="B699" t="s">
        <v>2471</v>
      </c>
      <c r="C699">
        <v>28</v>
      </c>
      <c r="D699">
        <v>0</v>
      </c>
      <c r="E699" t="s">
        <v>2470</v>
      </c>
    </row>
    <row r="700" spans="1:5" x14ac:dyDescent="0.3">
      <c r="A700" t="s">
        <v>1558</v>
      </c>
      <c r="B700" t="s">
        <v>2471</v>
      </c>
      <c r="C700">
        <v>7</v>
      </c>
      <c r="D700">
        <v>0</v>
      </c>
      <c r="E700" t="s">
        <v>2470</v>
      </c>
    </row>
    <row r="701" spans="1:5" x14ac:dyDescent="0.3">
      <c r="A701" t="s">
        <v>1557</v>
      </c>
      <c r="B701" t="s">
        <v>2473</v>
      </c>
      <c r="C701">
        <v>171</v>
      </c>
      <c r="D701">
        <v>9</v>
      </c>
      <c r="E701" t="s">
        <v>2474</v>
      </c>
    </row>
    <row r="702" spans="1:5" x14ac:dyDescent="0.3">
      <c r="A702" t="s">
        <v>1556</v>
      </c>
      <c r="B702" t="s">
        <v>2469</v>
      </c>
      <c r="C702">
        <v>95</v>
      </c>
      <c r="D702">
        <v>2</v>
      </c>
      <c r="E702" t="s">
        <v>2468</v>
      </c>
    </row>
    <row r="703" spans="1:5" x14ac:dyDescent="0.3">
      <c r="A703" t="s">
        <v>1555</v>
      </c>
      <c r="B703" t="s">
        <v>2473</v>
      </c>
      <c r="C703">
        <v>128</v>
      </c>
      <c r="D703">
        <v>10</v>
      </c>
      <c r="E703" t="s">
        <v>2472</v>
      </c>
    </row>
    <row r="704" spans="1:5" x14ac:dyDescent="0.3">
      <c r="A704" t="s">
        <v>1554</v>
      </c>
      <c r="B704" t="s">
        <v>2471</v>
      </c>
      <c r="C704">
        <v>2</v>
      </c>
      <c r="D704">
        <v>0</v>
      </c>
      <c r="E704" t="s">
        <v>2470</v>
      </c>
    </row>
    <row r="705" spans="1:5" x14ac:dyDescent="0.3">
      <c r="A705" t="s">
        <v>1553</v>
      </c>
      <c r="B705" t="s">
        <v>2469</v>
      </c>
      <c r="C705">
        <v>160</v>
      </c>
      <c r="D705">
        <v>1</v>
      </c>
      <c r="E705" t="s">
        <v>2474</v>
      </c>
    </row>
    <row r="706" spans="1:5" x14ac:dyDescent="0.3">
      <c r="A706" t="s">
        <v>1552</v>
      </c>
      <c r="B706" t="s">
        <v>2469</v>
      </c>
      <c r="C706">
        <v>125</v>
      </c>
      <c r="D706">
        <v>5</v>
      </c>
      <c r="E706" t="s">
        <v>2468</v>
      </c>
    </row>
    <row r="707" spans="1:5" x14ac:dyDescent="0.3">
      <c r="A707" t="s">
        <v>1551</v>
      </c>
      <c r="B707" t="s">
        <v>2471</v>
      </c>
      <c r="C707">
        <v>35</v>
      </c>
      <c r="D707">
        <v>0</v>
      </c>
      <c r="E707" t="s">
        <v>2470</v>
      </c>
    </row>
    <row r="708" spans="1:5" x14ac:dyDescent="0.3">
      <c r="A708" t="s">
        <v>1550</v>
      </c>
      <c r="B708" t="s">
        <v>2471</v>
      </c>
      <c r="C708">
        <v>41</v>
      </c>
      <c r="D708">
        <v>0</v>
      </c>
      <c r="E708" t="s">
        <v>2470</v>
      </c>
    </row>
    <row r="709" spans="1:5" x14ac:dyDescent="0.3">
      <c r="A709" t="s">
        <v>1549</v>
      </c>
      <c r="B709" t="s">
        <v>2473</v>
      </c>
      <c r="C709">
        <v>145</v>
      </c>
      <c r="D709">
        <v>11</v>
      </c>
      <c r="E709" t="s">
        <v>2474</v>
      </c>
    </row>
    <row r="710" spans="1:5" x14ac:dyDescent="0.3">
      <c r="A710" t="s">
        <v>1548</v>
      </c>
      <c r="B710" t="s">
        <v>2471</v>
      </c>
      <c r="C710">
        <v>7</v>
      </c>
      <c r="D710">
        <v>0</v>
      </c>
      <c r="E710" t="s">
        <v>2470</v>
      </c>
    </row>
    <row r="711" spans="1:5" x14ac:dyDescent="0.3">
      <c r="A711" t="s">
        <v>1547</v>
      </c>
      <c r="B711" t="s">
        <v>2473</v>
      </c>
      <c r="C711">
        <v>694</v>
      </c>
      <c r="D711">
        <v>63</v>
      </c>
      <c r="E711" t="s">
        <v>2476</v>
      </c>
    </row>
    <row r="712" spans="1:5" x14ac:dyDescent="0.3">
      <c r="A712" t="s">
        <v>1546</v>
      </c>
      <c r="B712" t="s">
        <v>2469</v>
      </c>
      <c r="C712">
        <v>60</v>
      </c>
      <c r="D712">
        <v>3</v>
      </c>
      <c r="E712" t="s">
        <v>2474</v>
      </c>
    </row>
    <row r="713" spans="1:5" x14ac:dyDescent="0.3">
      <c r="A713" t="s">
        <v>1545</v>
      </c>
      <c r="B713" t="s">
        <v>2469</v>
      </c>
      <c r="C713">
        <v>722</v>
      </c>
      <c r="D713">
        <v>18</v>
      </c>
      <c r="E713" t="s">
        <v>2468</v>
      </c>
    </row>
    <row r="714" spans="1:5" x14ac:dyDescent="0.3">
      <c r="A714" t="s">
        <v>1544</v>
      </c>
      <c r="B714" t="s">
        <v>2469</v>
      </c>
      <c r="C714">
        <v>227</v>
      </c>
      <c r="D714">
        <v>2</v>
      </c>
      <c r="E714" t="s">
        <v>2472</v>
      </c>
    </row>
    <row r="715" spans="1:5" x14ac:dyDescent="0.3">
      <c r="A715" t="s">
        <v>1543</v>
      </c>
      <c r="B715" t="s">
        <v>2469</v>
      </c>
      <c r="C715">
        <v>164</v>
      </c>
      <c r="D715">
        <v>2</v>
      </c>
      <c r="E715" t="s">
        <v>2474</v>
      </c>
    </row>
    <row r="716" spans="1:5" x14ac:dyDescent="0.3">
      <c r="A716" t="s">
        <v>1542</v>
      </c>
      <c r="B716" t="s">
        <v>2469</v>
      </c>
      <c r="C716">
        <v>99</v>
      </c>
      <c r="D716">
        <v>1</v>
      </c>
      <c r="E716" t="s">
        <v>2468</v>
      </c>
    </row>
    <row r="717" spans="1:5" x14ac:dyDescent="0.3">
      <c r="A717" t="s">
        <v>1541</v>
      </c>
      <c r="B717" t="s">
        <v>2469</v>
      </c>
      <c r="C717">
        <v>495</v>
      </c>
      <c r="D717">
        <v>18</v>
      </c>
      <c r="E717" t="s">
        <v>2474</v>
      </c>
    </row>
    <row r="718" spans="1:5" x14ac:dyDescent="0.3">
      <c r="A718" t="s">
        <v>1540</v>
      </c>
      <c r="B718" t="s">
        <v>2469</v>
      </c>
      <c r="C718">
        <v>183</v>
      </c>
      <c r="D718">
        <v>4</v>
      </c>
      <c r="E718" t="s">
        <v>2468</v>
      </c>
    </row>
    <row r="719" spans="1:5" x14ac:dyDescent="0.3">
      <c r="A719" t="s">
        <v>1539</v>
      </c>
      <c r="B719" t="s">
        <v>2471</v>
      </c>
      <c r="C719">
        <v>11</v>
      </c>
      <c r="D719">
        <v>0</v>
      </c>
      <c r="E719" t="s">
        <v>2470</v>
      </c>
    </row>
    <row r="720" spans="1:5" x14ac:dyDescent="0.3">
      <c r="A720" t="s">
        <v>1538</v>
      </c>
      <c r="B720" t="s">
        <v>2471</v>
      </c>
      <c r="C720">
        <v>4</v>
      </c>
      <c r="D720">
        <v>0</v>
      </c>
      <c r="E720" t="s">
        <v>2470</v>
      </c>
    </row>
    <row r="721" spans="1:5" x14ac:dyDescent="0.3">
      <c r="A721" t="s">
        <v>1537</v>
      </c>
      <c r="B721" t="s">
        <v>2473</v>
      </c>
      <c r="C721">
        <v>166</v>
      </c>
      <c r="D721">
        <v>9</v>
      </c>
      <c r="E721" t="s">
        <v>2468</v>
      </c>
    </row>
    <row r="722" spans="1:5" x14ac:dyDescent="0.3">
      <c r="A722" t="s">
        <v>1536</v>
      </c>
      <c r="B722" t="s">
        <v>2469</v>
      </c>
      <c r="C722">
        <v>577</v>
      </c>
      <c r="D722">
        <v>5</v>
      </c>
      <c r="E722" t="s">
        <v>2472</v>
      </c>
    </row>
    <row r="723" spans="1:5" x14ac:dyDescent="0.3">
      <c r="A723" t="s">
        <v>1535</v>
      </c>
      <c r="B723" t="s">
        <v>2469</v>
      </c>
      <c r="C723">
        <v>156</v>
      </c>
      <c r="D723">
        <v>5</v>
      </c>
      <c r="E723" t="s">
        <v>2468</v>
      </c>
    </row>
    <row r="724" spans="1:5" x14ac:dyDescent="0.3">
      <c r="A724" t="s">
        <v>1534</v>
      </c>
      <c r="B724" t="s">
        <v>2469</v>
      </c>
      <c r="C724">
        <v>313</v>
      </c>
      <c r="D724">
        <v>3</v>
      </c>
      <c r="E724" t="s">
        <v>2476</v>
      </c>
    </row>
    <row r="725" spans="1:5" x14ac:dyDescent="0.3">
      <c r="A725" t="s">
        <v>1533</v>
      </c>
      <c r="B725" t="s">
        <v>2469</v>
      </c>
      <c r="C725">
        <v>338</v>
      </c>
      <c r="D725">
        <v>3</v>
      </c>
      <c r="E725" t="s">
        <v>2474</v>
      </c>
    </row>
    <row r="726" spans="1:5" x14ac:dyDescent="0.3">
      <c r="A726" t="s">
        <v>1532</v>
      </c>
      <c r="B726" t="s">
        <v>2469</v>
      </c>
      <c r="C726">
        <v>48</v>
      </c>
      <c r="D726">
        <v>1</v>
      </c>
      <c r="E726" t="s">
        <v>2472</v>
      </c>
    </row>
    <row r="727" spans="1:5" x14ac:dyDescent="0.3">
      <c r="A727" t="s">
        <v>1531</v>
      </c>
      <c r="B727" t="s">
        <v>2469</v>
      </c>
      <c r="C727">
        <v>100</v>
      </c>
      <c r="D727">
        <v>4</v>
      </c>
      <c r="E727" t="s">
        <v>2474</v>
      </c>
    </row>
    <row r="728" spans="1:5" x14ac:dyDescent="0.3">
      <c r="A728" t="s">
        <v>1530</v>
      </c>
      <c r="B728" t="s">
        <v>2471</v>
      </c>
      <c r="C728">
        <v>16</v>
      </c>
      <c r="D728">
        <v>0</v>
      </c>
      <c r="E728" t="s">
        <v>2470</v>
      </c>
    </row>
    <row r="729" spans="1:5" x14ac:dyDescent="0.3">
      <c r="A729" t="s">
        <v>1529</v>
      </c>
      <c r="B729" t="s">
        <v>2471</v>
      </c>
      <c r="C729">
        <v>45</v>
      </c>
      <c r="D729">
        <v>0</v>
      </c>
      <c r="E729" t="s">
        <v>2470</v>
      </c>
    </row>
    <row r="730" spans="1:5" x14ac:dyDescent="0.3">
      <c r="A730" t="s">
        <v>1528</v>
      </c>
      <c r="B730" t="s">
        <v>2469</v>
      </c>
      <c r="C730">
        <v>761</v>
      </c>
      <c r="D730">
        <v>11</v>
      </c>
      <c r="E730" t="s">
        <v>2468</v>
      </c>
    </row>
    <row r="731" spans="1:5" x14ac:dyDescent="0.3">
      <c r="A731" t="s">
        <v>1527</v>
      </c>
      <c r="B731" t="s">
        <v>2473</v>
      </c>
      <c r="C731">
        <v>36</v>
      </c>
      <c r="D731">
        <v>2</v>
      </c>
      <c r="E731" t="s">
        <v>2468</v>
      </c>
    </row>
    <row r="732" spans="1:5" x14ac:dyDescent="0.3">
      <c r="A732" t="s">
        <v>1526</v>
      </c>
      <c r="B732" t="s">
        <v>2469</v>
      </c>
      <c r="C732">
        <v>449</v>
      </c>
      <c r="D732">
        <v>12</v>
      </c>
      <c r="E732" t="s">
        <v>2476</v>
      </c>
    </row>
    <row r="733" spans="1:5" x14ac:dyDescent="0.3">
      <c r="A733" t="s">
        <v>1525</v>
      </c>
      <c r="B733" t="s">
        <v>2469</v>
      </c>
      <c r="C733">
        <v>153</v>
      </c>
      <c r="D733">
        <v>6</v>
      </c>
      <c r="E733" t="s">
        <v>2475</v>
      </c>
    </row>
    <row r="734" spans="1:5" x14ac:dyDescent="0.3">
      <c r="A734" t="s">
        <v>1524</v>
      </c>
      <c r="B734" t="s">
        <v>2469</v>
      </c>
      <c r="C734">
        <v>481</v>
      </c>
      <c r="D734">
        <v>25</v>
      </c>
      <c r="E734" t="s">
        <v>2476</v>
      </c>
    </row>
    <row r="735" spans="1:5" x14ac:dyDescent="0.3">
      <c r="A735" t="s">
        <v>1523</v>
      </c>
      <c r="B735" t="s">
        <v>2471</v>
      </c>
      <c r="C735">
        <v>140</v>
      </c>
      <c r="D735">
        <v>0</v>
      </c>
      <c r="E735" t="s">
        <v>2470</v>
      </c>
    </row>
    <row r="736" spans="1:5" x14ac:dyDescent="0.3">
      <c r="A736" t="s">
        <v>1522</v>
      </c>
      <c r="B736" t="s">
        <v>2469</v>
      </c>
      <c r="C736">
        <v>421</v>
      </c>
      <c r="D736">
        <v>7</v>
      </c>
      <c r="E736" t="s">
        <v>2474</v>
      </c>
    </row>
    <row r="737" spans="1:5" x14ac:dyDescent="0.3">
      <c r="A737" t="s">
        <v>1521</v>
      </c>
      <c r="B737" t="s">
        <v>2471</v>
      </c>
      <c r="C737">
        <v>4</v>
      </c>
      <c r="D737">
        <v>0</v>
      </c>
      <c r="E737" t="s">
        <v>2470</v>
      </c>
    </row>
    <row r="738" spans="1:5" x14ac:dyDescent="0.3">
      <c r="A738" t="s">
        <v>1520</v>
      </c>
      <c r="B738" t="s">
        <v>2469</v>
      </c>
      <c r="C738">
        <v>194</v>
      </c>
      <c r="D738">
        <v>2</v>
      </c>
      <c r="E738" t="s">
        <v>2472</v>
      </c>
    </row>
    <row r="739" spans="1:5" x14ac:dyDescent="0.3">
      <c r="A739" t="s">
        <v>1519</v>
      </c>
      <c r="B739" t="s">
        <v>2473</v>
      </c>
      <c r="C739">
        <v>4</v>
      </c>
      <c r="D739">
        <v>1</v>
      </c>
      <c r="E739" t="s">
        <v>2468</v>
      </c>
    </row>
    <row r="740" spans="1:5" x14ac:dyDescent="0.3">
      <c r="A740" t="s">
        <v>1518</v>
      </c>
      <c r="B740" t="s">
        <v>2471</v>
      </c>
      <c r="C740">
        <v>11</v>
      </c>
      <c r="D740">
        <v>0</v>
      </c>
      <c r="E740" t="s">
        <v>2470</v>
      </c>
    </row>
    <row r="741" spans="1:5" x14ac:dyDescent="0.3">
      <c r="A741" t="s">
        <v>1517</v>
      </c>
      <c r="B741" t="s">
        <v>2469</v>
      </c>
      <c r="C741">
        <v>239</v>
      </c>
      <c r="D741">
        <v>7</v>
      </c>
      <c r="E741" t="s">
        <v>2474</v>
      </c>
    </row>
    <row r="742" spans="1:5" x14ac:dyDescent="0.3">
      <c r="A742" t="s">
        <v>1516</v>
      </c>
      <c r="B742" t="s">
        <v>2471</v>
      </c>
      <c r="C742">
        <v>136</v>
      </c>
      <c r="D742">
        <v>0</v>
      </c>
      <c r="E742" t="s">
        <v>2470</v>
      </c>
    </row>
    <row r="743" spans="1:5" x14ac:dyDescent="0.3">
      <c r="A743" t="s">
        <v>1515</v>
      </c>
      <c r="B743" t="s">
        <v>2469</v>
      </c>
      <c r="C743">
        <v>698</v>
      </c>
      <c r="D743">
        <v>3</v>
      </c>
      <c r="E743" t="s">
        <v>2475</v>
      </c>
    </row>
    <row r="744" spans="1:5" x14ac:dyDescent="0.3">
      <c r="A744" t="s">
        <v>1514</v>
      </c>
      <c r="B744" t="s">
        <v>2471</v>
      </c>
      <c r="C744">
        <v>22</v>
      </c>
      <c r="D744">
        <v>0</v>
      </c>
      <c r="E744" t="s">
        <v>2470</v>
      </c>
    </row>
    <row r="745" spans="1:5" x14ac:dyDescent="0.3">
      <c r="A745" t="s">
        <v>1513</v>
      </c>
      <c r="B745" t="s">
        <v>2469</v>
      </c>
      <c r="C745">
        <v>401</v>
      </c>
      <c r="D745">
        <v>19</v>
      </c>
      <c r="E745" t="s">
        <v>2468</v>
      </c>
    </row>
    <row r="746" spans="1:5" x14ac:dyDescent="0.3">
      <c r="A746" t="s">
        <v>1512</v>
      </c>
      <c r="B746" t="s">
        <v>2471</v>
      </c>
      <c r="C746">
        <v>5</v>
      </c>
      <c r="D746">
        <v>0</v>
      </c>
      <c r="E746" t="s">
        <v>2470</v>
      </c>
    </row>
    <row r="747" spans="1:5" x14ac:dyDescent="0.3">
      <c r="A747" t="s">
        <v>1511</v>
      </c>
      <c r="B747" t="s">
        <v>2469</v>
      </c>
      <c r="C747">
        <v>732</v>
      </c>
      <c r="D747">
        <v>27</v>
      </c>
      <c r="E747" t="s">
        <v>2472</v>
      </c>
    </row>
    <row r="748" spans="1:5" x14ac:dyDescent="0.3">
      <c r="A748" t="s">
        <v>1510</v>
      </c>
      <c r="B748" t="s">
        <v>2469</v>
      </c>
      <c r="C748">
        <v>403</v>
      </c>
      <c r="D748">
        <v>11</v>
      </c>
      <c r="E748" t="s">
        <v>2468</v>
      </c>
    </row>
    <row r="749" spans="1:5" x14ac:dyDescent="0.3">
      <c r="A749" t="s">
        <v>1509</v>
      </c>
      <c r="B749" t="s">
        <v>2469</v>
      </c>
      <c r="C749">
        <v>141</v>
      </c>
      <c r="D749">
        <v>5</v>
      </c>
      <c r="E749" t="s">
        <v>2474</v>
      </c>
    </row>
    <row r="750" spans="1:5" x14ac:dyDescent="0.3">
      <c r="A750" t="s">
        <v>1508</v>
      </c>
      <c r="B750" t="s">
        <v>2469</v>
      </c>
      <c r="C750">
        <v>325</v>
      </c>
      <c r="D750">
        <v>2</v>
      </c>
      <c r="E750" t="s">
        <v>2474</v>
      </c>
    </row>
    <row r="751" spans="1:5" x14ac:dyDescent="0.3">
      <c r="A751" t="s">
        <v>1507</v>
      </c>
      <c r="B751" t="s">
        <v>2469</v>
      </c>
      <c r="C751">
        <v>336</v>
      </c>
      <c r="D751">
        <v>2</v>
      </c>
      <c r="E751" t="s">
        <v>2475</v>
      </c>
    </row>
    <row r="752" spans="1:5" x14ac:dyDescent="0.3">
      <c r="A752" t="s">
        <v>1506</v>
      </c>
      <c r="B752" t="s">
        <v>2471</v>
      </c>
      <c r="C752">
        <v>8</v>
      </c>
      <c r="D752">
        <v>0</v>
      </c>
      <c r="E752" t="s">
        <v>2470</v>
      </c>
    </row>
    <row r="753" spans="1:5" x14ac:dyDescent="0.3">
      <c r="A753" t="s">
        <v>1505</v>
      </c>
      <c r="B753" t="s">
        <v>2469</v>
      </c>
      <c r="C753">
        <v>131</v>
      </c>
      <c r="D753">
        <v>1</v>
      </c>
      <c r="E753" t="s">
        <v>2475</v>
      </c>
    </row>
    <row r="754" spans="1:5" x14ac:dyDescent="0.3">
      <c r="A754" t="s">
        <v>1504</v>
      </c>
      <c r="B754" t="s">
        <v>2471</v>
      </c>
      <c r="C754">
        <v>17</v>
      </c>
      <c r="D754">
        <v>0</v>
      </c>
      <c r="E754" t="s">
        <v>2470</v>
      </c>
    </row>
    <row r="755" spans="1:5" x14ac:dyDescent="0.3">
      <c r="A755" t="s">
        <v>1503</v>
      </c>
      <c r="B755" t="s">
        <v>2473</v>
      </c>
      <c r="C755">
        <v>163</v>
      </c>
      <c r="D755">
        <v>24</v>
      </c>
      <c r="E755" t="s">
        <v>2468</v>
      </c>
    </row>
    <row r="756" spans="1:5" x14ac:dyDescent="0.3">
      <c r="A756" t="s">
        <v>1502</v>
      </c>
      <c r="B756" t="s">
        <v>2469</v>
      </c>
      <c r="C756">
        <v>145</v>
      </c>
      <c r="D756">
        <v>1</v>
      </c>
      <c r="E756" t="s">
        <v>2472</v>
      </c>
    </row>
    <row r="757" spans="1:5" x14ac:dyDescent="0.3">
      <c r="A757" t="s">
        <v>1501</v>
      </c>
      <c r="B757" t="s">
        <v>2469</v>
      </c>
      <c r="C757">
        <v>145</v>
      </c>
      <c r="D757">
        <v>2</v>
      </c>
      <c r="E757" t="s">
        <v>2468</v>
      </c>
    </row>
    <row r="758" spans="1:5" x14ac:dyDescent="0.3">
      <c r="A758" t="s">
        <v>1500</v>
      </c>
      <c r="B758" t="s">
        <v>2469</v>
      </c>
      <c r="C758">
        <v>171</v>
      </c>
      <c r="D758">
        <v>5</v>
      </c>
      <c r="E758" t="s">
        <v>2474</v>
      </c>
    </row>
    <row r="759" spans="1:5" x14ac:dyDescent="0.3">
      <c r="A759" t="s">
        <v>1499</v>
      </c>
      <c r="B759" t="s">
        <v>2469</v>
      </c>
      <c r="C759">
        <v>194</v>
      </c>
      <c r="D759">
        <v>5</v>
      </c>
      <c r="E759" t="s">
        <v>2472</v>
      </c>
    </row>
    <row r="760" spans="1:5" x14ac:dyDescent="0.3">
      <c r="A760" t="s">
        <v>1498</v>
      </c>
      <c r="B760" t="s">
        <v>2469</v>
      </c>
      <c r="C760">
        <v>673</v>
      </c>
      <c r="D760">
        <v>4</v>
      </c>
      <c r="E760" t="s">
        <v>2475</v>
      </c>
    </row>
    <row r="761" spans="1:5" x14ac:dyDescent="0.3">
      <c r="A761" t="s">
        <v>1497</v>
      </c>
      <c r="B761" t="s">
        <v>2473</v>
      </c>
      <c r="C761">
        <v>639</v>
      </c>
      <c r="D761">
        <v>38</v>
      </c>
      <c r="E761" t="s">
        <v>2468</v>
      </c>
    </row>
    <row r="762" spans="1:5" x14ac:dyDescent="0.3">
      <c r="A762" t="s">
        <v>1496</v>
      </c>
      <c r="B762" t="s">
        <v>2469</v>
      </c>
      <c r="C762">
        <v>512</v>
      </c>
      <c r="D762">
        <v>24</v>
      </c>
      <c r="E762" t="s">
        <v>2475</v>
      </c>
    </row>
    <row r="763" spans="1:5" x14ac:dyDescent="0.3">
      <c r="A763" t="s">
        <v>1495</v>
      </c>
      <c r="B763" t="s">
        <v>2469</v>
      </c>
      <c r="C763">
        <v>116</v>
      </c>
      <c r="D763">
        <v>2</v>
      </c>
      <c r="E763" t="s">
        <v>2476</v>
      </c>
    </row>
    <row r="764" spans="1:5" x14ac:dyDescent="0.3">
      <c r="A764" t="s">
        <v>1494</v>
      </c>
      <c r="B764" t="s">
        <v>2469</v>
      </c>
      <c r="C764">
        <v>544</v>
      </c>
      <c r="D764">
        <v>13</v>
      </c>
      <c r="E764" t="s">
        <v>2475</v>
      </c>
    </row>
    <row r="765" spans="1:5" x14ac:dyDescent="0.3">
      <c r="A765" t="s">
        <v>1493</v>
      </c>
      <c r="B765" t="s">
        <v>2469</v>
      </c>
      <c r="C765">
        <v>324</v>
      </c>
      <c r="D765">
        <v>16</v>
      </c>
      <c r="E765" t="s">
        <v>2474</v>
      </c>
    </row>
    <row r="766" spans="1:5" x14ac:dyDescent="0.3">
      <c r="A766" t="s">
        <v>1492</v>
      </c>
      <c r="B766" t="s">
        <v>2469</v>
      </c>
      <c r="C766">
        <v>116</v>
      </c>
      <c r="D766">
        <v>3</v>
      </c>
      <c r="E766" t="s">
        <v>2468</v>
      </c>
    </row>
    <row r="767" spans="1:5" x14ac:dyDescent="0.3">
      <c r="A767" t="s">
        <v>1491</v>
      </c>
      <c r="B767" t="s">
        <v>2471</v>
      </c>
      <c r="C767">
        <v>8</v>
      </c>
      <c r="D767">
        <v>0</v>
      </c>
      <c r="E767" t="s">
        <v>2470</v>
      </c>
    </row>
    <row r="768" spans="1:5" x14ac:dyDescent="0.3">
      <c r="A768" t="s">
        <v>1490</v>
      </c>
      <c r="B768" t="s">
        <v>2471</v>
      </c>
      <c r="C768">
        <v>20</v>
      </c>
      <c r="D768">
        <v>0</v>
      </c>
      <c r="E768" t="s">
        <v>2470</v>
      </c>
    </row>
    <row r="769" spans="1:5" x14ac:dyDescent="0.3">
      <c r="A769" t="s">
        <v>1489</v>
      </c>
      <c r="B769" t="s">
        <v>2473</v>
      </c>
      <c r="C769">
        <v>104</v>
      </c>
      <c r="D769">
        <v>9</v>
      </c>
      <c r="E769" t="s">
        <v>2475</v>
      </c>
    </row>
    <row r="770" spans="1:5" x14ac:dyDescent="0.3">
      <c r="A770" t="s">
        <v>1488</v>
      </c>
      <c r="B770" t="s">
        <v>2469</v>
      </c>
      <c r="C770">
        <v>1289</v>
      </c>
      <c r="D770">
        <v>26</v>
      </c>
      <c r="E770" t="s">
        <v>2476</v>
      </c>
    </row>
    <row r="771" spans="1:5" x14ac:dyDescent="0.3">
      <c r="A771" t="s">
        <v>1487</v>
      </c>
      <c r="B771" t="s">
        <v>2469</v>
      </c>
      <c r="C771">
        <v>505</v>
      </c>
      <c r="D771">
        <v>10</v>
      </c>
      <c r="E771" t="s">
        <v>2472</v>
      </c>
    </row>
    <row r="772" spans="1:5" x14ac:dyDescent="0.3">
      <c r="A772" t="s">
        <v>1486</v>
      </c>
      <c r="B772" t="s">
        <v>2471</v>
      </c>
      <c r="C772">
        <v>1</v>
      </c>
      <c r="D772">
        <v>0</v>
      </c>
      <c r="E772" t="s">
        <v>2470</v>
      </c>
    </row>
    <row r="773" spans="1:5" x14ac:dyDescent="0.3">
      <c r="A773" t="s">
        <v>1485</v>
      </c>
      <c r="B773" t="s">
        <v>2469</v>
      </c>
      <c r="C773">
        <v>91</v>
      </c>
      <c r="D773">
        <v>2</v>
      </c>
      <c r="E773" t="s">
        <v>2476</v>
      </c>
    </row>
    <row r="774" spans="1:5" x14ac:dyDescent="0.3">
      <c r="A774" t="s">
        <v>1484</v>
      </c>
      <c r="B774" t="s">
        <v>2469</v>
      </c>
      <c r="C774">
        <v>538</v>
      </c>
      <c r="D774">
        <v>16</v>
      </c>
      <c r="E774" t="s">
        <v>2468</v>
      </c>
    </row>
    <row r="775" spans="1:5" x14ac:dyDescent="0.3">
      <c r="A775" t="s">
        <v>1483</v>
      </c>
      <c r="B775" t="s">
        <v>2469</v>
      </c>
      <c r="C775">
        <v>587</v>
      </c>
      <c r="D775">
        <v>16</v>
      </c>
      <c r="E775" t="s">
        <v>2475</v>
      </c>
    </row>
    <row r="776" spans="1:5" x14ac:dyDescent="0.3">
      <c r="A776" t="s">
        <v>1482</v>
      </c>
      <c r="B776" t="s">
        <v>2473</v>
      </c>
      <c r="C776">
        <v>13</v>
      </c>
      <c r="D776">
        <v>1</v>
      </c>
      <c r="E776" t="s">
        <v>2475</v>
      </c>
    </row>
    <row r="777" spans="1:5" x14ac:dyDescent="0.3">
      <c r="A777" t="s">
        <v>1481</v>
      </c>
      <c r="B777" t="s">
        <v>2469</v>
      </c>
      <c r="C777">
        <v>171</v>
      </c>
      <c r="D777">
        <v>7</v>
      </c>
      <c r="E777" t="s">
        <v>2476</v>
      </c>
    </row>
    <row r="778" spans="1:5" x14ac:dyDescent="0.3">
      <c r="A778" t="s">
        <v>1480</v>
      </c>
      <c r="B778" t="s">
        <v>2469</v>
      </c>
      <c r="C778">
        <v>107</v>
      </c>
      <c r="D778">
        <v>2</v>
      </c>
      <c r="E778" t="s">
        <v>2468</v>
      </c>
    </row>
    <row r="779" spans="1:5" x14ac:dyDescent="0.3">
      <c r="A779" t="s">
        <v>1479</v>
      </c>
      <c r="B779" t="s">
        <v>2469</v>
      </c>
      <c r="C779">
        <v>522</v>
      </c>
      <c r="D779">
        <v>9</v>
      </c>
      <c r="E779" t="s">
        <v>2468</v>
      </c>
    </row>
    <row r="780" spans="1:5" x14ac:dyDescent="0.3">
      <c r="A780" t="s">
        <v>1478</v>
      </c>
      <c r="B780" t="s">
        <v>2469</v>
      </c>
      <c r="C780">
        <v>166</v>
      </c>
      <c r="D780">
        <v>1</v>
      </c>
      <c r="E780" t="s">
        <v>2474</v>
      </c>
    </row>
    <row r="781" spans="1:5" x14ac:dyDescent="0.3">
      <c r="A781" t="s">
        <v>1477</v>
      </c>
      <c r="B781" t="s">
        <v>2471</v>
      </c>
      <c r="C781">
        <v>6</v>
      </c>
      <c r="D781">
        <v>0</v>
      </c>
      <c r="E781" t="s">
        <v>2470</v>
      </c>
    </row>
    <row r="782" spans="1:5" x14ac:dyDescent="0.3">
      <c r="A782" t="s">
        <v>1476</v>
      </c>
      <c r="B782" t="s">
        <v>2469</v>
      </c>
      <c r="C782">
        <v>45</v>
      </c>
      <c r="D782">
        <v>1</v>
      </c>
      <c r="E782" t="s">
        <v>2468</v>
      </c>
    </row>
    <row r="783" spans="1:5" x14ac:dyDescent="0.3">
      <c r="A783" t="s">
        <v>1475</v>
      </c>
      <c r="B783" t="s">
        <v>2469</v>
      </c>
      <c r="C783">
        <v>197</v>
      </c>
      <c r="D783">
        <v>2</v>
      </c>
      <c r="E783" t="s">
        <v>2472</v>
      </c>
    </row>
    <row r="784" spans="1:5" x14ac:dyDescent="0.3">
      <c r="A784" t="s">
        <v>1474</v>
      </c>
      <c r="B784" t="s">
        <v>2473</v>
      </c>
      <c r="C784">
        <v>179</v>
      </c>
      <c r="D784">
        <v>10</v>
      </c>
      <c r="E784" t="s">
        <v>2474</v>
      </c>
    </row>
    <row r="785" spans="1:5" x14ac:dyDescent="0.3">
      <c r="A785" t="s">
        <v>1473</v>
      </c>
      <c r="B785" t="s">
        <v>2469</v>
      </c>
      <c r="C785">
        <v>106</v>
      </c>
      <c r="D785">
        <v>4</v>
      </c>
      <c r="E785" t="s">
        <v>2475</v>
      </c>
    </row>
    <row r="786" spans="1:5" x14ac:dyDescent="0.3">
      <c r="A786" t="s">
        <v>1472</v>
      </c>
      <c r="B786" t="s">
        <v>2473</v>
      </c>
      <c r="C786">
        <v>1869</v>
      </c>
      <c r="D786">
        <v>106</v>
      </c>
      <c r="E786" t="s">
        <v>2474</v>
      </c>
    </row>
    <row r="787" spans="1:5" x14ac:dyDescent="0.3">
      <c r="A787" t="s">
        <v>1471</v>
      </c>
      <c r="B787" t="s">
        <v>2469</v>
      </c>
      <c r="C787">
        <v>131</v>
      </c>
      <c r="D787">
        <v>1</v>
      </c>
      <c r="E787" t="s">
        <v>2472</v>
      </c>
    </row>
    <row r="788" spans="1:5" x14ac:dyDescent="0.3">
      <c r="A788" t="s">
        <v>1470</v>
      </c>
      <c r="B788" t="s">
        <v>2469</v>
      </c>
      <c r="C788">
        <v>34</v>
      </c>
      <c r="D788">
        <v>1</v>
      </c>
      <c r="E788" t="s">
        <v>2476</v>
      </c>
    </row>
    <row r="789" spans="1:5" x14ac:dyDescent="0.3">
      <c r="A789" t="s">
        <v>1469</v>
      </c>
      <c r="B789" t="s">
        <v>2469</v>
      </c>
      <c r="C789">
        <v>147</v>
      </c>
      <c r="D789">
        <v>3</v>
      </c>
      <c r="E789" t="s">
        <v>2468</v>
      </c>
    </row>
    <row r="790" spans="1:5" x14ac:dyDescent="0.3">
      <c r="A790" t="s">
        <v>1468</v>
      </c>
      <c r="B790" t="s">
        <v>2471</v>
      </c>
      <c r="C790">
        <v>8</v>
      </c>
      <c r="D790">
        <v>0</v>
      </c>
      <c r="E790" t="s">
        <v>2470</v>
      </c>
    </row>
    <row r="791" spans="1:5" x14ac:dyDescent="0.3">
      <c r="A791" t="s">
        <v>1467</v>
      </c>
      <c r="B791" t="s">
        <v>2471</v>
      </c>
      <c r="C791">
        <v>38</v>
      </c>
      <c r="D791">
        <v>0</v>
      </c>
      <c r="E791" t="s">
        <v>2470</v>
      </c>
    </row>
    <row r="792" spans="1:5" x14ac:dyDescent="0.3">
      <c r="A792" t="s">
        <v>1466</v>
      </c>
      <c r="B792" t="s">
        <v>2473</v>
      </c>
      <c r="C792">
        <v>356</v>
      </c>
      <c r="D792">
        <v>21</v>
      </c>
      <c r="E792" t="s">
        <v>2472</v>
      </c>
    </row>
    <row r="793" spans="1:5" x14ac:dyDescent="0.3">
      <c r="A793" t="s">
        <v>1465</v>
      </c>
      <c r="B793" t="s">
        <v>2473</v>
      </c>
      <c r="C793">
        <v>85</v>
      </c>
      <c r="D793">
        <v>8</v>
      </c>
      <c r="E793" t="s">
        <v>2468</v>
      </c>
    </row>
    <row r="794" spans="1:5" x14ac:dyDescent="0.3">
      <c r="A794" t="s">
        <v>1464</v>
      </c>
      <c r="B794" t="s">
        <v>2469</v>
      </c>
      <c r="C794">
        <v>154</v>
      </c>
      <c r="D794">
        <v>2</v>
      </c>
      <c r="E794" t="s">
        <v>2472</v>
      </c>
    </row>
    <row r="795" spans="1:5" x14ac:dyDescent="0.3">
      <c r="A795" t="s">
        <v>1463</v>
      </c>
      <c r="B795" t="s">
        <v>2471</v>
      </c>
      <c r="C795">
        <v>24</v>
      </c>
      <c r="D795">
        <v>0</v>
      </c>
      <c r="E795" t="s">
        <v>2470</v>
      </c>
    </row>
    <row r="796" spans="1:5" x14ac:dyDescent="0.3">
      <c r="A796" t="s">
        <v>1462</v>
      </c>
      <c r="B796" t="s">
        <v>2469</v>
      </c>
      <c r="C796">
        <v>100</v>
      </c>
      <c r="D796">
        <v>4</v>
      </c>
      <c r="E796" t="s">
        <v>2472</v>
      </c>
    </row>
    <row r="797" spans="1:5" x14ac:dyDescent="0.3">
      <c r="A797" t="s">
        <v>1461</v>
      </c>
      <c r="B797" t="s">
        <v>2469</v>
      </c>
      <c r="C797">
        <v>135</v>
      </c>
      <c r="D797">
        <v>1</v>
      </c>
      <c r="E797" t="s">
        <v>2468</v>
      </c>
    </row>
    <row r="798" spans="1:5" x14ac:dyDescent="0.3">
      <c r="A798" t="s">
        <v>1460</v>
      </c>
      <c r="B798" t="s">
        <v>2471</v>
      </c>
      <c r="C798">
        <v>11</v>
      </c>
      <c r="D798">
        <v>0</v>
      </c>
      <c r="E798" t="s">
        <v>2470</v>
      </c>
    </row>
    <row r="799" spans="1:5" x14ac:dyDescent="0.3">
      <c r="A799" t="s">
        <v>1459</v>
      </c>
      <c r="B799" t="s">
        <v>2473</v>
      </c>
      <c r="C799">
        <v>77</v>
      </c>
      <c r="D799">
        <v>5</v>
      </c>
      <c r="E799" t="s">
        <v>2476</v>
      </c>
    </row>
    <row r="800" spans="1:5" x14ac:dyDescent="0.3">
      <c r="A800" t="s">
        <v>1458</v>
      </c>
      <c r="B800" t="s">
        <v>2471</v>
      </c>
      <c r="C800">
        <v>10</v>
      </c>
      <c r="D800">
        <v>0</v>
      </c>
      <c r="E800" t="s">
        <v>2470</v>
      </c>
    </row>
    <row r="801" spans="1:5" x14ac:dyDescent="0.3">
      <c r="A801" t="s">
        <v>1457</v>
      </c>
      <c r="B801" t="s">
        <v>2473</v>
      </c>
      <c r="C801">
        <v>57</v>
      </c>
      <c r="D801">
        <v>3</v>
      </c>
      <c r="E801" t="s">
        <v>2474</v>
      </c>
    </row>
    <row r="802" spans="1:5" x14ac:dyDescent="0.3">
      <c r="A802" t="s">
        <v>1456</v>
      </c>
      <c r="B802" t="s">
        <v>2469</v>
      </c>
      <c r="C802">
        <v>753</v>
      </c>
      <c r="D802">
        <v>8</v>
      </c>
      <c r="E802" t="s">
        <v>2475</v>
      </c>
    </row>
    <row r="803" spans="1:5" x14ac:dyDescent="0.3">
      <c r="A803" t="s">
        <v>1455</v>
      </c>
      <c r="B803" t="s">
        <v>2471</v>
      </c>
      <c r="C803">
        <v>21</v>
      </c>
      <c r="D803">
        <v>0</v>
      </c>
      <c r="E803" t="s">
        <v>2470</v>
      </c>
    </row>
    <row r="804" spans="1:5" x14ac:dyDescent="0.3">
      <c r="A804" t="s">
        <v>1454</v>
      </c>
      <c r="B804" t="s">
        <v>2471</v>
      </c>
      <c r="C804">
        <v>6</v>
      </c>
      <c r="D804">
        <v>0</v>
      </c>
      <c r="E804" t="s">
        <v>2470</v>
      </c>
    </row>
    <row r="805" spans="1:5" x14ac:dyDescent="0.3">
      <c r="A805" t="s">
        <v>1453</v>
      </c>
      <c r="B805" t="s">
        <v>2469</v>
      </c>
      <c r="C805">
        <v>128</v>
      </c>
      <c r="D805">
        <v>1</v>
      </c>
      <c r="E805" t="s">
        <v>2468</v>
      </c>
    </row>
    <row r="806" spans="1:5" x14ac:dyDescent="0.3">
      <c r="A806" t="s">
        <v>1452</v>
      </c>
      <c r="B806" t="s">
        <v>2471</v>
      </c>
      <c r="C806">
        <v>6</v>
      </c>
      <c r="D806">
        <v>0</v>
      </c>
      <c r="E806" t="s">
        <v>2470</v>
      </c>
    </row>
    <row r="807" spans="1:5" x14ac:dyDescent="0.3">
      <c r="A807" t="s">
        <v>1451</v>
      </c>
      <c r="B807" t="s">
        <v>2471</v>
      </c>
      <c r="C807">
        <v>5</v>
      </c>
      <c r="D807">
        <v>0</v>
      </c>
      <c r="E807" t="s">
        <v>2470</v>
      </c>
    </row>
    <row r="808" spans="1:5" x14ac:dyDescent="0.3">
      <c r="A808" t="s">
        <v>1450</v>
      </c>
      <c r="B808" t="s">
        <v>2469</v>
      </c>
      <c r="C808">
        <v>181</v>
      </c>
      <c r="D808">
        <v>2</v>
      </c>
      <c r="E808" t="s">
        <v>2475</v>
      </c>
    </row>
    <row r="809" spans="1:5" x14ac:dyDescent="0.3">
      <c r="A809" t="s">
        <v>1449</v>
      </c>
      <c r="B809" t="s">
        <v>2471</v>
      </c>
      <c r="C809">
        <v>22</v>
      </c>
      <c r="D809">
        <v>0</v>
      </c>
      <c r="E809" t="s">
        <v>2470</v>
      </c>
    </row>
    <row r="810" spans="1:5" x14ac:dyDescent="0.3">
      <c r="A810" t="s">
        <v>1448</v>
      </c>
      <c r="B810" t="s">
        <v>2473</v>
      </c>
      <c r="C810">
        <v>482</v>
      </c>
      <c r="D810">
        <v>36</v>
      </c>
      <c r="E810" t="s">
        <v>2474</v>
      </c>
    </row>
    <row r="811" spans="1:5" x14ac:dyDescent="0.3">
      <c r="A811" t="s">
        <v>1447</v>
      </c>
      <c r="B811" t="s">
        <v>2469</v>
      </c>
      <c r="C811">
        <v>81</v>
      </c>
      <c r="D811">
        <v>1</v>
      </c>
      <c r="E811" t="s">
        <v>2475</v>
      </c>
    </row>
    <row r="812" spans="1:5" x14ac:dyDescent="0.3">
      <c r="A812" t="s">
        <v>1446</v>
      </c>
      <c r="B812" t="s">
        <v>2471</v>
      </c>
      <c r="C812">
        <v>1</v>
      </c>
      <c r="D812">
        <v>0</v>
      </c>
      <c r="E812" t="s">
        <v>2470</v>
      </c>
    </row>
    <row r="813" spans="1:5" x14ac:dyDescent="0.3">
      <c r="A813" t="s">
        <v>1445</v>
      </c>
      <c r="B813" t="s">
        <v>2471</v>
      </c>
      <c r="C813">
        <v>12</v>
      </c>
      <c r="D813">
        <v>0</v>
      </c>
      <c r="E813" t="s">
        <v>2470</v>
      </c>
    </row>
    <row r="814" spans="1:5" x14ac:dyDescent="0.3">
      <c r="A814" t="s">
        <v>1444</v>
      </c>
      <c r="B814" t="s">
        <v>2471</v>
      </c>
      <c r="C814">
        <v>5</v>
      </c>
      <c r="D814">
        <v>0</v>
      </c>
      <c r="E814" t="s">
        <v>2470</v>
      </c>
    </row>
    <row r="815" spans="1:5" x14ac:dyDescent="0.3">
      <c r="A815" t="s">
        <v>1443</v>
      </c>
      <c r="B815" t="s">
        <v>2469</v>
      </c>
      <c r="C815">
        <v>507</v>
      </c>
      <c r="D815">
        <v>7</v>
      </c>
      <c r="E815" t="s">
        <v>2472</v>
      </c>
    </row>
    <row r="816" spans="1:5" x14ac:dyDescent="0.3">
      <c r="A816" t="s">
        <v>1442</v>
      </c>
      <c r="B816" t="s">
        <v>2471</v>
      </c>
      <c r="C816">
        <v>16</v>
      </c>
      <c r="D816">
        <v>0</v>
      </c>
      <c r="E816" t="s">
        <v>2470</v>
      </c>
    </row>
    <row r="817" spans="1:5" x14ac:dyDescent="0.3">
      <c r="A817" t="s">
        <v>1441</v>
      </c>
      <c r="B817" t="s">
        <v>2469</v>
      </c>
      <c r="C817">
        <v>102</v>
      </c>
      <c r="D817">
        <v>4</v>
      </c>
      <c r="E817" t="s">
        <v>2472</v>
      </c>
    </row>
    <row r="818" spans="1:5" x14ac:dyDescent="0.3">
      <c r="A818" t="s">
        <v>1440</v>
      </c>
      <c r="B818" t="s">
        <v>2471</v>
      </c>
      <c r="C818">
        <v>14</v>
      </c>
      <c r="D818">
        <v>0</v>
      </c>
      <c r="E818" t="s">
        <v>2470</v>
      </c>
    </row>
    <row r="819" spans="1:5" x14ac:dyDescent="0.3">
      <c r="A819" t="s">
        <v>1439</v>
      </c>
      <c r="B819" t="s">
        <v>2469</v>
      </c>
      <c r="C819">
        <v>171</v>
      </c>
      <c r="D819">
        <v>6</v>
      </c>
      <c r="E819" t="s">
        <v>2476</v>
      </c>
    </row>
    <row r="820" spans="1:5" x14ac:dyDescent="0.3">
      <c r="A820" t="s">
        <v>1438</v>
      </c>
      <c r="B820" t="s">
        <v>2473</v>
      </c>
      <c r="C820">
        <v>21</v>
      </c>
      <c r="D820">
        <v>2</v>
      </c>
      <c r="E820" t="s">
        <v>2474</v>
      </c>
    </row>
    <row r="821" spans="1:5" x14ac:dyDescent="0.3">
      <c r="A821" t="s">
        <v>1437</v>
      </c>
      <c r="B821" t="s">
        <v>2469</v>
      </c>
      <c r="C821">
        <v>500</v>
      </c>
      <c r="D821">
        <v>6</v>
      </c>
      <c r="E821" t="s">
        <v>2472</v>
      </c>
    </row>
    <row r="822" spans="1:5" x14ac:dyDescent="0.3">
      <c r="A822" t="s">
        <v>1436</v>
      </c>
      <c r="B822" t="s">
        <v>2469</v>
      </c>
      <c r="C822">
        <v>150</v>
      </c>
      <c r="D822">
        <v>3</v>
      </c>
      <c r="E822" t="s">
        <v>2475</v>
      </c>
    </row>
    <row r="823" spans="1:5" x14ac:dyDescent="0.3">
      <c r="A823" t="s">
        <v>1435</v>
      </c>
      <c r="B823" t="s">
        <v>2471</v>
      </c>
      <c r="C823">
        <v>22</v>
      </c>
      <c r="D823">
        <v>0</v>
      </c>
      <c r="E823" t="s">
        <v>2470</v>
      </c>
    </row>
    <row r="824" spans="1:5" x14ac:dyDescent="0.3">
      <c r="A824" t="s">
        <v>1434</v>
      </c>
      <c r="B824" t="s">
        <v>2469</v>
      </c>
      <c r="C824">
        <v>128</v>
      </c>
      <c r="D824">
        <v>4</v>
      </c>
      <c r="E824" t="s">
        <v>2476</v>
      </c>
    </row>
    <row r="825" spans="1:5" x14ac:dyDescent="0.3">
      <c r="A825" t="s">
        <v>1433</v>
      </c>
      <c r="B825" t="s">
        <v>2469</v>
      </c>
      <c r="C825">
        <v>118</v>
      </c>
      <c r="D825">
        <v>1</v>
      </c>
      <c r="E825" t="s">
        <v>2468</v>
      </c>
    </row>
    <row r="826" spans="1:5" x14ac:dyDescent="0.3">
      <c r="A826" t="s">
        <v>1432</v>
      </c>
      <c r="B826" t="s">
        <v>2469</v>
      </c>
      <c r="C826">
        <v>462</v>
      </c>
      <c r="D826">
        <v>23</v>
      </c>
      <c r="E826" t="s">
        <v>2475</v>
      </c>
    </row>
    <row r="827" spans="1:5" x14ac:dyDescent="0.3">
      <c r="A827" t="s">
        <v>1431</v>
      </c>
      <c r="B827" t="s">
        <v>2473</v>
      </c>
      <c r="C827">
        <v>17</v>
      </c>
      <c r="D827">
        <v>1</v>
      </c>
      <c r="E827" t="s">
        <v>2475</v>
      </c>
    </row>
    <row r="828" spans="1:5" x14ac:dyDescent="0.3">
      <c r="A828" t="s">
        <v>1430</v>
      </c>
      <c r="B828" t="s">
        <v>2469</v>
      </c>
      <c r="C828">
        <v>20</v>
      </c>
      <c r="D828">
        <v>1</v>
      </c>
      <c r="E828" t="s">
        <v>2476</v>
      </c>
    </row>
    <row r="829" spans="1:5" x14ac:dyDescent="0.3">
      <c r="A829" t="s">
        <v>1429</v>
      </c>
      <c r="B829" t="s">
        <v>2469</v>
      </c>
      <c r="C829">
        <v>121</v>
      </c>
      <c r="D829">
        <v>4</v>
      </c>
      <c r="E829" t="s">
        <v>2472</v>
      </c>
    </row>
    <row r="830" spans="1:5" x14ac:dyDescent="0.3">
      <c r="A830" t="s">
        <v>1428</v>
      </c>
      <c r="B830" t="s">
        <v>2469</v>
      </c>
      <c r="C830">
        <v>144</v>
      </c>
      <c r="D830">
        <v>2</v>
      </c>
      <c r="E830" t="s">
        <v>2475</v>
      </c>
    </row>
    <row r="831" spans="1:5" x14ac:dyDescent="0.3">
      <c r="A831" t="s">
        <v>1427</v>
      </c>
      <c r="B831" t="s">
        <v>2469</v>
      </c>
      <c r="C831">
        <v>518</v>
      </c>
      <c r="D831">
        <v>3</v>
      </c>
      <c r="E831" t="s">
        <v>2472</v>
      </c>
    </row>
    <row r="832" spans="1:5" x14ac:dyDescent="0.3">
      <c r="A832" t="s">
        <v>1426</v>
      </c>
      <c r="B832" t="s">
        <v>2469</v>
      </c>
      <c r="C832">
        <v>417</v>
      </c>
      <c r="D832">
        <v>2</v>
      </c>
      <c r="E832" t="s">
        <v>2475</v>
      </c>
    </row>
    <row r="833" spans="1:5" x14ac:dyDescent="0.3">
      <c r="A833" t="s">
        <v>1425</v>
      </c>
      <c r="B833" t="s">
        <v>2469</v>
      </c>
      <c r="C833">
        <v>65</v>
      </c>
      <c r="D833">
        <v>1</v>
      </c>
      <c r="E833" t="s">
        <v>2474</v>
      </c>
    </row>
    <row r="834" spans="1:5" x14ac:dyDescent="0.3">
      <c r="A834" t="s">
        <v>1424</v>
      </c>
      <c r="B834" t="s">
        <v>2469</v>
      </c>
      <c r="C834">
        <v>117</v>
      </c>
      <c r="D834">
        <v>4</v>
      </c>
      <c r="E834" t="s">
        <v>2468</v>
      </c>
    </row>
    <row r="835" spans="1:5" x14ac:dyDescent="0.3">
      <c r="A835" t="s">
        <v>1423</v>
      </c>
      <c r="B835" t="s">
        <v>2471</v>
      </c>
      <c r="C835">
        <v>7</v>
      </c>
      <c r="D835">
        <v>0</v>
      </c>
      <c r="E835" t="s">
        <v>2470</v>
      </c>
    </row>
    <row r="836" spans="1:5" x14ac:dyDescent="0.3">
      <c r="A836" t="s">
        <v>1422</v>
      </c>
      <c r="B836" t="s">
        <v>2469</v>
      </c>
      <c r="C836">
        <v>105</v>
      </c>
      <c r="D836">
        <v>5</v>
      </c>
      <c r="E836" t="s">
        <v>2468</v>
      </c>
    </row>
    <row r="837" spans="1:5" x14ac:dyDescent="0.3">
      <c r="A837" t="s">
        <v>1421</v>
      </c>
      <c r="B837" t="s">
        <v>2471</v>
      </c>
      <c r="C837">
        <v>6</v>
      </c>
      <c r="D837">
        <v>0</v>
      </c>
      <c r="E837" t="s">
        <v>2470</v>
      </c>
    </row>
    <row r="838" spans="1:5" x14ac:dyDescent="0.3">
      <c r="A838" t="s">
        <v>1420</v>
      </c>
      <c r="B838" t="s">
        <v>2469</v>
      </c>
      <c r="C838">
        <v>668</v>
      </c>
      <c r="D838">
        <v>8</v>
      </c>
      <c r="E838" t="s">
        <v>2468</v>
      </c>
    </row>
    <row r="839" spans="1:5" x14ac:dyDescent="0.3">
      <c r="A839" t="s">
        <v>1419</v>
      </c>
      <c r="B839" t="s">
        <v>2469</v>
      </c>
      <c r="C839">
        <v>147</v>
      </c>
      <c r="D839">
        <v>4</v>
      </c>
      <c r="E839" t="s">
        <v>2474</v>
      </c>
    </row>
    <row r="840" spans="1:5" x14ac:dyDescent="0.3">
      <c r="A840" t="s">
        <v>1418</v>
      </c>
      <c r="B840" t="s">
        <v>2471</v>
      </c>
      <c r="C840">
        <v>6</v>
      </c>
      <c r="D840">
        <v>0</v>
      </c>
      <c r="E840" t="s">
        <v>2470</v>
      </c>
    </row>
    <row r="841" spans="1:5" x14ac:dyDescent="0.3">
      <c r="A841" t="s">
        <v>1417</v>
      </c>
      <c r="B841" t="s">
        <v>2471</v>
      </c>
      <c r="C841">
        <v>69</v>
      </c>
      <c r="D841">
        <v>0</v>
      </c>
      <c r="E841" t="s">
        <v>2470</v>
      </c>
    </row>
    <row r="842" spans="1:5" x14ac:dyDescent="0.3">
      <c r="A842" t="s">
        <v>1416</v>
      </c>
      <c r="B842" t="s">
        <v>2471</v>
      </c>
      <c r="C842">
        <v>23</v>
      </c>
      <c r="D842">
        <v>0</v>
      </c>
      <c r="E842" t="s">
        <v>2470</v>
      </c>
    </row>
    <row r="843" spans="1:5" x14ac:dyDescent="0.3">
      <c r="A843" t="s">
        <v>1415</v>
      </c>
      <c r="B843" t="s">
        <v>2469</v>
      </c>
      <c r="C843">
        <v>176</v>
      </c>
      <c r="D843">
        <v>1</v>
      </c>
      <c r="E843" t="s">
        <v>2476</v>
      </c>
    </row>
    <row r="844" spans="1:5" x14ac:dyDescent="0.3">
      <c r="A844" t="s">
        <v>1414</v>
      </c>
      <c r="B844" t="s">
        <v>2469</v>
      </c>
      <c r="C844">
        <v>134</v>
      </c>
      <c r="D844">
        <v>4</v>
      </c>
      <c r="E844" t="s">
        <v>2468</v>
      </c>
    </row>
    <row r="845" spans="1:5" x14ac:dyDescent="0.3">
      <c r="A845" t="s">
        <v>1413</v>
      </c>
      <c r="B845" t="s">
        <v>2469</v>
      </c>
      <c r="C845">
        <v>114</v>
      </c>
      <c r="D845">
        <v>2</v>
      </c>
      <c r="E845" t="s">
        <v>2476</v>
      </c>
    </row>
    <row r="846" spans="1:5" x14ac:dyDescent="0.3">
      <c r="A846" t="s">
        <v>1412</v>
      </c>
      <c r="B846" t="s">
        <v>2471</v>
      </c>
      <c r="C846">
        <v>6</v>
      </c>
      <c r="D846">
        <v>0</v>
      </c>
      <c r="E846" t="s">
        <v>2470</v>
      </c>
    </row>
    <row r="847" spans="1:5" x14ac:dyDescent="0.3">
      <c r="A847" t="s">
        <v>1411</v>
      </c>
      <c r="B847" t="s">
        <v>2471</v>
      </c>
      <c r="C847">
        <v>21</v>
      </c>
      <c r="D847">
        <v>0</v>
      </c>
      <c r="E847" t="s">
        <v>2470</v>
      </c>
    </row>
    <row r="848" spans="1:5" x14ac:dyDescent="0.3">
      <c r="A848" t="s">
        <v>1410</v>
      </c>
      <c r="B848" t="s">
        <v>2469</v>
      </c>
      <c r="C848">
        <v>20</v>
      </c>
      <c r="D848">
        <v>1</v>
      </c>
      <c r="E848" t="s">
        <v>2475</v>
      </c>
    </row>
    <row r="849" spans="1:5" x14ac:dyDescent="0.3">
      <c r="A849" t="s">
        <v>1409</v>
      </c>
      <c r="B849" t="s">
        <v>2473</v>
      </c>
      <c r="C849">
        <v>31</v>
      </c>
      <c r="D849">
        <v>5</v>
      </c>
      <c r="E849" t="s">
        <v>2476</v>
      </c>
    </row>
    <row r="850" spans="1:5" x14ac:dyDescent="0.3">
      <c r="A850" t="s">
        <v>1408</v>
      </c>
      <c r="B850" t="s">
        <v>2469</v>
      </c>
      <c r="C850">
        <v>310</v>
      </c>
      <c r="D850">
        <v>6</v>
      </c>
      <c r="E850" t="s">
        <v>2468</v>
      </c>
    </row>
    <row r="851" spans="1:5" x14ac:dyDescent="0.3">
      <c r="A851" t="s">
        <v>1407</v>
      </c>
      <c r="B851" t="s">
        <v>2471</v>
      </c>
      <c r="C851">
        <v>4</v>
      </c>
      <c r="D851">
        <v>0</v>
      </c>
      <c r="E851" t="s">
        <v>2470</v>
      </c>
    </row>
    <row r="852" spans="1:5" x14ac:dyDescent="0.3">
      <c r="A852" t="s">
        <v>1406</v>
      </c>
      <c r="B852" t="s">
        <v>2469</v>
      </c>
      <c r="C852">
        <v>195</v>
      </c>
      <c r="D852">
        <v>2</v>
      </c>
      <c r="E852" t="s">
        <v>2476</v>
      </c>
    </row>
    <row r="853" spans="1:5" x14ac:dyDescent="0.3">
      <c r="A853" t="s">
        <v>1405</v>
      </c>
      <c r="B853" t="s">
        <v>2471</v>
      </c>
      <c r="C853">
        <v>4</v>
      </c>
      <c r="D853">
        <v>0</v>
      </c>
      <c r="E853" t="s">
        <v>2470</v>
      </c>
    </row>
    <row r="854" spans="1:5" x14ac:dyDescent="0.3">
      <c r="A854" t="s">
        <v>1404</v>
      </c>
      <c r="B854" t="s">
        <v>2469</v>
      </c>
      <c r="C854">
        <v>82</v>
      </c>
      <c r="D854">
        <v>1</v>
      </c>
      <c r="E854" t="s">
        <v>2475</v>
      </c>
    </row>
    <row r="855" spans="1:5" x14ac:dyDescent="0.3">
      <c r="A855" t="s">
        <v>1403</v>
      </c>
      <c r="B855" t="s">
        <v>2473</v>
      </c>
      <c r="C855">
        <v>169</v>
      </c>
      <c r="D855">
        <v>11</v>
      </c>
      <c r="E855" t="s">
        <v>2474</v>
      </c>
    </row>
    <row r="856" spans="1:5" x14ac:dyDescent="0.3">
      <c r="A856" t="s">
        <v>1402</v>
      </c>
      <c r="B856" t="s">
        <v>2469</v>
      </c>
      <c r="C856">
        <v>112</v>
      </c>
      <c r="D856">
        <v>3</v>
      </c>
      <c r="E856" t="s">
        <v>2474</v>
      </c>
    </row>
    <row r="857" spans="1:5" x14ac:dyDescent="0.3">
      <c r="A857" t="s">
        <v>1401</v>
      </c>
      <c r="B857" t="s">
        <v>2471</v>
      </c>
      <c r="C857">
        <v>12</v>
      </c>
      <c r="D857">
        <v>0</v>
      </c>
      <c r="E857" t="s">
        <v>2470</v>
      </c>
    </row>
    <row r="858" spans="1:5" x14ac:dyDescent="0.3">
      <c r="A858" t="s">
        <v>1400</v>
      </c>
      <c r="B858" t="s">
        <v>2469</v>
      </c>
      <c r="C858">
        <v>110</v>
      </c>
      <c r="D858">
        <v>2</v>
      </c>
      <c r="E858" t="s">
        <v>2468</v>
      </c>
    </row>
    <row r="859" spans="1:5" x14ac:dyDescent="0.3">
      <c r="A859" t="s">
        <v>1399</v>
      </c>
      <c r="B859" t="s">
        <v>2469</v>
      </c>
      <c r="C859">
        <v>184</v>
      </c>
      <c r="D859">
        <v>8</v>
      </c>
      <c r="E859" t="s">
        <v>2476</v>
      </c>
    </row>
    <row r="860" spans="1:5" x14ac:dyDescent="0.3">
      <c r="A860" t="s">
        <v>1398</v>
      </c>
      <c r="B860" t="s">
        <v>2471</v>
      </c>
      <c r="C860">
        <v>1</v>
      </c>
      <c r="D860">
        <v>0</v>
      </c>
      <c r="E860" t="s">
        <v>2470</v>
      </c>
    </row>
    <row r="861" spans="1:5" x14ac:dyDescent="0.3">
      <c r="A861" t="s">
        <v>1397</v>
      </c>
      <c r="B861" t="s">
        <v>2469</v>
      </c>
      <c r="C861">
        <v>1385</v>
      </c>
      <c r="D861">
        <v>33</v>
      </c>
      <c r="E861" t="s">
        <v>2474</v>
      </c>
    </row>
    <row r="862" spans="1:5" x14ac:dyDescent="0.3">
      <c r="A862" t="s">
        <v>1396</v>
      </c>
      <c r="B862" t="s">
        <v>2473</v>
      </c>
      <c r="C862">
        <v>17</v>
      </c>
      <c r="D862">
        <v>2</v>
      </c>
      <c r="E862" t="s">
        <v>2476</v>
      </c>
    </row>
    <row r="863" spans="1:5" x14ac:dyDescent="0.3">
      <c r="A863" t="s">
        <v>1395</v>
      </c>
      <c r="B863" t="s">
        <v>2471</v>
      </c>
      <c r="C863">
        <v>33</v>
      </c>
      <c r="D863">
        <v>0</v>
      </c>
      <c r="E863" t="s">
        <v>2470</v>
      </c>
    </row>
    <row r="864" spans="1:5" x14ac:dyDescent="0.3">
      <c r="A864" t="s">
        <v>1394</v>
      </c>
      <c r="B864" t="s">
        <v>2471</v>
      </c>
      <c r="C864">
        <v>19</v>
      </c>
      <c r="D864">
        <v>0</v>
      </c>
      <c r="E864" t="s">
        <v>2470</v>
      </c>
    </row>
    <row r="865" spans="1:5" x14ac:dyDescent="0.3">
      <c r="A865" t="s">
        <v>1393</v>
      </c>
      <c r="B865" t="s">
        <v>2471</v>
      </c>
      <c r="C865">
        <v>25</v>
      </c>
      <c r="D865">
        <v>0</v>
      </c>
      <c r="E865" t="s">
        <v>2470</v>
      </c>
    </row>
    <row r="866" spans="1:5" x14ac:dyDescent="0.3">
      <c r="A866" t="s">
        <v>1392</v>
      </c>
      <c r="B866" t="s">
        <v>2471</v>
      </c>
      <c r="C866">
        <v>20</v>
      </c>
      <c r="D866">
        <v>0</v>
      </c>
      <c r="E866" t="s">
        <v>2470</v>
      </c>
    </row>
    <row r="867" spans="1:5" x14ac:dyDescent="0.3">
      <c r="A867" t="s">
        <v>1391</v>
      </c>
      <c r="B867" t="s">
        <v>2469</v>
      </c>
      <c r="C867">
        <v>167</v>
      </c>
      <c r="D867">
        <v>3</v>
      </c>
      <c r="E867" t="s">
        <v>2476</v>
      </c>
    </row>
    <row r="868" spans="1:5" x14ac:dyDescent="0.3">
      <c r="A868" t="s">
        <v>1390</v>
      </c>
      <c r="B868" t="s">
        <v>2469</v>
      </c>
      <c r="C868">
        <v>178</v>
      </c>
      <c r="D868">
        <v>4</v>
      </c>
      <c r="E868" t="s">
        <v>2476</v>
      </c>
    </row>
    <row r="869" spans="1:5" x14ac:dyDescent="0.3">
      <c r="A869" t="s">
        <v>1389</v>
      </c>
      <c r="B869" t="s">
        <v>2473</v>
      </c>
      <c r="C869">
        <v>395</v>
      </c>
      <c r="D869">
        <v>24</v>
      </c>
      <c r="E869" t="s">
        <v>2474</v>
      </c>
    </row>
    <row r="870" spans="1:5" x14ac:dyDescent="0.3">
      <c r="A870" t="s">
        <v>1388</v>
      </c>
      <c r="B870" t="s">
        <v>2469</v>
      </c>
      <c r="C870">
        <v>449</v>
      </c>
      <c r="D870">
        <v>13</v>
      </c>
      <c r="E870" t="s">
        <v>2475</v>
      </c>
    </row>
    <row r="871" spans="1:5" x14ac:dyDescent="0.3">
      <c r="A871" t="s">
        <v>1387</v>
      </c>
      <c r="B871" t="s">
        <v>2473</v>
      </c>
      <c r="C871">
        <v>131</v>
      </c>
      <c r="D871">
        <v>11</v>
      </c>
      <c r="E871" t="s">
        <v>2476</v>
      </c>
    </row>
    <row r="872" spans="1:5" x14ac:dyDescent="0.3">
      <c r="A872" t="s">
        <v>1386</v>
      </c>
      <c r="B872" t="s">
        <v>2473</v>
      </c>
      <c r="C872">
        <v>22</v>
      </c>
      <c r="D872">
        <v>2</v>
      </c>
      <c r="E872" t="s">
        <v>2476</v>
      </c>
    </row>
    <row r="873" spans="1:5" x14ac:dyDescent="0.3">
      <c r="A873" t="s">
        <v>1385</v>
      </c>
      <c r="B873" t="s">
        <v>2469</v>
      </c>
      <c r="C873">
        <v>132</v>
      </c>
      <c r="D873">
        <v>2</v>
      </c>
      <c r="E873" t="s">
        <v>2476</v>
      </c>
    </row>
    <row r="874" spans="1:5" x14ac:dyDescent="0.3">
      <c r="A874" t="s">
        <v>1384</v>
      </c>
      <c r="B874" t="s">
        <v>2469</v>
      </c>
      <c r="C874">
        <v>49</v>
      </c>
      <c r="D874">
        <v>1</v>
      </c>
      <c r="E874" t="s">
        <v>2474</v>
      </c>
    </row>
    <row r="875" spans="1:5" x14ac:dyDescent="0.3">
      <c r="A875" t="s">
        <v>1383</v>
      </c>
      <c r="B875" t="s">
        <v>2469</v>
      </c>
      <c r="C875">
        <v>102</v>
      </c>
      <c r="D875">
        <v>2</v>
      </c>
      <c r="E875" t="s">
        <v>2472</v>
      </c>
    </row>
    <row r="876" spans="1:5" x14ac:dyDescent="0.3">
      <c r="A876" t="s">
        <v>1382</v>
      </c>
      <c r="B876" t="s">
        <v>2469</v>
      </c>
      <c r="C876">
        <v>354</v>
      </c>
      <c r="D876">
        <v>6</v>
      </c>
      <c r="E876" t="s">
        <v>2476</v>
      </c>
    </row>
    <row r="877" spans="1:5" x14ac:dyDescent="0.3">
      <c r="A877" t="s">
        <v>1381</v>
      </c>
      <c r="B877" t="s">
        <v>2469</v>
      </c>
      <c r="C877">
        <v>80</v>
      </c>
      <c r="D877">
        <v>2</v>
      </c>
      <c r="E877" t="s">
        <v>2468</v>
      </c>
    </row>
    <row r="878" spans="1:5" x14ac:dyDescent="0.3">
      <c r="A878" t="s">
        <v>1380</v>
      </c>
      <c r="B878" t="s">
        <v>2469</v>
      </c>
      <c r="C878">
        <v>472</v>
      </c>
      <c r="D878">
        <v>5</v>
      </c>
      <c r="E878" t="s">
        <v>2472</v>
      </c>
    </row>
    <row r="879" spans="1:5" x14ac:dyDescent="0.3">
      <c r="A879" t="s">
        <v>1379</v>
      </c>
      <c r="B879" t="s">
        <v>2473</v>
      </c>
      <c r="C879">
        <v>746</v>
      </c>
      <c r="D879">
        <v>41</v>
      </c>
      <c r="E879" t="s">
        <v>2472</v>
      </c>
    </row>
    <row r="880" spans="1:5" x14ac:dyDescent="0.3">
      <c r="A880" t="s">
        <v>1378</v>
      </c>
      <c r="B880" t="s">
        <v>2469</v>
      </c>
      <c r="C880">
        <v>781</v>
      </c>
      <c r="D880">
        <v>14</v>
      </c>
      <c r="E880" t="s">
        <v>2474</v>
      </c>
    </row>
    <row r="881" spans="1:5" x14ac:dyDescent="0.3">
      <c r="A881" t="s">
        <v>1377</v>
      </c>
      <c r="B881" t="s">
        <v>2469</v>
      </c>
      <c r="C881">
        <v>588</v>
      </c>
      <c r="D881">
        <v>15</v>
      </c>
      <c r="E881" t="s">
        <v>2468</v>
      </c>
    </row>
    <row r="882" spans="1:5" x14ac:dyDescent="0.3">
      <c r="A882" t="s">
        <v>1376</v>
      </c>
      <c r="B882" t="s">
        <v>2469</v>
      </c>
      <c r="C882">
        <v>679</v>
      </c>
      <c r="D882">
        <v>16</v>
      </c>
      <c r="E882" t="s">
        <v>2474</v>
      </c>
    </row>
    <row r="883" spans="1:5" x14ac:dyDescent="0.3">
      <c r="A883" t="s">
        <v>1375</v>
      </c>
      <c r="B883" t="s">
        <v>2469</v>
      </c>
      <c r="C883">
        <v>167</v>
      </c>
      <c r="D883">
        <v>1</v>
      </c>
      <c r="E883" t="s">
        <v>2468</v>
      </c>
    </row>
    <row r="884" spans="1:5" x14ac:dyDescent="0.3">
      <c r="A884" t="s">
        <v>1374</v>
      </c>
      <c r="B884" t="s">
        <v>2469</v>
      </c>
      <c r="C884">
        <v>39</v>
      </c>
      <c r="D884">
        <v>1</v>
      </c>
      <c r="E884" t="s">
        <v>2476</v>
      </c>
    </row>
    <row r="885" spans="1:5" x14ac:dyDescent="0.3">
      <c r="A885" t="s">
        <v>1373</v>
      </c>
      <c r="B885" t="s">
        <v>2469</v>
      </c>
      <c r="C885">
        <v>157</v>
      </c>
      <c r="D885">
        <v>1</v>
      </c>
      <c r="E885" t="s">
        <v>2468</v>
      </c>
    </row>
    <row r="886" spans="1:5" x14ac:dyDescent="0.3">
      <c r="A886" t="s">
        <v>1372</v>
      </c>
      <c r="B886" t="s">
        <v>2469</v>
      </c>
      <c r="C886">
        <v>71</v>
      </c>
      <c r="D886">
        <v>2</v>
      </c>
      <c r="E886" t="s">
        <v>2472</v>
      </c>
    </row>
    <row r="887" spans="1:5" x14ac:dyDescent="0.3">
      <c r="A887" t="s">
        <v>1371</v>
      </c>
      <c r="B887" t="s">
        <v>2469</v>
      </c>
      <c r="C887">
        <v>136</v>
      </c>
      <c r="D887">
        <v>7</v>
      </c>
      <c r="E887" t="s">
        <v>2472</v>
      </c>
    </row>
    <row r="888" spans="1:5" x14ac:dyDescent="0.3">
      <c r="A888" t="s">
        <v>1370</v>
      </c>
      <c r="B888" t="s">
        <v>2473</v>
      </c>
      <c r="C888">
        <v>196</v>
      </c>
      <c r="D888">
        <v>11</v>
      </c>
      <c r="E888" t="s">
        <v>2474</v>
      </c>
    </row>
    <row r="889" spans="1:5" x14ac:dyDescent="0.3">
      <c r="A889" t="s">
        <v>1369</v>
      </c>
      <c r="B889" t="s">
        <v>2469</v>
      </c>
      <c r="C889">
        <v>189</v>
      </c>
      <c r="D889">
        <v>3</v>
      </c>
      <c r="E889" t="s">
        <v>2468</v>
      </c>
    </row>
    <row r="890" spans="1:5" x14ac:dyDescent="0.3">
      <c r="A890" t="s">
        <v>1368</v>
      </c>
      <c r="B890" t="s">
        <v>2469</v>
      </c>
      <c r="C890">
        <v>105</v>
      </c>
      <c r="D890">
        <v>1</v>
      </c>
      <c r="E890" t="s">
        <v>2468</v>
      </c>
    </row>
    <row r="891" spans="1:5" x14ac:dyDescent="0.3">
      <c r="A891" t="s">
        <v>1367</v>
      </c>
      <c r="B891" t="s">
        <v>2469</v>
      </c>
      <c r="C891">
        <v>127</v>
      </c>
      <c r="D891">
        <v>3</v>
      </c>
      <c r="E891" t="s">
        <v>2476</v>
      </c>
    </row>
    <row r="892" spans="1:5" x14ac:dyDescent="0.3">
      <c r="A892" t="s">
        <v>1366</v>
      </c>
      <c r="B892" t="s">
        <v>2471</v>
      </c>
      <c r="C892">
        <v>17</v>
      </c>
      <c r="D892">
        <v>0</v>
      </c>
      <c r="E892" t="s">
        <v>2470</v>
      </c>
    </row>
    <row r="893" spans="1:5" x14ac:dyDescent="0.3">
      <c r="A893" t="s">
        <v>1365</v>
      </c>
      <c r="B893" t="s">
        <v>2471</v>
      </c>
      <c r="C893">
        <v>9</v>
      </c>
      <c r="D893">
        <v>0</v>
      </c>
      <c r="E893" t="s">
        <v>2470</v>
      </c>
    </row>
    <row r="894" spans="1:5" x14ac:dyDescent="0.3">
      <c r="A894" t="s">
        <v>1364</v>
      </c>
      <c r="B894" t="s">
        <v>2469</v>
      </c>
      <c r="C894">
        <v>168</v>
      </c>
      <c r="D894">
        <v>4</v>
      </c>
      <c r="E894" t="s">
        <v>2476</v>
      </c>
    </row>
    <row r="895" spans="1:5" x14ac:dyDescent="0.3">
      <c r="A895" t="s">
        <v>1363</v>
      </c>
      <c r="B895" t="s">
        <v>2473</v>
      </c>
      <c r="C895">
        <v>18</v>
      </c>
      <c r="D895">
        <v>1</v>
      </c>
      <c r="E895" t="s">
        <v>2472</v>
      </c>
    </row>
    <row r="896" spans="1:5" x14ac:dyDescent="0.3">
      <c r="A896" t="s">
        <v>1362</v>
      </c>
      <c r="B896" t="s">
        <v>2471</v>
      </c>
      <c r="C896">
        <v>7</v>
      </c>
      <c r="D896">
        <v>0</v>
      </c>
      <c r="E896" t="s">
        <v>2470</v>
      </c>
    </row>
    <row r="897" spans="1:5" x14ac:dyDescent="0.3">
      <c r="A897" t="s">
        <v>1361</v>
      </c>
      <c r="B897" t="s">
        <v>2469</v>
      </c>
      <c r="C897">
        <v>418</v>
      </c>
      <c r="D897">
        <v>4</v>
      </c>
      <c r="E897" t="s">
        <v>2468</v>
      </c>
    </row>
    <row r="898" spans="1:5" x14ac:dyDescent="0.3">
      <c r="A898" t="s">
        <v>1360</v>
      </c>
      <c r="B898" t="s">
        <v>2471</v>
      </c>
      <c r="C898">
        <v>4</v>
      </c>
      <c r="D898">
        <v>0</v>
      </c>
      <c r="E898" t="s">
        <v>2470</v>
      </c>
    </row>
    <row r="899" spans="1:5" x14ac:dyDescent="0.3">
      <c r="A899" t="s">
        <v>1359</v>
      </c>
      <c r="B899" t="s">
        <v>2469</v>
      </c>
      <c r="C899">
        <v>371</v>
      </c>
      <c r="D899">
        <v>4</v>
      </c>
      <c r="E899" t="s">
        <v>2468</v>
      </c>
    </row>
    <row r="900" spans="1:5" x14ac:dyDescent="0.3">
      <c r="A900" t="s">
        <v>1358</v>
      </c>
      <c r="B900" t="s">
        <v>2469</v>
      </c>
      <c r="C900">
        <v>126</v>
      </c>
      <c r="D900">
        <v>1</v>
      </c>
      <c r="E900" t="s">
        <v>2475</v>
      </c>
    </row>
    <row r="901" spans="1:5" x14ac:dyDescent="0.3">
      <c r="A901" t="s">
        <v>1357</v>
      </c>
      <c r="B901" t="s">
        <v>2469</v>
      </c>
      <c r="C901">
        <v>53</v>
      </c>
      <c r="D901">
        <v>1</v>
      </c>
      <c r="E901" t="s">
        <v>2472</v>
      </c>
    </row>
    <row r="902" spans="1:5" x14ac:dyDescent="0.3">
      <c r="A902" t="s">
        <v>1356</v>
      </c>
      <c r="B902" t="s">
        <v>2471</v>
      </c>
      <c r="C902">
        <v>7</v>
      </c>
      <c r="D902">
        <v>0</v>
      </c>
      <c r="E902" t="s">
        <v>2470</v>
      </c>
    </row>
    <row r="903" spans="1:5" x14ac:dyDescent="0.3">
      <c r="A903" t="s">
        <v>1355</v>
      </c>
      <c r="B903" t="s">
        <v>2471</v>
      </c>
      <c r="C903">
        <v>8</v>
      </c>
      <c r="D903">
        <v>0</v>
      </c>
      <c r="E903" t="s">
        <v>2470</v>
      </c>
    </row>
    <row r="904" spans="1:5" x14ac:dyDescent="0.3">
      <c r="A904" t="s">
        <v>1354</v>
      </c>
      <c r="B904" t="s">
        <v>2471</v>
      </c>
      <c r="C904">
        <v>24</v>
      </c>
      <c r="D904">
        <v>0</v>
      </c>
      <c r="E904" t="s">
        <v>2470</v>
      </c>
    </row>
    <row r="905" spans="1:5" x14ac:dyDescent="0.3">
      <c r="A905" t="s">
        <v>1353</v>
      </c>
      <c r="B905" t="s">
        <v>2473</v>
      </c>
      <c r="C905">
        <v>317</v>
      </c>
      <c r="D905">
        <v>20</v>
      </c>
      <c r="E905" t="s">
        <v>2472</v>
      </c>
    </row>
    <row r="906" spans="1:5" x14ac:dyDescent="0.3">
      <c r="A906" t="s">
        <v>1352</v>
      </c>
      <c r="B906" t="s">
        <v>2469</v>
      </c>
      <c r="C906">
        <v>527</v>
      </c>
      <c r="D906">
        <v>21</v>
      </c>
      <c r="E906" t="s">
        <v>2468</v>
      </c>
    </row>
    <row r="907" spans="1:5" x14ac:dyDescent="0.3">
      <c r="A907" t="s">
        <v>1351</v>
      </c>
      <c r="B907" t="s">
        <v>2469</v>
      </c>
      <c r="C907">
        <v>80</v>
      </c>
      <c r="D907">
        <v>1</v>
      </c>
      <c r="E907" t="s">
        <v>2468</v>
      </c>
    </row>
    <row r="908" spans="1:5" x14ac:dyDescent="0.3">
      <c r="A908" t="s">
        <v>1350</v>
      </c>
      <c r="B908" t="s">
        <v>2471</v>
      </c>
      <c r="C908">
        <v>21</v>
      </c>
      <c r="D908">
        <v>0</v>
      </c>
      <c r="E908" t="s">
        <v>2470</v>
      </c>
    </row>
    <row r="909" spans="1:5" x14ac:dyDescent="0.3">
      <c r="A909" t="s">
        <v>1349</v>
      </c>
      <c r="B909" t="s">
        <v>2469</v>
      </c>
      <c r="C909">
        <v>615</v>
      </c>
      <c r="D909">
        <v>18</v>
      </c>
      <c r="E909" t="s">
        <v>2475</v>
      </c>
    </row>
    <row r="910" spans="1:5" x14ac:dyDescent="0.3">
      <c r="A910" t="s">
        <v>1348</v>
      </c>
      <c r="B910" t="s">
        <v>2469</v>
      </c>
      <c r="C910">
        <v>684</v>
      </c>
      <c r="D910">
        <v>19</v>
      </c>
      <c r="E910" t="s">
        <v>2475</v>
      </c>
    </row>
    <row r="911" spans="1:5" x14ac:dyDescent="0.3">
      <c r="A911" t="s">
        <v>1347</v>
      </c>
      <c r="B911" t="s">
        <v>2469</v>
      </c>
      <c r="C911">
        <v>99</v>
      </c>
      <c r="D911">
        <v>4</v>
      </c>
      <c r="E911" t="s">
        <v>2472</v>
      </c>
    </row>
    <row r="912" spans="1:5" x14ac:dyDescent="0.3">
      <c r="A912" t="s">
        <v>1346</v>
      </c>
      <c r="B912" t="s">
        <v>2469</v>
      </c>
      <c r="C912">
        <v>537</v>
      </c>
      <c r="D912">
        <v>9</v>
      </c>
      <c r="E912" t="s">
        <v>2468</v>
      </c>
    </row>
    <row r="913" spans="1:5" x14ac:dyDescent="0.3">
      <c r="A913" t="s">
        <v>1345</v>
      </c>
      <c r="B913" t="s">
        <v>2473</v>
      </c>
      <c r="C913">
        <v>52</v>
      </c>
      <c r="D913">
        <v>3</v>
      </c>
      <c r="E913" t="s">
        <v>2472</v>
      </c>
    </row>
    <row r="914" spans="1:5" x14ac:dyDescent="0.3">
      <c r="A914" t="s">
        <v>1344</v>
      </c>
      <c r="B914" t="s">
        <v>2469</v>
      </c>
      <c r="C914">
        <v>117</v>
      </c>
      <c r="D914">
        <v>1</v>
      </c>
      <c r="E914" t="s">
        <v>2476</v>
      </c>
    </row>
    <row r="915" spans="1:5" x14ac:dyDescent="0.3">
      <c r="A915" t="s">
        <v>1343</v>
      </c>
      <c r="B915" t="s">
        <v>2469</v>
      </c>
      <c r="C915">
        <v>77</v>
      </c>
      <c r="D915">
        <v>1</v>
      </c>
      <c r="E915" t="s">
        <v>2472</v>
      </c>
    </row>
    <row r="916" spans="1:5" x14ac:dyDescent="0.3">
      <c r="A916" t="s">
        <v>1342</v>
      </c>
      <c r="B916" t="s">
        <v>2469</v>
      </c>
      <c r="C916">
        <v>70</v>
      </c>
      <c r="D916">
        <v>1</v>
      </c>
      <c r="E916" t="s">
        <v>2468</v>
      </c>
    </row>
    <row r="917" spans="1:5" x14ac:dyDescent="0.3">
      <c r="A917" t="s">
        <v>1341</v>
      </c>
      <c r="B917" t="s">
        <v>2469</v>
      </c>
      <c r="C917">
        <v>495</v>
      </c>
      <c r="D917">
        <v>4</v>
      </c>
      <c r="E917" t="s">
        <v>2475</v>
      </c>
    </row>
    <row r="918" spans="1:5" x14ac:dyDescent="0.3">
      <c r="A918" t="s">
        <v>1340</v>
      </c>
      <c r="B918" t="s">
        <v>2469</v>
      </c>
      <c r="C918">
        <v>430</v>
      </c>
      <c r="D918">
        <v>6</v>
      </c>
      <c r="E918" t="s">
        <v>2475</v>
      </c>
    </row>
    <row r="919" spans="1:5" x14ac:dyDescent="0.3">
      <c r="A919" t="s">
        <v>1339</v>
      </c>
      <c r="B919" t="s">
        <v>2469</v>
      </c>
      <c r="C919">
        <v>164</v>
      </c>
      <c r="D919">
        <v>2</v>
      </c>
      <c r="E919" t="s">
        <v>2475</v>
      </c>
    </row>
    <row r="920" spans="1:5" x14ac:dyDescent="0.3">
      <c r="A920" t="s">
        <v>1338</v>
      </c>
      <c r="B920" t="s">
        <v>2469</v>
      </c>
      <c r="C920">
        <v>111</v>
      </c>
      <c r="D920">
        <v>1</v>
      </c>
      <c r="E920" t="s">
        <v>2475</v>
      </c>
    </row>
    <row r="921" spans="1:5" x14ac:dyDescent="0.3">
      <c r="A921" t="s">
        <v>1337</v>
      </c>
      <c r="B921" t="s">
        <v>2469</v>
      </c>
      <c r="C921">
        <v>676</v>
      </c>
      <c r="D921">
        <v>9</v>
      </c>
      <c r="E921" t="s">
        <v>2474</v>
      </c>
    </row>
    <row r="922" spans="1:5" x14ac:dyDescent="0.3">
      <c r="A922" t="s">
        <v>1336</v>
      </c>
      <c r="B922" t="s">
        <v>2469</v>
      </c>
      <c r="C922">
        <v>158</v>
      </c>
      <c r="D922">
        <v>2</v>
      </c>
      <c r="E922" t="s">
        <v>2475</v>
      </c>
    </row>
    <row r="923" spans="1:5" x14ac:dyDescent="0.3">
      <c r="A923" t="s">
        <v>1335</v>
      </c>
      <c r="B923" t="s">
        <v>2469</v>
      </c>
      <c r="C923">
        <v>1231</v>
      </c>
      <c r="D923">
        <v>42</v>
      </c>
      <c r="E923" t="s">
        <v>2468</v>
      </c>
    </row>
    <row r="924" spans="1:5" x14ac:dyDescent="0.3">
      <c r="A924" t="s">
        <v>1334</v>
      </c>
      <c r="B924" t="s">
        <v>2471</v>
      </c>
      <c r="C924">
        <v>45</v>
      </c>
      <c r="D924">
        <v>0</v>
      </c>
      <c r="E924" t="s">
        <v>2470</v>
      </c>
    </row>
    <row r="925" spans="1:5" x14ac:dyDescent="0.3">
      <c r="A925" t="s">
        <v>1333</v>
      </c>
      <c r="B925" t="s">
        <v>2469</v>
      </c>
      <c r="C925">
        <v>402</v>
      </c>
      <c r="D925">
        <v>14</v>
      </c>
      <c r="E925" t="s">
        <v>2474</v>
      </c>
    </row>
    <row r="926" spans="1:5" x14ac:dyDescent="0.3">
      <c r="A926" t="s">
        <v>1332</v>
      </c>
      <c r="B926" t="s">
        <v>2469</v>
      </c>
      <c r="C926">
        <v>94</v>
      </c>
      <c r="D926">
        <v>3</v>
      </c>
      <c r="E926" t="s">
        <v>2476</v>
      </c>
    </row>
    <row r="927" spans="1:5" x14ac:dyDescent="0.3">
      <c r="A927" t="s">
        <v>1331</v>
      </c>
      <c r="B927" t="s">
        <v>2469</v>
      </c>
      <c r="C927">
        <v>69</v>
      </c>
      <c r="D927">
        <v>1</v>
      </c>
      <c r="E927" t="s">
        <v>2468</v>
      </c>
    </row>
    <row r="928" spans="1:5" x14ac:dyDescent="0.3">
      <c r="A928" t="s">
        <v>1330</v>
      </c>
      <c r="B928" t="s">
        <v>2471</v>
      </c>
      <c r="C928">
        <v>2</v>
      </c>
      <c r="D928">
        <v>0</v>
      </c>
      <c r="E928" t="s">
        <v>2470</v>
      </c>
    </row>
    <row r="929" spans="1:5" x14ac:dyDescent="0.3">
      <c r="A929" t="s">
        <v>1329</v>
      </c>
      <c r="B929" t="s">
        <v>2473</v>
      </c>
      <c r="C929">
        <v>18</v>
      </c>
      <c r="D929">
        <v>2</v>
      </c>
      <c r="E929" t="s">
        <v>2468</v>
      </c>
    </row>
    <row r="930" spans="1:5" x14ac:dyDescent="0.3">
      <c r="A930" t="s">
        <v>1328</v>
      </c>
      <c r="B930" t="s">
        <v>2471</v>
      </c>
      <c r="C930">
        <v>20</v>
      </c>
      <c r="D930">
        <v>0</v>
      </c>
      <c r="E930" t="s">
        <v>2470</v>
      </c>
    </row>
    <row r="931" spans="1:5" x14ac:dyDescent="0.3">
      <c r="A931" t="s">
        <v>1327</v>
      </c>
      <c r="B931" t="s">
        <v>2469</v>
      </c>
      <c r="C931">
        <v>291</v>
      </c>
      <c r="D931">
        <v>3</v>
      </c>
      <c r="E931" t="s">
        <v>2472</v>
      </c>
    </row>
    <row r="932" spans="1:5" x14ac:dyDescent="0.3">
      <c r="A932" t="s">
        <v>1326</v>
      </c>
      <c r="B932" t="s">
        <v>2471</v>
      </c>
      <c r="C932">
        <v>2</v>
      </c>
      <c r="D932">
        <v>0</v>
      </c>
      <c r="E932" t="s">
        <v>2470</v>
      </c>
    </row>
    <row r="933" spans="1:5" x14ac:dyDescent="0.3">
      <c r="A933" t="s">
        <v>1325</v>
      </c>
      <c r="B933" t="s">
        <v>2469</v>
      </c>
      <c r="C933">
        <v>57</v>
      </c>
      <c r="D933">
        <v>2</v>
      </c>
      <c r="E933" t="s">
        <v>2468</v>
      </c>
    </row>
    <row r="934" spans="1:5" x14ac:dyDescent="0.3">
      <c r="A934" t="s">
        <v>1324</v>
      </c>
      <c r="B934" t="s">
        <v>2469</v>
      </c>
      <c r="C934">
        <v>311</v>
      </c>
      <c r="D934">
        <v>7</v>
      </c>
      <c r="E934" t="s">
        <v>2476</v>
      </c>
    </row>
    <row r="935" spans="1:5" x14ac:dyDescent="0.3">
      <c r="A935" t="s">
        <v>1323</v>
      </c>
      <c r="B935" t="s">
        <v>2471</v>
      </c>
      <c r="C935">
        <v>10</v>
      </c>
      <c r="D935">
        <v>0</v>
      </c>
      <c r="E935" t="s">
        <v>2470</v>
      </c>
    </row>
    <row r="936" spans="1:5" x14ac:dyDescent="0.3">
      <c r="A936" t="s">
        <v>1322</v>
      </c>
      <c r="B936" t="s">
        <v>2471</v>
      </c>
      <c r="C936">
        <v>8</v>
      </c>
      <c r="D936">
        <v>0</v>
      </c>
      <c r="E936" t="s">
        <v>2470</v>
      </c>
    </row>
    <row r="937" spans="1:5" x14ac:dyDescent="0.3">
      <c r="A937" t="s">
        <v>1321</v>
      </c>
      <c r="B937" t="s">
        <v>2469</v>
      </c>
      <c r="C937">
        <v>168</v>
      </c>
      <c r="D937">
        <v>1</v>
      </c>
      <c r="E937" t="s">
        <v>2468</v>
      </c>
    </row>
    <row r="938" spans="1:5" x14ac:dyDescent="0.3">
      <c r="A938" t="s">
        <v>1320</v>
      </c>
      <c r="B938" t="s">
        <v>2469</v>
      </c>
      <c r="C938">
        <v>58</v>
      </c>
      <c r="D938">
        <v>1</v>
      </c>
      <c r="E938" t="s">
        <v>2475</v>
      </c>
    </row>
    <row r="939" spans="1:5" x14ac:dyDescent="0.3">
      <c r="A939" t="s">
        <v>1319</v>
      </c>
      <c r="B939" t="s">
        <v>2469</v>
      </c>
      <c r="C939">
        <v>96</v>
      </c>
      <c r="D939">
        <v>1</v>
      </c>
      <c r="E939" t="s">
        <v>2472</v>
      </c>
    </row>
    <row r="940" spans="1:5" x14ac:dyDescent="0.3">
      <c r="A940" t="s">
        <v>1318</v>
      </c>
      <c r="B940" t="s">
        <v>2473</v>
      </c>
      <c r="C940">
        <v>161</v>
      </c>
      <c r="D940">
        <v>10</v>
      </c>
      <c r="E940" t="s">
        <v>2475</v>
      </c>
    </row>
    <row r="941" spans="1:5" x14ac:dyDescent="0.3">
      <c r="A941" t="s">
        <v>1317</v>
      </c>
      <c r="B941" t="s">
        <v>2471</v>
      </c>
      <c r="C941">
        <v>8</v>
      </c>
      <c r="D941">
        <v>0</v>
      </c>
      <c r="E941" t="s">
        <v>2470</v>
      </c>
    </row>
    <row r="942" spans="1:5" x14ac:dyDescent="0.3">
      <c r="A942" t="s">
        <v>1316</v>
      </c>
      <c r="B942" t="s">
        <v>2471</v>
      </c>
      <c r="C942">
        <v>19</v>
      </c>
      <c r="D942">
        <v>0</v>
      </c>
      <c r="E942" t="s">
        <v>2470</v>
      </c>
    </row>
    <row r="943" spans="1:5" x14ac:dyDescent="0.3">
      <c r="A943" t="s">
        <v>1315</v>
      </c>
      <c r="B943" t="s">
        <v>2473</v>
      </c>
      <c r="C943">
        <v>112</v>
      </c>
      <c r="D943">
        <v>13</v>
      </c>
      <c r="E943" t="s">
        <v>2476</v>
      </c>
    </row>
    <row r="944" spans="1:5" x14ac:dyDescent="0.3">
      <c r="A944" t="s">
        <v>1314</v>
      </c>
      <c r="B944" t="s">
        <v>2473</v>
      </c>
      <c r="C944">
        <v>694</v>
      </c>
      <c r="D944">
        <v>47</v>
      </c>
      <c r="E944" t="s">
        <v>2476</v>
      </c>
    </row>
    <row r="945" spans="1:5" x14ac:dyDescent="0.3">
      <c r="A945" t="s">
        <v>1313</v>
      </c>
      <c r="B945" t="s">
        <v>2469</v>
      </c>
      <c r="C945">
        <v>72</v>
      </c>
      <c r="D945">
        <v>2</v>
      </c>
      <c r="E945" t="s">
        <v>2475</v>
      </c>
    </row>
    <row r="946" spans="1:5" x14ac:dyDescent="0.3">
      <c r="A946" t="s">
        <v>1312</v>
      </c>
      <c r="B946" t="s">
        <v>2471</v>
      </c>
      <c r="C946">
        <v>4</v>
      </c>
      <c r="D946">
        <v>0</v>
      </c>
      <c r="E946" t="s">
        <v>2470</v>
      </c>
    </row>
    <row r="947" spans="1:5" x14ac:dyDescent="0.3">
      <c r="A947" t="s">
        <v>1311</v>
      </c>
      <c r="B947" t="s">
        <v>2471</v>
      </c>
      <c r="C947">
        <v>21</v>
      </c>
      <c r="D947">
        <v>0</v>
      </c>
      <c r="E947" t="s">
        <v>2470</v>
      </c>
    </row>
    <row r="948" spans="1:5" x14ac:dyDescent="0.3">
      <c r="A948" t="s">
        <v>1310</v>
      </c>
      <c r="B948" t="s">
        <v>2469</v>
      </c>
      <c r="C948">
        <v>205</v>
      </c>
      <c r="D948">
        <v>2</v>
      </c>
      <c r="E948" t="s">
        <v>2475</v>
      </c>
    </row>
    <row r="949" spans="1:5" x14ac:dyDescent="0.3">
      <c r="A949" t="s">
        <v>1309</v>
      </c>
      <c r="B949" t="s">
        <v>2469</v>
      </c>
      <c r="C949">
        <v>187</v>
      </c>
      <c r="D949">
        <v>1</v>
      </c>
      <c r="E949" t="s">
        <v>2476</v>
      </c>
    </row>
    <row r="950" spans="1:5" x14ac:dyDescent="0.3">
      <c r="A950" t="s">
        <v>1308</v>
      </c>
      <c r="B950" t="s">
        <v>2469</v>
      </c>
      <c r="C950">
        <v>160</v>
      </c>
      <c r="D950">
        <v>3</v>
      </c>
      <c r="E950" t="s">
        <v>2475</v>
      </c>
    </row>
    <row r="951" spans="1:5" x14ac:dyDescent="0.3">
      <c r="A951" t="s">
        <v>1307</v>
      </c>
      <c r="B951" t="s">
        <v>2471</v>
      </c>
      <c r="C951">
        <v>8</v>
      </c>
      <c r="D951">
        <v>0</v>
      </c>
      <c r="E951" t="s">
        <v>2470</v>
      </c>
    </row>
    <row r="952" spans="1:5" x14ac:dyDescent="0.3">
      <c r="A952" t="s">
        <v>1306</v>
      </c>
      <c r="B952" t="s">
        <v>2469</v>
      </c>
      <c r="C952">
        <v>112</v>
      </c>
      <c r="D952">
        <v>2</v>
      </c>
      <c r="E952" t="s">
        <v>2475</v>
      </c>
    </row>
    <row r="953" spans="1:5" x14ac:dyDescent="0.3">
      <c r="A953" t="s">
        <v>1305</v>
      </c>
      <c r="B953" t="s">
        <v>2469</v>
      </c>
      <c r="C953">
        <v>159</v>
      </c>
      <c r="D953">
        <v>1</v>
      </c>
      <c r="E953" t="s">
        <v>2474</v>
      </c>
    </row>
    <row r="954" spans="1:5" x14ac:dyDescent="0.3">
      <c r="A954" t="s">
        <v>1304</v>
      </c>
      <c r="B954" t="s">
        <v>2469</v>
      </c>
      <c r="C954">
        <v>481</v>
      </c>
      <c r="D954">
        <v>7</v>
      </c>
      <c r="E954" t="s">
        <v>2474</v>
      </c>
    </row>
    <row r="955" spans="1:5" x14ac:dyDescent="0.3">
      <c r="A955" t="s">
        <v>1303</v>
      </c>
      <c r="B955" t="s">
        <v>2469</v>
      </c>
      <c r="C955">
        <v>355</v>
      </c>
      <c r="D955">
        <v>6</v>
      </c>
      <c r="E955" t="s">
        <v>2475</v>
      </c>
    </row>
    <row r="956" spans="1:5" x14ac:dyDescent="0.3">
      <c r="A956" t="s">
        <v>1302</v>
      </c>
      <c r="B956" t="s">
        <v>2471</v>
      </c>
      <c r="C956">
        <v>21</v>
      </c>
      <c r="D956">
        <v>0</v>
      </c>
      <c r="E956" t="s">
        <v>2470</v>
      </c>
    </row>
    <row r="957" spans="1:5" x14ac:dyDescent="0.3">
      <c r="A957" t="s">
        <v>1301</v>
      </c>
      <c r="B957" t="s">
        <v>2469</v>
      </c>
      <c r="C957">
        <v>153</v>
      </c>
      <c r="D957">
        <v>2</v>
      </c>
      <c r="E957" t="s">
        <v>2475</v>
      </c>
    </row>
    <row r="958" spans="1:5" x14ac:dyDescent="0.3">
      <c r="A958" t="s">
        <v>1300</v>
      </c>
      <c r="B958" t="s">
        <v>2469</v>
      </c>
      <c r="C958">
        <v>23</v>
      </c>
      <c r="D958">
        <v>1</v>
      </c>
      <c r="E958" t="s">
        <v>2475</v>
      </c>
    </row>
    <row r="959" spans="1:5" x14ac:dyDescent="0.3">
      <c r="A959" t="s">
        <v>1299</v>
      </c>
      <c r="B959" t="s">
        <v>2471</v>
      </c>
      <c r="C959">
        <v>2</v>
      </c>
      <c r="D959">
        <v>0</v>
      </c>
      <c r="E959" t="s">
        <v>2470</v>
      </c>
    </row>
    <row r="960" spans="1:5" x14ac:dyDescent="0.3">
      <c r="A960" t="s">
        <v>1298</v>
      </c>
      <c r="B960" t="s">
        <v>2469</v>
      </c>
      <c r="C960">
        <v>564</v>
      </c>
      <c r="D960">
        <v>12</v>
      </c>
      <c r="E960" t="s">
        <v>2474</v>
      </c>
    </row>
    <row r="961" spans="1:5" x14ac:dyDescent="0.3">
      <c r="A961" t="s">
        <v>1297</v>
      </c>
      <c r="B961" t="s">
        <v>2471</v>
      </c>
      <c r="C961">
        <v>6</v>
      </c>
      <c r="D961">
        <v>0</v>
      </c>
      <c r="E961" t="s">
        <v>2470</v>
      </c>
    </row>
    <row r="962" spans="1:5" x14ac:dyDescent="0.3">
      <c r="A962" t="s">
        <v>1296</v>
      </c>
      <c r="B962" t="s">
        <v>2473</v>
      </c>
      <c r="C962">
        <v>748</v>
      </c>
      <c r="D962">
        <v>44</v>
      </c>
      <c r="E962" t="s">
        <v>2468</v>
      </c>
    </row>
    <row r="963" spans="1:5" x14ac:dyDescent="0.3">
      <c r="A963" t="s">
        <v>1295</v>
      </c>
      <c r="B963" t="s">
        <v>2469</v>
      </c>
      <c r="C963">
        <v>87</v>
      </c>
      <c r="D963">
        <v>3</v>
      </c>
      <c r="E963" t="s">
        <v>2475</v>
      </c>
    </row>
    <row r="964" spans="1:5" x14ac:dyDescent="0.3">
      <c r="A964" t="s">
        <v>1294</v>
      </c>
      <c r="B964" t="s">
        <v>2469</v>
      </c>
      <c r="C964">
        <v>384</v>
      </c>
      <c r="D964">
        <v>5</v>
      </c>
      <c r="E964" t="s">
        <v>2474</v>
      </c>
    </row>
    <row r="965" spans="1:5" x14ac:dyDescent="0.3">
      <c r="A965" t="s">
        <v>1293</v>
      </c>
      <c r="B965" t="s">
        <v>2469</v>
      </c>
      <c r="C965">
        <v>732</v>
      </c>
      <c r="D965">
        <v>21</v>
      </c>
      <c r="E965" t="s">
        <v>2472</v>
      </c>
    </row>
    <row r="966" spans="1:5" x14ac:dyDescent="0.3">
      <c r="A966" t="s">
        <v>1292</v>
      </c>
      <c r="B966" t="s">
        <v>2471</v>
      </c>
      <c r="C966">
        <v>10</v>
      </c>
      <c r="D966">
        <v>0</v>
      </c>
      <c r="E966" t="s">
        <v>2470</v>
      </c>
    </row>
    <row r="967" spans="1:5" x14ac:dyDescent="0.3">
      <c r="A967" t="s">
        <v>1291</v>
      </c>
      <c r="B967" t="s">
        <v>2469</v>
      </c>
      <c r="C967">
        <v>224</v>
      </c>
      <c r="D967">
        <v>3</v>
      </c>
      <c r="E967" t="s">
        <v>2472</v>
      </c>
    </row>
    <row r="968" spans="1:5" x14ac:dyDescent="0.3">
      <c r="A968" t="s">
        <v>1290</v>
      </c>
      <c r="B968" t="s">
        <v>2469</v>
      </c>
      <c r="C968">
        <v>186</v>
      </c>
      <c r="D968">
        <v>8</v>
      </c>
      <c r="E968" t="s">
        <v>2468</v>
      </c>
    </row>
    <row r="969" spans="1:5" x14ac:dyDescent="0.3">
      <c r="A969" t="s">
        <v>1289</v>
      </c>
      <c r="B969" t="s">
        <v>2471</v>
      </c>
      <c r="C969">
        <v>22</v>
      </c>
      <c r="D969">
        <v>0</v>
      </c>
      <c r="E969" t="s">
        <v>2470</v>
      </c>
    </row>
    <row r="970" spans="1:5" x14ac:dyDescent="0.3">
      <c r="A970" t="s">
        <v>1288</v>
      </c>
      <c r="B970" t="s">
        <v>2471</v>
      </c>
      <c r="C970">
        <v>3</v>
      </c>
      <c r="D970">
        <v>0</v>
      </c>
      <c r="E970" t="s">
        <v>2470</v>
      </c>
    </row>
    <row r="971" spans="1:5" x14ac:dyDescent="0.3">
      <c r="A971" t="s">
        <v>1287</v>
      </c>
      <c r="B971" t="s">
        <v>2471</v>
      </c>
      <c r="C971">
        <v>17</v>
      </c>
      <c r="D971">
        <v>0</v>
      </c>
      <c r="E971" t="s">
        <v>2470</v>
      </c>
    </row>
    <row r="972" spans="1:5" x14ac:dyDescent="0.3">
      <c r="A972" t="s">
        <v>1286</v>
      </c>
      <c r="B972" t="s">
        <v>2471</v>
      </c>
      <c r="C972">
        <v>49</v>
      </c>
      <c r="D972">
        <v>0</v>
      </c>
      <c r="E972" t="s">
        <v>2470</v>
      </c>
    </row>
    <row r="973" spans="1:5" x14ac:dyDescent="0.3">
      <c r="A973" t="s">
        <v>1285</v>
      </c>
      <c r="B973" t="s">
        <v>2469</v>
      </c>
      <c r="C973">
        <v>164</v>
      </c>
      <c r="D973">
        <v>1</v>
      </c>
      <c r="E973" t="s">
        <v>2475</v>
      </c>
    </row>
    <row r="974" spans="1:5" x14ac:dyDescent="0.3">
      <c r="A974" t="s">
        <v>1284</v>
      </c>
      <c r="B974" t="s">
        <v>2471</v>
      </c>
      <c r="C974">
        <v>1</v>
      </c>
      <c r="D974">
        <v>0</v>
      </c>
      <c r="E974" t="s">
        <v>2470</v>
      </c>
    </row>
    <row r="975" spans="1:5" x14ac:dyDescent="0.3">
      <c r="A975" t="s">
        <v>1283</v>
      </c>
      <c r="B975" t="s">
        <v>2469</v>
      </c>
      <c r="C975">
        <v>197</v>
      </c>
      <c r="D975">
        <v>3</v>
      </c>
      <c r="E975" t="s">
        <v>2468</v>
      </c>
    </row>
    <row r="976" spans="1:5" x14ac:dyDescent="0.3">
      <c r="A976" t="s">
        <v>1282</v>
      </c>
      <c r="B976" t="s">
        <v>2469</v>
      </c>
      <c r="C976">
        <v>170</v>
      </c>
      <c r="D976">
        <v>7</v>
      </c>
      <c r="E976" t="s">
        <v>2468</v>
      </c>
    </row>
    <row r="977" spans="1:5" x14ac:dyDescent="0.3">
      <c r="A977" t="s">
        <v>1281</v>
      </c>
      <c r="B977" t="s">
        <v>2469</v>
      </c>
      <c r="C977">
        <v>783</v>
      </c>
      <c r="D977">
        <v>6</v>
      </c>
      <c r="E977" t="s">
        <v>2475</v>
      </c>
    </row>
    <row r="978" spans="1:5" x14ac:dyDescent="0.3">
      <c r="A978" t="s">
        <v>1280</v>
      </c>
      <c r="B978" t="s">
        <v>2471</v>
      </c>
      <c r="C978">
        <v>7</v>
      </c>
      <c r="D978">
        <v>0</v>
      </c>
      <c r="E978" t="s">
        <v>2470</v>
      </c>
    </row>
    <row r="979" spans="1:5" x14ac:dyDescent="0.3">
      <c r="A979" t="s">
        <v>1279</v>
      </c>
      <c r="B979" t="s">
        <v>2471</v>
      </c>
      <c r="C979">
        <v>183</v>
      </c>
      <c r="D979">
        <v>0</v>
      </c>
      <c r="E979" t="s">
        <v>2470</v>
      </c>
    </row>
    <row r="980" spans="1:5" x14ac:dyDescent="0.3">
      <c r="A980" t="s">
        <v>1278</v>
      </c>
      <c r="B980" t="s">
        <v>2469</v>
      </c>
      <c r="C980">
        <v>163</v>
      </c>
      <c r="D980">
        <v>1</v>
      </c>
      <c r="E980" t="s">
        <v>2475</v>
      </c>
    </row>
    <row r="981" spans="1:5" x14ac:dyDescent="0.3">
      <c r="A981" t="s">
        <v>1277</v>
      </c>
      <c r="B981" t="s">
        <v>2473</v>
      </c>
      <c r="C981">
        <v>729</v>
      </c>
      <c r="D981">
        <v>44</v>
      </c>
      <c r="E981" t="s">
        <v>2474</v>
      </c>
    </row>
    <row r="982" spans="1:5" x14ac:dyDescent="0.3">
      <c r="A982" t="s">
        <v>1276</v>
      </c>
      <c r="B982" t="s">
        <v>2469</v>
      </c>
      <c r="C982">
        <v>72</v>
      </c>
      <c r="D982">
        <v>2</v>
      </c>
      <c r="E982" t="s">
        <v>2474</v>
      </c>
    </row>
    <row r="983" spans="1:5" x14ac:dyDescent="0.3">
      <c r="A983" t="s">
        <v>1275</v>
      </c>
      <c r="B983" t="s">
        <v>2469</v>
      </c>
      <c r="C983">
        <v>194</v>
      </c>
      <c r="D983">
        <v>2</v>
      </c>
      <c r="E983" t="s">
        <v>2468</v>
      </c>
    </row>
    <row r="984" spans="1:5" x14ac:dyDescent="0.3">
      <c r="A984" t="s">
        <v>1274</v>
      </c>
      <c r="B984" t="s">
        <v>2469</v>
      </c>
      <c r="C984">
        <v>451</v>
      </c>
      <c r="D984">
        <v>6</v>
      </c>
      <c r="E984" t="s">
        <v>2476</v>
      </c>
    </row>
    <row r="985" spans="1:5" x14ac:dyDescent="0.3">
      <c r="A985" t="s">
        <v>1273</v>
      </c>
      <c r="B985" t="s">
        <v>2471</v>
      </c>
      <c r="C985">
        <v>24</v>
      </c>
      <c r="D985">
        <v>0</v>
      </c>
      <c r="E985" t="s">
        <v>2470</v>
      </c>
    </row>
    <row r="986" spans="1:5" x14ac:dyDescent="0.3">
      <c r="A986" t="s">
        <v>1272</v>
      </c>
      <c r="B986" t="s">
        <v>2471</v>
      </c>
      <c r="C986">
        <v>3</v>
      </c>
      <c r="D986">
        <v>0</v>
      </c>
      <c r="E986" t="s">
        <v>2470</v>
      </c>
    </row>
    <row r="987" spans="1:5" x14ac:dyDescent="0.3">
      <c r="A987" t="s">
        <v>1271</v>
      </c>
      <c r="B987" t="s">
        <v>2471</v>
      </c>
      <c r="C987">
        <v>8</v>
      </c>
      <c r="D987">
        <v>0</v>
      </c>
      <c r="E987" t="s">
        <v>2470</v>
      </c>
    </row>
    <row r="988" spans="1:5" x14ac:dyDescent="0.3">
      <c r="A988" t="s">
        <v>1270</v>
      </c>
      <c r="B988" t="s">
        <v>2469</v>
      </c>
      <c r="C988">
        <v>411</v>
      </c>
      <c r="D988">
        <v>5</v>
      </c>
      <c r="E988" t="s">
        <v>2472</v>
      </c>
    </row>
    <row r="989" spans="1:5" x14ac:dyDescent="0.3">
      <c r="A989" t="s">
        <v>1269</v>
      </c>
      <c r="B989" t="s">
        <v>2469</v>
      </c>
      <c r="C989">
        <v>354</v>
      </c>
      <c r="D989">
        <v>9</v>
      </c>
      <c r="E989" t="s">
        <v>2468</v>
      </c>
    </row>
    <row r="990" spans="1:5" x14ac:dyDescent="0.3">
      <c r="A990" t="s">
        <v>1268</v>
      </c>
      <c r="B990" t="s">
        <v>2471</v>
      </c>
      <c r="C990">
        <v>20</v>
      </c>
      <c r="D990">
        <v>0</v>
      </c>
      <c r="E990" t="s">
        <v>2470</v>
      </c>
    </row>
    <row r="991" spans="1:5" x14ac:dyDescent="0.3">
      <c r="A991" t="s">
        <v>1267</v>
      </c>
      <c r="B991" t="s">
        <v>2469</v>
      </c>
      <c r="C991">
        <v>318</v>
      </c>
      <c r="D991">
        <v>4</v>
      </c>
      <c r="E991" t="s">
        <v>2474</v>
      </c>
    </row>
    <row r="992" spans="1:5" x14ac:dyDescent="0.3">
      <c r="A992" t="s">
        <v>1266</v>
      </c>
      <c r="B992" t="s">
        <v>2469</v>
      </c>
      <c r="C992">
        <v>392</v>
      </c>
      <c r="D992">
        <v>9</v>
      </c>
      <c r="E992" t="s">
        <v>2475</v>
      </c>
    </row>
    <row r="993" spans="1:5" x14ac:dyDescent="0.3">
      <c r="A993" t="s">
        <v>1265</v>
      </c>
      <c r="B993" t="s">
        <v>2469</v>
      </c>
      <c r="C993">
        <v>99</v>
      </c>
      <c r="D993">
        <v>2</v>
      </c>
      <c r="E993" t="s">
        <v>2468</v>
      </c>
    </row>
    <row r="994" spans="1:5" x14ac:dyDescent="0.3">
      <c r="A994" t="s">
        <v>1264</v>
      </c>
      <c r="B994" t="s">
        <v>2471</v>
      </c>
      <c r="C994">
        <v>3</v>
      </c>
      <c r="D994">
        <v>0</v>
      </c>
      <c r="E994" t="s">
        <v>2470</v>
      </c>
    </row>
    <row r="995" spans="1:5" x14ac:dyDescent="0.3">
      <c r="A995" t="s">
        <v>1263</v>
      </c>
      <c r="B995" t="s">
        <v>2469</v>
      </c>
      <c r="C995">
        <v>390</v>
      </c>
      <c r="D995">
        <v>15</v>
      </c>
      <c r="E995" t="s">
        <v>2474</v>
      </c>
    </row>
    <row r="996" spans="1:5" x14ac:dyDescent="0.3">
      <c r="A996" t="s">
        <v>1262</v>
      </c>
      <c r="B996" t="s">
        <v>2469</v>
      </c>
      <c r="C996">
        <v>1381</v>
      </c>
      <c r="D996">
        <v>16</v>
      </c>
      <c r="E996" t="s">
        <v>2468</v>
      </c>
    </row>
    <row r="997" spans="1:5" x14ac:dyDescent="0.3">
      <c r="A997" t="s">
        <v>1261</v>
      </c>
      <c r="B997" t="s">
        <v>2469</v>
      </c>
      <c r="C997">
        <v>132</v>
      </c>
      <c r="D997">
        <v>2</v>
      </c>
      <c r="E997" t="s">
        <v>2476</v>
      </c>
    </row>
    <row r="998" spans="1:5" x14ac:dyDescent="0.3">
      <c r="A998" t="s">
        <v>1260</v>
      </c>
      <c r="B998" t="s">
        <v>2473</v>
      </c>
      <c r="C998">
        <v>279</v>
      </c>
      <c r="D998">
        <v>26</v>
      </c>
      <c r="E998" t="s">
        <v>2476</v>
      </c>
    </row>
    <row r="999" spans="1:5" x14ac:dyDescent="0.3">
      <c r="A999" t="s">
        <v>1259</v>
      </c>
      <c r="B999" t="s">
        <v>2469</v>
      </c>
      <c r="C999">
        <v>618</v>
      </c>
      <c r="D999">
        <v>17</v>
      </c>
      <c r="E999" t="s">
        <v>2474</v>
      </c>
    </row>
    <row r="1000" spans="1:5" x14ac:dyDescent="0.3">
      <c r="A1000" t="s">
        <v>1258</v>
      </c>
      <c r="B1000" t="s">
        <v>2471</v>
      </c>
      <c r="C1000">
        <v>19</v>
      </c>
      <c r="D1000">
        <v>0</v>
      </c>
      <c r="E1000" t="s">
        <v>2470</v>
      </c>
    </row>
    <row r="1001" spans="1:5" x14ac:dyDescent="0.3">
      <c r="A1001" t="s">
        <v>1257</v>
      </c>
      <c r="B1001" t="s">
        <v>2469</v>
      </c>
      <c r="C1001">
        <v>294</v>
      </c>
      <c r="D1001">
        <v>2</v>
      </c>
      <c r="E1001" t="s">
        <v>2474</v>
      </c>
    </row>
    <row r="1002" spans="1:5" x14ac:dyDescent="0.3">
      <c r="A1002" t="s">
        <v>1256</v>
      </c>
      <c r="B1002" t="s">
        <v>2469</v>
      </c>
      <c r="C1002">
        <v>377</v>
      </c>
      <c r="D1002">
        <v>7</v>
      </c>
      <c r="E1002" t="s">
        <v>2472</v>
      </c>
    </row>
    <row r="1003" spans="1:5" x14ac:dyDescent="0.3">
      <c r="A1003" t="s">
        <v>1255</v>
      </c>
      <c r="B1003" t="s">
        <v>2471</v>
      </c>
      <c r="C1003">
        <v>2</v>
      </c>
      <c r="D1003">
        <v>0</v>
      </c>
      <c r="E1003" t="s">
        <v>2470</v>
      </c>
    </row>
    <row r="1004" spans="1:5" x14ac:dyDescent="0.3">
      <c r="A1004" t="s">
        <v>1254</v>
      </c>
      <c r="B1004" t="s">
        <v>2469</v>
      </c>
      <c r="C1004">
        <v>85</v>
      </c>
      <c r="D1004">
        <v>2</v>
      </c>
      <c r="E1004" t="s">
        <v>2475</v>
      </c>
    </row>
    <row r="1005" spans="1:5" x14ac:dyDescent="0.3">
      <c r="A1005" t="s">
        <v>1253</v>
      </c>
      <c r="B1005" t="s">
        <v>2473</v>
      </c>
      <c r="C1005">
        <v>18</v>
      </c>
      <c r="D1005">
        <v>1</v>
      </c>
      <c r="E1005" t="s">
        <v>2475</v>
      </c>
    </row>
    <row r="1006" spans="1:5" x14ac:dyDescent="0.3">
      <c r="A1006" t="s">
        <v>1252</v>
      </c>
      <c r="B1006" t="s">
        <v>2469</v>
      </c>
      <c r="C1006">
        <v>138</v>
      </c>
      <c r="D1006">
        <v>3</v>
      </c>
      <c r="E1006" t="s">
        <v>2468</v>
      </c>
    </row>
    <row r="1007" spans="1:5" x14ac:dyDescent="0.3">
      <c r="A1007" t="s">
        <v>1251</v>
      </c>
      <c r="B1007" t="s">
        <v>2473</v>
      </c>
      <c r="C1007">
        <v>101</v>
      </c>
      <c r="D1007">
        <v>6</v>
      </c>
      <c r="E1007" t="s">
        <v>2476</v>
      </c>
    </row>
    <row r="1008" spans="1:5" x14ac:dyDescent="0.3">
      <c r="A1008" t="s">
        <v>1250</v>
      </c>
      <c r="B1008" t="s">
        <v>2469</v>
      </c>
      <c r="C1008">
        <v>101</v>
      </c>
      <c r="D1008">
        <v>2</v>
      </c>
      <c r="E1008" t="s">
        <v>2476</v>
      </c>
    </row>
    <row r="1009" spans="1:5" x14ac:dyDescent="0.3">
      <c r="A1009" t="s">
        <v>1249</v>
      </c>
      <c r="B1009" t="s">
        <v>2471</v>
      </c>
      <c r="C1009">
        <v>16</v>
      </c>
      <c r="D1009">
        <v>0</v>
      </c>
      <c r="E1009" t="s">
        <v>2470</v>
      </c>
    </row>
    <row r="1010" spans="1:5" x14ac:dyDescent="0.3">
      <c r="A1010" t="s">
        <v>1248</v>
      </c>
      <c r="B1010" t="s">
        <v>2473</v>
      </c>
      <c r="C1010">
        <v>5</v>
      </c>
      <c r="D1010">
        <v>1</v>
      </c>
      <c r="E1010" t="s">
        <v>2475</v>
      </c>
    </row>
    <row r="1011" spans="1:5" x14ac:dyDescent="0.3">
      <c r="A1011" t="s">
        <v>1247</v>
      </c>
      <c r="B1011" t="s">
        <v>2469</v>
      </c>
      <c r="C1011">
        <v>745</v>
      </c>
      <c r="D1011">
        <v>10</v>
      </c>
      <c r="E1011" t="s">
        <v>2468</v>
      </c>
    </row>
    <row r="1012" spans="1:5" x14ac:dyDescent="0.3">
      <c r="A1012" t="s">
        <v>1246</v>
      </c>
      <c r="B1012" t="s">
        <v>2473</v>
      </c>
      <c r="C1012">
        <v>520</v>
      </c>
      <c r="D1012">
        <v>36</v>
      </c>
      <c r="E1012" t="s">
        <v>2468</v>
      </c>
    </row>
    <row r="1013" spans="1:5" x14ac:dyDescent="0.3">
      <c r="A1013" t="s">
        <v>1245</v>
      </c>
      <c r="B1013" t="s">
        <v>2473</v>
      </c>
      <c r="C1013">
        <v>1511</v>
      </c>
      <c r="D1013">
        <v>89</v>
      </c>
      <c r="E1013" t="s">
        <v>2476</v>
      </c>
    </row>
    <row r="1014" spans="1:5" x14ac:dyDescent="0.3">
      <c r="A1014" t="s">
        <v>1244</v>
      </c>
      <c r="B1014" t="s">
        <v>2471</v>
      </c>
      <c r="C1014">
        <v>25</v>
      </c>
      <c r="D1014">
        <v>0</v>
      </c>
      <c r="E1014" t="s">
        <v>2470</v>
      </c>
    </row>
    <row r="1015" spans="1:5" x14ac:dyDescent="0.3">
      <c r="A1015" t="s">
        <v>1243</v>
      </c>
      <c r="B1015" t="s">
        <v>2471</v>
      </c>
      <c r="C1015">
        <v>19</v>
      </c>
      <c r="D1015">
        <v>0</v>
      </c>
      <c r="E1015" t="s">
        <v>2470</v>
      </c>
    </row>
    <row r="1016" spans="1:5" x14ac:dyDescent="0.3">
      <c r="A1016" t="s">
        <v>1242</v>
      </c>
      <c r="B1016" t="s">
        <v>2469</v>
      </c>
      <c r="C1016">
        <v>118</v>
      </c>
      <c r="D1016">
        <v>5</v>
      </c>
      <c r="E1016" t="s">
        <v>2468</v>
      </c>
    </row>
    <row r="1017" spans="1:5" x14ac:dyDescent="0.3">
      <c r="A1017" t="s">
        <v>1241</v>
      </c>
      <c r="B1017" t="s">
        <v>2469</v>
      </c>
      <c r="C1017">
        <v>176</v>
      </c>
      <c r="D1017">
        <v>8</v>
      </c>
      <c r="E1017" t="s">
        <v>2475</v>
      </c>
    </row>
    <row r="1018" spans="1:5" x14ac:dyDescent="0.3">
      <c r="A1018" t="s">
        <v>1240</v>
      </c>
      <c r="B1018" t="s">
        <v>2473</v>
      </c>
      <c r="C1018">
        <v>7</v>
      </c>
      <c r="D1018">
        <v>1</v>
      </c>
      <c r="E1018" t="s">
        <v>2468</v>
      </c>
    </row>
    <row r="1019" spans="1:5" x14ac:dyDescent="0.3">
      <c r="A1019" t="s">
        <v>1239</v>
      </c>
      <c r="B1019" t="s">
        <v>2469</v>
      </c>
      <c r="C1019">
        <v>196</v>
      </c>
      <c r="D1019">
        <v>2</v>
      </c>
      <c r="E1019" t="s">
        <v>2475</v>
      </c>
    </row>
    <row r="1020" spans="1:5" x14ac:dyDescent="0.3">
      <c r="A1020" t="s">
        <v>1238</v>
      </c>
      <c r="B1020" t="s">
        <v>2469</v>
      </c>
      <c r="C1020">
        <v>117</v>
      </c>
      <c r="D1020">
        <v>2</v>
      </c>
      <c r="E1020" t="s">
        <v>2472</v>
      </c>
    </row>
    <row r="1021" spans="1:5" x14ac:dyDescent="0.3">
      <c r="A1021" t="s">
        <v>1237</v>
      </c>
      <c r="B1021" t="s">
        <v>2471</v>
      </c>
      <c r="C1021">
        <v>3</v>
      </c>
      <c r="D1021">
        <v>0</v>
      </c>
      <c r="E1021" t="s">
        <v>2470</v>
      </c>
    </row>
    <row r="1022" spans="1:5" x14ac:dyDescent="0.3">
      <c r="A1022" t="s">
        <v>1236</v>
      </c>
      <c r="B1022" t="s">
        <v>2471</v>
      </c>
      <c r="C1022">
        <v>40</v>
      </c>
      <c r="D1022">
        <v>0</v>
      </c>
      <c r="E1022" t="s">
        <v>2470</v>
      </c>
    </row>
    <row r="1023" spans="1:5" x14ac:dyDescent="0.3">
      <c r="A1023" t="s">
        <v>1235</v>
      </c>
      <c r="B1023" t="s">
        <v>2469</v>
      </c>
      <c r="C1023">
        <v>180</v>
      </c>
      <c r="D1023">
        <v>1</v>
      </c>
      <c r="E1023" t="s">
        <v>2475</v>
      </c>
    </row>
    <row r="1024" spans="1:5" x14ac:dyDescent="0.3">
      <c r="A1024" t="s">
        <v>1234</v>
      </c>
      <c r="B1024" t="s">
        <v>2473</v>
      </c>
      <c r="C1024">
        <v>35</v>
      </c>
      <c r="D1024">
        <v>2</v>
      </c>
      <c r="E1024" t="s">
        <v>2468</v>
      </c>
    </row>
    <row r="1025" spans="1:5" x14ac:dyDescent="0.3">
      <c r="A1025" t="s">
        <v>1233</v>
      </c>
      <c r="B1025" t="s">
        <v>2469</v>
      </c>
      <c r="C1025">
        <v>23</v>
      </c>
      <c r="D1025">
        <v>1</v>
      </c>
      <c r="E1025" t="s">
        <v>2475</v>
      </c>
    </row>
    <row r="1026" spans="1:5" x14ac:dyDescent="0.3">
      <c r="A1026" t="s">
        <v>1232</v>
      </c>
      <c r="B1026" t="s">
        <v>2473</v>
      </c>
      <c r="C1026">
        <v>81</v>
      </c>
      <c r="D1026">
        <v>5</v>
      </c>
      <c r="E1026" t="s">
        <v>2468</v>
      </c>
    </row>
    <row r="1027" spans="1:5" x14ac:dyDescent="0.3">
      <c r="A1027" t="s">
        <v>1231</v>
      </c>
      <c r="B1027" t="s">
        <v>2471</v>
      </c>
      <c r="C1027">
        <v>55</v>
      </c>
      <c r="D1027">
        <v>0</v>
      </c>
      <c r="E1027" t="s">
        <v>2470</v>
      </c>
    </row>
    <row r="1028" spans="1:5" x14ac:dyDescent="0.3">
      <c r="A1028" t="s">
        <v>1230</v>
      </c>
      <c r="B1028" t="s">
        <v>2469</v>
      </c>
      <c r="C1028">
        <v>711</v>
      </c>
      <c r="D1028">
        <v>6</v>
      </c>
      <c r="E1028" t="s">
        <v>2468</v>
      </c>
    </row>
    <row r="1029" spans="1:5" x14ac:dyDescent="0.3">
      <c r="A1029" t="s">
        <v>1229</v>
      </c>
      <c r="B1029" t="s">
        <v>2471</v>
      </c>
      <c r="C1029">
        <v>10</v>
      </c>
      <c r="D1029">
        <v>0</v>
      </c>
      <c r="E1029" t="s">
        <v>2470</v>
      </c>
    </row>
    <row r="1030" spans="1:5" x14ac:dyDescent="0.3">
      <c r="A1030" t="s">
        <v>1228</v>
      </c>
      <c r="B1030" t="s">
        <v>2473</v>
      </c>
      <c r="C1030">
        <v>591</v>
      </c>
      <c r="D1030">
        <v>34</v>
      </c>
      <c r="E1030" t="s">
        <v>2476</v>
      </c>
    </row>
    <row r="1031" spans="1:5" x14ac:dyDescent="0.3">
      <c r="A1031" t="s">
        <v>1227</v>
      </c>
      <c r="B1031" t="s">
        <v>2469</v>
      </c>
      <c r="C1031">
        <v>52</v>
      </c>
      <c r="D1031">
        <v>1</v>
      </c>
      <c r="E1031" t="s">
        <v>2474</v>
      </c>
    </row>
    <row r="1032" spans="1:5" x14ac:dyDescent="0.3">
      <c r="A1032" t="s">
        <v>1226</v>
      </c>
      <c r="B1032" t="s">
        <v>2469</v>
      </c>
      <c r="C1032">
        <v>336</v>
      </c>
      <c r="D1032">
        <v>14</v>
      </c>
      <c r="E1032" t="s">
        <v>2474</v>
      </c>
    </row>
    <row r="1033" spans="1:5" x14ac:dyDescent="0.3">
      <c r="A1033" t="s">
        <v>1225</v>
      </c>
      <c r="B1033" t="s">
        <v>2469</v>
      </c>
      <c r="C1033">
        <v>402</v>
      </c>
      <c r="D1033">
        <v>8</v>
      </c>
      <c r="E1033" t="s">
        <v>2474</v>
      </c>
    </row>
    <row r="1034" spans="1:5" x14ac:dyDescent="0.3">
      <c r="A1034" t="s">
        <v>1224</v>
      </c>
      <c r="B1034" t="s">
        <v>2473</v>
      </c>
      <c r="C1034">
        <v>7</v>
      </c>
      <c r="D1034">
        <v>1</v>
      </c>
      <c r="E1034" t="s">
        <v>2476</v>
      </c>
    </row>
    <row r="1035" spans="1:5" x14ac:dyDescent="0.3">
      <c r="A1035" t="s">
        <v>1223</v>
      </c>
      <c r="B1035" t="s">
        <v>2469</v>
      </c>
      <c r="C1035">
        <v>145</v>
      </c>
      <c r="D1035">
        <v>1</v>
      </c>
      <c r="E1035" t="s">
        <v>2472</v>
      </c>
    </row>
    <row r="1036" spans="1:5" x14ac:dyDescent="0.3">
      <c r="A1036" t="s">
        <v>1222</v>
      </c>
      <c r="B1036" t="s">
        <v>2469</v>
      </c>
      <c r="C1036">
        <v>50</v>
      </c>
      <c r="D1036">
        <v>1</v>
      </c>
      <c r="E1036" t="s">
        <v>2474</v>
      </c>
    </row>
    <row r="1037" spans="1:5" x14ac:dyDescent="0.3">
      <c r="A1037" t="s">
        <v>1221</v>
      </c>
      <c r="B1037" t="s">
        <v>2473</v>
      </c>
      <c r="C1037">
        <v>7</v>
      </c>
      <c r="D1037">
        <v>1</v>
      </c>
      <c r="E1037" t="s">
        <v>2475</v>
      </c>
    </row>
    <row r="1038" spans="1:5" x14ac:dyDescent="0.3">
      <c r="A1038" t="s">
        <v>1220</v>
      </c>
      <c r="B1038" t="s">
        <v>2471</v>
      </c>
      <c r="C1038">
        <v>3</v>
      </c>
      <c r="D1038">
        <v>0</v>
      </c>
      <c r="E1038" t="s">
        <v>2470</v>
      </c>
    </row>
    <row r="1039" spans="1:5" x14ac:dyDescent="0.3">
      <c r="A1039" t="s">
        <v>1219</v>
      </c>
      <c r="B1039" t="s">
        <v>2471</v>
      </c>
      <c r="C1039">
        <v>9</v>
      </c>
      <c r="D1039">
        <v>0</v>
      </c>
      <c r="E1039" t="s">
        <v>2470</v>
      </c>
    </row>
    <row r="1040" spans="1:5" x14ac:dyDescent="0.3">
      <c r="A1040" t="s">
        <v>1218</v>
      </c>
      <c r="B1040" t="s">
        <v>2471</v>
      </c>
      <c r="C1040">
        <v>5</v>
      </c>
      <c r="D1040">
        <v>0</v>
      </c>
      <c r="E1040" t="s">
        <v>2470</v>
      </c>
    </row>
    <row r="1041" spans="1:5" x14ac:dyDescent="0.3">
      <c r="A1041" t="s">
        <v>1217</v>
      </c>
      <c r="B1041" t="s">
        <v>2469</v>
      </c>
      <c r="C1041">
        <v>35</v>
      </c>
      <c r="D1041">
        <v>1</v>
      </c>
      <c r="E1041" t="s">
        <v>2475</v>
      </c>
    </row>
    <row r="1042" spans="1:5" x14ac:dyDescent="0.3">
      <c r="A1042" t="s">
        <v>1216</v>
      </c>
      <c r="B1042" t="s">
        <v>2469</v>
      </c>
      <c r="C1042">
        <v>570</v>
      </c>
      <c r="D1042">
        <v>21</v>
      </c>
      <c r="E1042" t="s">
        <v>2472</v>
      </c>
    </row>
    <row r="1043" spans="1:5" x14ac:dyDescent="0.3">
      <c r="A1043" t="s">
        <v>1215</v>
      </c>
      <c r="B1043" t="s">
        <v>2471</v>
      </c>
      <c r="C1043">
        <v>14</v>
      </c>
      <c r="D1043">
        <v>0</v>
      </c>
      <c r="E1043" t="s">
        <v>2470</v>
      </c>
    </row>
    <row r="1044" spans="1:5" x14ac:dyDescent="0.3">
      <c r="A1044" t="s">
        <v>1214</v>
      </c>
      <c r="B1044" t="s">
        <v>2473</v>
      </c>
      <c r="C1044">
        <v>174</v>
      </c>
      <c r="D1044">
        <v>11</v>
      </c>
      <c r="E1044" t="s">
        <v>2474</v>
      </c>
    </row>
    <row r="1045" spans="1:5" x14ac:dyDescent="0.3">
      <c r="A1045" t="s">
        <v>1213</v>
      </c>
      <c r="B1045" t="s">
        <v>2473</v>
      </c>
      <c r="C1045">
        <v>1878</v>
      </c>
      <c r="D1045">
        <v>102</v>
      </c>
      <c r="E1045" t="s">
        <v>2476</v>
      </c>
    </row>
    <row r="1046" spans="1:5" x14ac:dyDescent="0.3">
      <c r="A1046" t="s">
        <v>1212</v>
      </c>
      <c r="B1046" t="s">
        <v>2473</v>
      </c>
      <c r="C1046">
        <v>53</v>
      </c>
      <c r="D1046">
        <v>3</v>
      </c>
      <c r="E1046" t="s">
        <v>2468</v>
      </c>
    </row>
    <row r="1047" spans="1:5" x14ac:dyDescent="0.3">
      <c r="A1047" t="s">
        <v>1211</v>
      </c>
      <c r="B1047" t="s">
        <v>2473</v>
      </c>
      <c r="C1047">
        <v>181</v>
      </c>
      <c r="D1047">
        <v>12</v>
      </c>
      <c r="E1047" t="s">
        <v>2475</v>
      </c>
    </row>
    <row r="1048" spans="1:5" x14ac:dyDescent="0.3">
      <c r="A1048" t="s">
        <v>1210</v>
      </c>
      <c r="B1048" t="s">
        <v>2471</v>
      </c>
      <c r="C1048">
        <v>4</v>
      </c>
      <c r="D1048">
        <v>0</v>
      </c>
      <c r="E1048" t="s">
        <v>2470</v>
      </c>
    </row>
    <row r="1049" spans="1:5" x14ac:dyDescent="0.3">
      <c r="A1049" t="s">
        <v>1209</v>
      </c>
      <c r="B1049" t="s">
        <v>2471</v>
      </c>
      <c r="C1049">
        <v>136</v>
      </c>
      <c r="D1049">
        <v>0</v>
      </c>
      <c r="E1049" t="s">
        <v>2470</v>
      </c>
    </row>
    <row r="1050" spans="1:5" x14ac:dyDescent="0.3">
      <c r="A1050" t="s">
        <v>1208</v>
      </c>
      <c r="B1050" t="s">
        <v>2473</v>
      </c>
      <c r="C1050">
        <v>444</v>
      </c>
      <c r="D1050">
        <v>40</v>
      </c>
      <c r="E1050" t="s">
        <v>2472</v>
      </c>
    </row>
    <row r="1051" spans="1:5" x14ac:dyDescent="0.3">
      <c r="A1051" t="s">
        <v>1207</v>
      </c>
      <c r="B1051" t="s">
        <v>2469</v>
      </c>
      <c r="C1051">
        <v>198</v>
      </c>
      <c r="D1051">
        <v>2</v>
      </c>
      <c r="E1051" t="s">
        <v>2475</v>
      </c>
    </row>
    <row r="1052" spans="1:5" x14ac:dyDescent="0.3">
      <c r="A1052" t="s">
        <v>1206</v>
      </c>
      <c r="B1052" t="s">
        <v>2469</v>
      </c>
      <c r="C1052">
        <v>584</v>
      </c>
      <c r="D1052">
        <v>6</v>
      </c>
      <c r="E1052" t="s">
        <v>2475</v>
      </c>
    </row>
    <row r="1053" spans="1:5" x14ac:dyDescent="0.3">
      <c r="A1053" t="s">
        <v>1205</v>
      </c>
      <c r="B1053" t="s">
        <v>2469</v>
      </c>
      <c r="C1053">
        <v>64</v>
      </c>
      <c r="D1053">
        <v>3</v>
      </c>
      <c r="E1053" t="s">
        <v>2475</v>
      </c>
    </row>
    <row r="1054" spans="1:5" x14ac:dyDescent="0.3">
      <c r="A1054" t="s">
        <v>1204</v>
      </c>
      <c r="B1054" t="s">
        <v>2469</v>
      </c>
      <c r="C1054">
        <v>423</v>
      </c>
      <c r="D1054">
        <v>15</v>
      </c>
      <c r="E1054" t="s">
        <v>2472</v>
      </c>
    </row>
    <row r="1055" spans="1:5" x14ac:dyDescent="0.3">
      <c r="A1055" t="s">
        <v>1203</v>
      </c>
      <c r="B1055" t="s">
        <v>2473</v>
      </c>
      <c r="C1055">
        <v>160</v>
      </c>
      <c r="D1055">
        <v>10</v>
      </c>
      <c r="E1055" t="s">
        <v>2468</v>
      </c>
    </row>
    <row r="1056" spans="1:5" x14ac:dyDescent="0.3">
      <c r="A1056" t="s">
        <v>1202</v>
      </c>
      <c r="B1056" t="s">
        <v>2471</v>
      </c>
      <c r="C1056">
        <v>14</v>
      </c>
      <c r="D1056">
        <v>0</v>
      </c>
      <c r="E1056" t="s">
        <v>2470</v>
      </c>
    </row>
    <row r="1057" spans="1:5" x14ac:dyDescent="0.3">
      <c r="A1057" t="s">
        <v>1201</v>
      </c>
      <c r="B1057" t="s">
        <v>2471</v>
      </c>
      <c r="C1057">
        <v>16</v>
      </c>
      <c r="D1057">
        <v>0</v>
      </c>
      <c r="E1057" t="s">
        <v>2470</v>
      </c>
    </row>
    <row r="1058" spans="1:5" x14ac:dyDescent="0.3">
      <c r="A1058" t="s">
        <v>1200</v>
      </c>
      <c r="B1058" t="s">
        <v>2473</v>
      </c>
      <c r="C1058">
        <v>35</v>
      </c>
      <c r="D1058">
        <v>2</v>
      </c>
      <c r="E1058" t="s">
        <v>2472</v>
      </c>
    </row>
    <row r="1059" spans="1:5" x14ac:dyDescent="0.3">
      <c r="A1059" t="s">
        <v>1199</v>
      </c>
      <c r="B1059" t="s">
        <v>2469</v>
      </c>
      <c r="C1059">
        <v>536</v>
      </c>
      <c r="D1059">
        <v>17</v>
      </c>
      <c r="E1059" t="s">
        <v>2472</v>
      </c>
    </row>
    <row r="1060" spans="1:5" x14ac:dyDescent="0.3">
      <c r="A1060" t="s">
        <v>1198</v>
      </c>
      <c r="B1060" t="s">
        <v>2471</v>
      </c>
      <c r="C1060">
        <v>6</v>
      </c>
      <c r="D1060">
        <v>0</v>
      </c>
      <c r="E1060" t="s">
        <v>2470</v>
      </c>
    </row>
    <row r="1061" spans="1:5" x14ac:dyDescent="0.3">
      <c r="A1061" t="s">
        <v>1197</v>
      </c>
      <c r="B1061" t="s">
        <v>2471</v>
      </c>
      <c r="C1061">
        <v>7</v>
      </c>
      <c r="D1061">
        <v>0</v>
      </c>
      <c r="E1061" t="s">
        <v>2470</v>
      </c>
    </row>
    <row r="1062" spans="1:5" x14ac:dyDescent="0.3">
      <c r="A1062" t="s">
        <v>1196</v>
      </c>
      <c r="B1062" t="s">
        <v>2469</v>
      </c>
      <c r="C1062">
        <v>99</v>
      </c>
      <c r="D1062">
        <v>1</v>
      </c>
      <c r="E1062" t="s">
        <v>2468</v>
      </c>
    </row>
    <row r="1063" spans="1:5" x14ac:dyDescent="0.3">
      <c r="A1063" t="s">
        <v>1195</v>
      </c>
      <c r="B1063" t="s">
        <v>2471</v>
      </c>
      <c r="C1063">
        <v>454</v>
      </c>
      <c r="D1063">
        <v>0</v>
      </c>
      <c r="E1063" t="s">
        <v>2470</v>
      </c>
    </row>
    <row r="1064" spans="1:5" x14ac:dyDescent="0.3">
      <c r="A1064" t="s">
        <v>1194</v>
      </c>
      <c r="B1064" t="s">
        <v>2471</v>
      </c>
      <c r="C1064">
        <v>10</v>
      </c>
      <c r="D1064">
        <v>0</v>
      </c>
      <c r="E1064" t="s">
        <v>2470</v>
      </c>
    </row>
    <row r="1065" spans="1:5" x14ac:dyDescent="0.3">
      <c r="A1065" t="s">
        <v>1193</v>
      </c>
      <c r="B1065" t="s">
        <v>2471</v>
      </c>
      <c r="C1065">
        <v>7</v>
      </c>
      <c r="D1065">
        <v>0</v>
      </c>
      <c r="E1065" t="s">
        <v>2470</v>
      </c>
    </row>
    <row r="1066" spans="1:5" x14ac:dyDescent="0.3">
      <c r="A1066" t="s">
        <v>1192</v>
      </c>
      <c r="B1066" t="s">
        <v>2471</v>
      </c>
      <c r="C1066">
        <v>1</v>
      </c>
      <c r="D1066">
        <v>0</v>
      </c>
      <c r="E1066" t="s">
        <v>2470</v>
      </c>
    </row>
    <row r="1067" spans="1:5" x14ac:dyDescent="0.3">
      <c r="A1067" t="s">
        <v>1191</v>
      </c>
      <c r="B1067" t="s">
        <v>2469</v>
      </c>
      <c r="C1067">
        <v>119</v>
      </c>
      <c r="D1067">
        <v>2</v>
      </c>
      <c r="E1067" t="s">
        <v>2474</v>
      </c>
    </row>
    <row r="1068" spans="1:5" x14ac:dyDescent="0.3">
      <c r="A1068" t="s">
        <v>1190</v>
      </c>
      <c r="B1068" t="s">
        <v>2469</v>
      </c>
      <c r="C1068">
        <v>195</v>
      </c>
      <c r="D1068">
        <v>1</v>
      </c>
      <c r="E1068" t="s">
        <v>2468</v>
      </c>
    </row>
    <row r="1069" spans="1:5" x14ac:dyDescent="0.3">
      <c r="A1069" t="s">
        <v>1189</v>
      </c>
      <c r="B1069" t="s">
        <v>2471</v>
      </c>
      <c r="C1069">
        <v>15</v>
      </c>
      <c r="D1069">
        <v>0</v>
      </c>
      <c r="E1069" t="s">
        <v>2470</v>
      </c>
    </row>
    <row r="1070" spans="1:5" x14ac:dyDescent="0.3">
      <c r="A1070" t="s">
        <v>1188</v>
      </c>
      <c r="B1070" t="s">
        <v>2469</v>
      </c>
      <c r="C1070">
        <v>233</v>
      </c>
      <c r="D1070">
        <v>10</v>
      </c>
      <c r="E1070" t="s">
        <v>2474</v>
      </c>
    </row>
    <row r="1071" spans="1:5" x14ac:dyDescent="0.3">
      <c r="A1071" t="s">
        <v>1187</v>
      </c>
      <c r="B1071" t="s">
        <v>2471</v>
      </c>
      <c r="C1071">
        <v>6</v>
      </c>
      <c r="D1071">
        <v>0</v>
      </c>
      <c r="E1071" t="s">
        <v>2470</v>
      </c>
    </row>
    <row r="1072" spans="1:5" x14ac:dyDescent="0.3">
      <c r="A1072" t="s">
        <v>1186</v>
      </c>
      <c r="B1072" t="s">
        <v>2469</v>
      </c>
      <c r="C1072">
        <v>84</v>
      </c>
      <c r="D1072">
        <v>4</v>
      </c>
      <c r="E1072" t="s">
        <v>2476</v>
      </c>
    </row>
    <row r="1073" spans="1:5" x14ac:dyDescent="0.3">
      <c r="A1073" t="s">
        <v>1185</v>
      </c>
      <c r="B1073" t="s">
        <v>2469</v>
      </c>
      <c r="C1073">
        <v>101</v>
      </c>
      <c r="D1073">
        <v>1</v>
      </c>
      <c r="E1073" t="s">
        <v>2472</v>
      </c>
    </row>
    <row r="1074" spans="1:5" x14ac:dyDescent="0.3">
      <c r="A1074" t="s">
        <v>1184</v>
      </c>
      <c r="B1074" t="s">
        <v>2471</v>
      </c>
      <c r="C1074">
        <v>22</v>
      </c>
      <c r="D1074">
        <v>0</v>
      </c>
      <c r="E1074" t="s">
        <v>2470</v>
      </c>
    </row>
    <row r="1075" spans="1:5" x14ac:dyDescent="0.3">
      <c r="A1075" t="s">
        <v>1183</v>
      </c>
      <c r="B1075" t="s">
        <v>2471</v>
      </c>
      <c r="C1075">
        <v>21</v>
      </c>
      <c r="D1075">
        <v>0</v>
      </c>
      <c r="E1075" t="s">
        <v>2470</v>
      </c>
    </row>
    <row r="1076" spans="1:5" x14ac:dyDescent="0.3">
      <c r="A1076" t="s">
        <v>1182</v>
      </c>
      <c r="B1076" t="s">
        <v>2469</v>
      </c>
      <c r="C1076">
        <v>716</v>
      </c>
      <c r="D1076">
        <v>19</v>
      </c>
      <c r="E1076" t="s">
        <v>2474</v>
      </c>
    </row>
    <row r="1077" spans="1:5" x14ac:dyDescent="0.3">
      <c r="A1077" t="s">
        <v>1181</v>
      </c>
      <c r="B1077" t="s">
        <v>2469</v>
      </c>
      <c r="C1077">
        <v>103</v>
      </c>
      <c r="D1077">
        <v>2</v>
      </c>
      <c r="E1077" t="s">
        <v>2474</v>
      </c>
    </row>
    <row r="1078" spans="1:5" x14ac:dyDescent="0.3">
      <c r="A1078" t="s">
        <v>1180</v>
      </c>
      <c r="B1078" t="s">
        <v>2469</v>
      </c>
      <c r="C1078">
        <v>199</v>
      </c>
      <c r="D1078">
        <v>1</v>
      </c>
      <c r="E1078" t="s">
        <v>2475</v>
      </c>
    </row>
    <row r="1079" spans="1:5" x14ac:dyDescent="0.3">
      <c r="A1079" t="s">
        <v>1179</v>
      </c>
      <c r="B1079" t="s">
        <v>2471</v>
      </c>
      <c r="C1079">
        <v>29</v>
      </c>
      <c r="D1079">
        <v>0</v>
      </c>
      <c r="E1079" t="s">
        <v>2470</v>
      </c>
    </row>
    <row r="1080" spans="1:5" x14ac:dyDescent="0.3">
      <c r="A1080" t="s">
        <v>1178</v>
      </c>
      <c r="B1080" t="s">
        <v>2469</v>
      </c>
      <c r="C1080">
        <v>48</v>
      </c>
      <c r="D1080">
        <v>1</v>
      </c>
      <c r="E1080" t="s">
        <v>2476</v>
      </c>
    </row>
    <row r="1081" spans="1:5" x14ac:dyDescent="0.3">
      <c r="A1081" t="s">
        <v>1177</v>
      </c>
      <c r="B1081" t="s">
        <v>2469</v>
      </c>
      <c r="C1081">
        <v>413</v>
      </c>
      <c r="D1081">
        <v>11</v>
      </c>
      <c r="E1081" t="s">
        <v>2468</v>
      </c>
    </row>
    <row r="1082" spans="1:5" x14ac:dyDescent="0.3">
      <c r="A1082" t="s">
        <v>1176</v>
      </c>
      <c r="B1082" t="s">
        <v>2469</v>
      </c>
      <c r="C1082">
        <v>554</v>
      </c>
      <c r="D1082">
        <v>11</v>
      </c>
      <c r="E1082" t="s">
        <v>2472</v>
      </c>
    </row>
    <row r="1083" spans="1:5" x14ac:dyDescent="0.3">
      <c r="A1083" t="s">
        <v>1175</v>
      </c>
      <c r="B1083" t="s">
        <v>2469</v>
      </c>
      <c r="C1083">
        <v>153</v>
      </c>
      <c r="D1083">
        <v>1</v>
      </c>
      <c r="E1083" t="s">
        <v>2468</v>
      </c>
    </row>
    <row r="1084" spans="1:5" x14ac:dyDescent="0.3">
      <c r="A1084" t="s">
        <v>1174</v>
      </c>
      <c r="B1084" t="s">
        <v>2471</v>
      </c>
      <c r="C1084">
        <v>29</v>
      </c>
      <c r="D1084">
        <v>0</v>
      </c>
      <c r="E1084" t="s">
        <v>2470</v>
      </c>
    </row>
    <row r="1085" spans="1:5" x14ac:dyDescent="0.3">
      <c r="A1085" t="s">
        <v>1173</v>
      </c>
      <c r="B1085" t="s">
        <v>2469</v>
      </c>
      <c r="C1085">
        <v>76</v>
      </c>
      <c r="D1085">
        <v>3</v>
      </c>
      <c r="E1085" t="s">
        <v>2468</v>
      </c>
    </row>
    <row r="1086" spans="1:5" x14ac:dyDescent="0.3">
      <c r="A1086" t="s">
        <v>1172</v>
      </c>
      <c r="B1086" t="s">
        <v>2469</v>
      </c>
      <c r="C1086">
        <v>561</v>
      </c>
      <c r="D1086">
        <v>14</v>
      </c>
      <c r="E1086" t="s">
        <v>2472</v>
      </c>
    </row>
    <row r="1087" spans="1:5" x14ac:dyDescent="0.3">
      <c r="A1087" t="s">
        <v>1171</v>
      </c>
      <c r="B1087" t="s">
        <v>2469</v>
      </c>
      <c r="C1087">
        <v>195</v>
      </c>
      <c r="D1087">
        <v>6</v>
      </c>
      <c r="E1087" t="s">
        <v>2468</v>
      </c>
    </row>
    <row r="1088" spans="1:5" x14ac:dyDescent="0.3">
      <c r="A1088" t="s">
        <v>1170</v>
      </c>
      <c r="B1088" t="s">
        <v>2471</v>
      </c>
      <c r="C1088">
        <v>6</v>
      </c>
      <c r="D1088">
        <v>0</v>
      </c>
      <c r="E1088" t="s">
        <v>2470</v>
      </c>
    </row>
    <row r="1089" spans="1:5" x14ac:dyDescent="0.3">
      <c r="A1089" t="s">
        <v>1169</v>
      </c>
      <c r="B1089" t="s">
        <v>2471</v>
      </c>
      <c r="C1089">
        <v>10</v>
      </c>
      <c r="D1089">
        <v>0</v>
      </c>
      <c r="E1089" t="s">
        <v>2470</v>
      </c>
    </row>
    <row r="1090" spans="1:5" x14ac:dyDescent="0.3">
      <c r="A1090" t="s">
        <v>1168</v>
      </c>
      <c r="B1090" t="s">
        <v>2471</v>
      </c>
      <c r="C1090">
        <v>5</v>
      </c>
      <c r="D1090">
        <v>0</v>
      </c>
      <c r="E1090" t="s">
        <v>2470</v>
      </c>
    </row>
    <row r="1091" spans="1:5" x14ac:dyDescent="0.3">
      <c r="A1091" t="s">
        <v>1167</v>
      </c>
      <c r="B1091" t="s">
        <v>2469</v>
      </c>
      <c r="C1091">
        <v>59</v>
      </c>
      <c r="D1091">
        <v>1</v>
      </c>
      <c r="E1091" t="s">
        <v>2474</v>
      </c>
    </row>
    <row r="1092" spans="1:5" x14ac:dyDescent="0.3">
      <c r="A1092" t="s">
        <v>1166</v>
      </c>
      <c r="B1092" t="s">
        <v>2469</v>
      </c>
      <c r="C1092">
        <v>635</v>
      </c>
      <c r="D1092">
        <v>12</v>
      </c>
      <c r="E1092" t="s">
        <v>2476</v>
      </c>
    </row>
    <row r="1093" spans="1:5" x14ac:dyDescent="0.3">
      <c r="A1093" t="s">
        <v>1165</v>
      </c>
      <c r="B1093" t="s">
        <v>2469</v>
      </c>
      <c r="C1093">
        <v>61</v>
      </c>
      <c r="D1093">
        <v>1</v>
      </c>
      <c r="E1093" t="s">
        <v>2476</v>
      </c>
    </row>
    <row r="1094" spans="1:5" x14ac:dyDescent="0.3">
      <c r="A1094" t="s">
        <v>1164</v>
      </c>
      <c r="B1094" t="s">
        <v>2473</v>
      </c>
      <c r="C1094">
        <v>100</v>
      </c>
      <c r="D1094">
        <v>11</v>
      </c>
      <c r="E1094" t="s">
        <v>2476</v>
      </c>
    </row>
    <row r="1095" spans="1:5" x14ac:dyDescent="0.3">
      <c r="A1095" t="s">
        <v>1163</v>
      </c>
      <c r="B1095" t="s">
        <v>2471</v>
      </c>
      <c r="C1095">
        <v>8</v>
      </c>
      <c r="D1095">
        <v>0</v>
      </c>
      <c r="E1095" t="s">
        <v>2470</v>
      </c>
    </row>
    <row r="1096" spans="1:5" x14ac:dyDescent="0.3">
      <c r="A1096" t="s">
        <v>1162</v>
      </c>
      <c r="B1096" t="s">
        <v>2473</v>
      </c>
      <c r="C1096">
        <v>53</v>
      </c>
      <c r="D1096">
        <v>3</v>
      </c>
      <c r="E1096" t="s">
        <v>2476</v>
      </c>
    </row>
    <row r="1097" spans="1:5" x14ac:dyDescent="0.3">
      <c r="A1097" t="s">
        <v>1161</v>
      </c>
      <c r="B1097" t="s">
        <v>2471</v>
      </c>
      <c r="C1097">
        <v>21</v>
      </c>
      <c r="D1097">
        <v>0</v>
      </c>
      <c r="E1097" t="s">
        <v>2470</v>
      </c>
    </row>
    <row r="1098" spans="1:5" x14ac:dyDescent="0.3">
      <c r="A1098" t="s">
        <v>1160</v>
      </c>
      <c r="B1098" t="s">
        <v>2471</v>
      </c>
      <c r="C1098">
        <v>14</v>
      </c>
      <c r="D1098">
        <v>0</v>
      </c>
      <c r="E1098" t="s">
        <v>2470</v>
      </c>
    </row>
    <row r="1099" spans="1:5" x14ac:dyDescent="0.3">
      <c r="A1099" t="s">
        <v>1159</v>
      </c>
      <c r="B1099" t="s">
        <v>2471</v>
      </c>
      <c r="C1099">
        <v>5</v>
      </c>
      <c r="D1099">
        <v>0</v>
      </c>
      <c r="E1099" t="s">
        <v>2470</v>
      </c>
    </row>
    <row r="1100" spans="1:5" x14ac:dyDescent="0.3">
      <c r="A1100" t="s">
        <v>1158</v>
      </c>
      <c r="B1100" t="s">
        <v>2471</v>
      </c>
      <c r="C1100">
        <v>46</v>
      </c>
      <c r="D1100">
        <v>0</v>
      </c>
      <c r="E1100" t="s">
        <v>2470</v>
      </c>
    </row>
    <row r="1101" spans="1:5" x14ac:dyDescent="0.3">
      <c r="A1101" t="s">
        <v>1157</v>
      </c>
      <c r="B1101" t="s">
        <v>2469</v>
      </c>
      <c r="C1101">
        <v>95</v>
      </c>
      <c r="D1101">
        <v>1</v>
      </c>
      <c r="E1101" t="s">
        <v>2475</v>
      </c>
    </row>
    <row r="1102" spans="1:5" x14ac:dyDescent="0.3">
      <c r="A1102" t="s">
        <v>1156</v>
      </c>
      <c r="B1102" t="s">
        <v>2469</v>
      </c>
      <c r="C1102">
        <v>86</v>
      </c>
      <c r="D1102">
        <v>2</v>
      </c>
      <c r="E1102" t="s">
        <v>2468</v>
      </c>
    </row>
    <row r="1103" spans="1:5" x14ac:dyDescent="0.3">
      <c r="A1103" t="s">
        <v>1155</v>
      </c>
      <c r="B1103" t="s">
        <v>2471</v>
      </c>
      <c r="C1103">
        <v>176</v>
      </c>
      <c r="D1103">
        <v>0</v>
      </c>
      <c r="E1103" t="s">
        <v>2470</v>
      </c>
    </row>
    <row r="1104" spans="1:5" x14ac:dyDescent="0.3">
      <c r="A1104" t="s">
        <v>1154</v>
      </c>
      <c r="B1104" t="s">
        <v>2469</v>
      </c>
      <c r="C1104">
        <v>45</v>
      </c>
      <c r="D1104">
        <v>1</v>
      </c>
      <c r="E1104" t="s">
        <v>2468</v>
      </c>
    </row>
    <row r="1105" spans="1:5" x14ac:dyDescent="0.3">
      <c r="A1105" t="s">
        <v>1153</v>
      </c>
      <c r="B1105" t="s">
        <v>2469</v>
      </c>
      <c r="C1105">
        <v>273</v>
      </c>
      <c r="D1105">
        <v>8</v>
      </c>
      <c r="E1105" t="s">
        <v>2475</v>
      </c>
    </row>
    <row r="1106" spans="1:5" x14ac:dyDescent="0.3">
      <c r="A1106" t="s">
        <v>1152</v>
      </c>
      <c r="B1106" t="s">
        <v>2473</v>
      </c>
      <c r="C1106">
        <v>317</v>
      </c>
      <c r="D1106">
        <v>21</v>
      </c>
      <c r="E1106" t="s">
        <v>2476</v>
      </c>
    </row>
    <row r="1107" spans="1:5" x14ac:dyDescent="0.3">
      <c r="A1107" t="s">
        <v>1151</v>
      </c>
      <c r="B1107" t="s">
        <v>2469</v>
      </c>
      <c r="C1107">
        <v>91</v>
      </c>
      <c r="D1107">
        <v>3</v>
      </c>
      <c r="E1107" t="s">
        <v>2474</v>
      </c>
    </row>
    <row r="1108" spans="1:5" x14ac:dyDescent="0.3">
      <c r="A1108" t="s">
        <v>1150</v>
      </c>
      <c r="B1108" t="s">
        <v>2469</v>
      </c>
      <c r="C1108">
        <v>727</v>
      </c>
      <c r="D1108">
        <v>6</v>
      </c>
      <c r="E1108" t="s">
        <v>2475</v>
      </c>
    </row>
    <row r="1109" spans="1:5" x14ac:dyDescent="0.3">
      <c r="A1109" t="s">
        <v>1149</v>
      </c>
      <c r="B1109" t="s">
        <v>2469</v>
      </c>
      <c r="C1109">
        <v>555</v>
      </c>
      <c r="D1109">
        <v>6</v>
      </c>
      <c r="E1109" t="s">
        <v>2468</v>
      </c>
    </row>
    <row r="1110" spans="1:5" x14ac:dyDescent="0.3">
      <c r="A1110" t="s">
        <v>1148</v>
      </c>
      <c r="B1110" t="s">
        <v>2471</v>
      </c>
      <c r="C1110">
        <v>48</v>
      </c>
      <c r="D1110">
        <v>0</v>
      </c>
      <c r="E1110" t="s">
        <v>2470</v>
      </c>
    </row>
    <row r="1111" spans="1:5" x14ac:dyDescent="0.3">
      <c r="A1111" t="s">
        <v>1147</v>
      </c>
      <c r="B1111" t="s">
        <v>2471</v>
      </c>
      <c r="C1111">
        <v>5</v>
      </c>
      <c r="D1111">
        <v>0</v>
      </c>
      <c r="E1111" t="s">
        <v>2470</v>
      </c>
    </row>
    <row r="1112" spans="1:5" x14ac:dyDescent="0.3">
      <c r="A1112" t="s">
        <v>1146</v>
      </c>
      <c r="B1112" t="s">
        <v>2469</v>
      </c>
      <c r="C1112">
        <v>55</v>
      </c>
      <c r="D1112">
        <v>1</v>
      </c>
      <c r="E1112" t="s">
        <v>2472</v>
      </c>
    </row>
    <row r="1113" spans="1:5" x14ac:dyDescent="0.3">
      <c r="A1113" t="s">
        <v>1145</v>
      </c>
      <c r="B1113" t="s">
        <v>2469</v>
      </c>
      <c r="C1113">
        <v>168</v>
      </c>
      <c r="D1113">
        <v>4</v>
      </c>
      <c r="E1113" t="s">
        <v>2472</v>
      </c>
    </row>
    <row r="1114" spans="1:5" x14ac:dyDescent="0.3">
      <c r="A1114" t="s">
        <v>1144</v>
      </c>
      <c r="B1114" t="s">
        <v>2469</v>
      </c>
      <c r="C1114">
        <v>590</v>
      </c>
      <c r="D1114">
        <v>6</v>
      </c>
      <c r="E1114" t="s">
        <v>2472</v>
      </c>
    </row>
    <row r="1115" spans="1:5" x14ac:dyDescent="0.3">
      <c r="A1115" t="s">
        <v>1143</v>
      </c>
      <c r="B1115" t="s">
        <v>2469</v>
      </c>
      <c r="C1115">
        <v>270</v>
      </c>
      <c r="D1115">
        <v>4</v>
      </c>
      <c r="E1115" t="s">
        <v>2474</v>
      </c>
    </row>
    <row r="1116" spans="1:5" x14ac:dyDescent="0.3">
      <c r="A1116" t="s">
        <v>1142</v>
      </c>
      <c r="B1116" t="s">
        <v>2471</v>
      </c>
      <c r="C1116">
        <v>19</v>
      </c>
      <c r="D1116">
        <v>0</v>
      </c>
      <c r="E1116" t="s">
        <v>2470</v>
      </c>
    </row>
    <row r="1117" spans="1:5" x14ac:dyDescent="0.3">
      <c r="A1117" t="s">
        <v>1141</v>
      </c>
      <c r="B1117" t="s">
        <v>2469</v>
      </c>
      <c r="C1117">
        <v>190</v>
      </c>
      <c r="D1117">
        <v>2</v>
      </c>
      <c r="E1117" t="s">
        <v>2474</v>
      </c>
    </row>
    <row r="1118" spans="1:5" x14ac:dyDescent="0.3">
      <c r="A1118" t="s">
        <v>1140</v>
      </c>
      <c r="B1118" t="s">
        <v>2471</v>
      </c>
      <c r="C1118">
        <v>45</v>
      </c>
      <c r="D1118">
        <v>0</v>
      </c>
      <c r="E1118" t="s">
        <v>2470</v>
      </c>
    </row>
    <row r="1119" spans="1:5" x14ac:dyDescent="0.3">
      <c r="A1119" t="s">
        <v>1139</v>
      </c>
      <c r="B1119" t="s">
        <v>2469</v>
      </c>
      <c r="C1119">
        <v>169</v>
      </c>
      <c r="D1119">
        <v>4</v>
      </c>
      <c r="E1119" t="s">
        <v>2474</v>
      </c>
    </row>
    <row r="1120" spans="1:5" x14ac:dyDescent="0.3">
      <c r="A1120" t="s">
        <v>1138</v>
      </c>
      <c r="B1120" t="s">
        <v>2471</v>
      </c>
      <c r="C1120">
        <v>13</v>
      </c>
      <c r="D1120">
        <v>0</v>
      </c>
      <c r="E1120" t="s">
        <v>2470</v>
      </c>
    </row>
    <row r="1121" spans="1:5" x14ac:dyDescent="0.3">
      <c r="A1121" t="s">
        <v>1137</v>
      </c>
      <c r="B1121" t="s">
        <v>2469</v>
      </c>
      <c r="C1121">
        <v>742</v>
      </c>
      <c r="D1121">
        <v>23</v>
      </c>
      <c r="E1121" t="s">
        <v>2474</v>
      </c>
    </row>
    <row r="1122" spans="1:5" x14ac:dyDescent="0.3">
      <c r="A1122" t="s">
        <v>1136</v>
      </c>
      <c r="B1122" t="s">
        <v>2473</v>
      </c>
      <c r="C1122">
        <v>322</v>
      </c>
      <c r="D1122">
        <v>21</v>
      </c>
      <c r="E1122" t="s">
        <v>2468</v>
      </c>
    </row>
    <row r="1123" spans="1:5" x14ac:dyDescent="0.3">
      <c r="A1123" t="s">
        <v>1135</v>
      </c>
      <c r="B1123" t="s">
        <v>2469</v>
      </c>
      <c r="C1123">
        <v>59</v>
      </c>
      <c r="D1123">
        <v>2</v>
      </c>
      <c r="E1123" t="s">
        <v>2472</v>
      </c>
    </row>
    <row r="1124" spans="1:5" x14ac:dyDescent="0.3">
      <c r="A1124" t="s">
        <v>1134</v>
      </c>
      <c r="B1124" t="s">
        <v>2473</v>
      </c>
      <c r="C1124">
        <v>1201</v>
      </c>
      <c r="D1124">
        <v>70</v>
      </c>
      <c r="E1124" t="s">
        <v>2468</v>
      </c>
    </row>
    <row r="1125" spans="1:5" x14ac:dyDescent="0.3">
      <c r="A1125" t="s">
        <v>1133</v>
      </c>
      <c r="B1125" t="s">
        <v>2471</v>
      </c>
      <c r="C1125">
        <v>18</v>
      </c>
      <c r="D1125">
        <v>0</v>
      </c>
      <c r="E1125" t="s">
        <v>2470</v>
      </c>
    </row>
    <row r="1126" spans="1:5" x14ac:dyDescent="0.3">
      <c r="A1126" t="s">
        <v>1132</v>
      </c>
      <c r="B1126" t="s">
        <v>2469</v>
      </c>
      <c r="C1126">
        <v>192</v>
      </c>
      <c r="D1126">
        <v>8</v>
      </c>
      <c r="E1126" t="s">
        <v>2476</v>
      </c>
    </row>
    <row r="1127" spans="1:5" x14ac:dyDescent="0.3">
      <c r="A1127" t="s">
        <v>1131</v>
      </c>
      <c r="B1127" t="s">
        <v>2469</v>
      </c>
      <c r="C1127">
        <v>427</v>
      </c>
      <c r="D1127">
        <v>12</v>
      </c>
      <c r="E1127" t="s">
        <v>2476</v>
      </c>
    </row>
    <row r="1128" spans="1:5" x14ac:dyDescent="0.3">
      <c r="A1128" t="s">
        <v>1130</v>
      </c>
      <c r="B1128" t="s">
        <v>2469</v>
      </c>
      <c r="C1128">
        <v>411</v>
      </c>
      <c r="D1128">
        <v>10</v>
      </c>
      <c r="E1128" t="s">
        <v>2475</v>
      </c>
    </row>
    <row r="1129" spans="1:5" x14ac:dyDescent="0.3">
      <c r="A1129" t="s">
        <v>1129</v>
      </c>
      <c r="B1129" t="s">
        <v>2469</v>
      </c>
      <c r="C1129">
        <v>160</v>
      </c>
      <c r="D1129">
        <v>2</v>
      </c>
      <c r="E1129" t="s">
        <v>2476</v>
      </c>
    </row>
    <row r="1130" spans="1:5" x14ac:dyDescent="0.3">
      <c r="A1130" t="s">
        <v>1128</v>
      </c>
      <c r="B1130" t="s">
        <v>2469</v>
      </c>
      <c r="C1130">
        <v>119</v>
      </c>
      <c r="D1130">
        <v>6</v>
      </c>
      <c r="E1130" t="s">
        <v>2472</v>
      </c>
    </row>
    <row r="1131" spans="1:5" x14ac:dyDescent="0.3">
      <c r="A1131" t="s">
        <v>1127</v>
      </c>
      <c r="B1131" t="s">
        <v>2469</v>
      </c>
      <c r="C1131">
        <v>409</v>
      </c>
      <c r="D1131">
        <v>6</v>
      </c>
      <c r="E1131" t="s">
        <v>2475</v>
      </c>
    </row>
    <row r="1132" spans="1:5" x14ac:dyDescent="0.3">
      <c r="A1132" t="s">
        <v>1126</v>
      </c>
      <c r="B1132" t="s">
        <v>2473</v>
      </c>
      <c r="C1132">
        <v>392</v>
      </c>
      <c r="D1132">
        <v>22</v>
      </c>
      <c r="E1132" t="s">
        <v>2475</v>
      </c>
    </row>
    <row r="1133" spans="1:5" x14ac:dyDescent="0.3">
      <c r="A1133" t="s">
        <v>1125</v>
      </c>
      <c r="B1133" t="s">
        <v>2469</v>
      </c>
      <c r="C1133">
        <v>106</v>
      </c>
      <c r="D1133">
        <v>1</v>
      </c>
      <c r="E1133" t="s">
        <v>2468</v>
      </c>
    </row>
    <row r="1134" spans="1:5" x14ac:dyDescent="0.3">
      <c r="A1134" t="s">
        <v>1124</v>
      </c>
      <c r="B1134" t="s">
        <v>2473</v>
      </c>
      <c r="C1134">
        <v>31</v>
      </c>
      <c r="D1134">
        <v>2</v>
      </c>
      <c r="E1134" t="s">
        <v>2475</v>
      </c>
    </row>
    <row r="1135" spans="1:5" x14ac:dyDescent="0.3">
      <c r="A1135" t="s">
        <v>1123</v>
      </c>
      <c r="B1135" t="s">
        <v>2469</v>
      </c>
      <c r="C1135">
        <v>555</v>
      </c>
      <c r="D1135">
        <v>8</v>
      </c>
      <c r="E1135" t="s">
        <v>2475</v>
      </c>
    </row>
    <row r="1136" spans="1:5" x14ac:dyDescent="0.3">
      <c r="A1136" t="s">
        <v>1122</v>
      </c>
      <c r="B1136" t="s">
        <v>2473</v>
      </c>
      <c r="C1136">
        <v>12</v>
      </c>
      <c r="D1136">
        <v>1</v>
      </c>
      <c r="E1136" t="s">
        <v>2475</v>
      </c>
    </row>
    <row r="1137" spans="1:5" x14ac:dyDescent="0.3">
      <c r="A1137" t="s">
        <v>1121</v>
      </c>
      <c r="B1137" t="s">
        <v>2473</v>
      </c>
      <c r="C1137">
        <v>45</v>
      </c>
      <c r="D1137">
        <v>4</v>
      </c>
      <c r="E1137" t="s">
        <v>2475</v>
      </c>
    </row>
    <row r="1138" spans="1:5" x14ac:dyDescent="0.3">
      <c r="A1138" t="s">
        <v>1120</v>
      </c>
      <c r="B1138" t="s">
        <v>2471</v>
      </c>
      <c r="C1138">
        <v>4</v>
      </c>
      <c r="D1138">
        <v>0</v>
      </c>
      <c r="E1138" t="s">
        <v>2470</v>
      </c>
    </row>
    <row r="1139" spans="1:5" x14ac:dyDescent="0.3">
      <c r="A1139" t="s">
        <v>1119</v>
      </c>
      <c r="B1139" t="s">
        <v>2471</v>
      </c>
      <c r="C1139">
        <v>20</v>
      </c>
      <c r="D1139">
        <v>0</v>
      </c>
      <c r="E1139" t="s">
        <v>2470</v>
      </c>
    </row>
    <row r="1140" spans="1:5" x14ac:dyDescent="0.3">
      <c r="A1140" t="s">
        <v>1118</v>
      </c>
      <c r="B1140" t="s">
        <v>2469</v>
      </c>
      <c r="C1140">
        <v>128</v>
      </c>
      <c r="D1140">
        <v>3</v>
      </c>
      <c r="E1140" t="s">
        <v>2476</v>
      </c>
    </row>
    <row r="1141" spans="1:5" x14ac:dyDescent="0.3">
      <c r="A1141" t="s">
        <v>1117</v>
      </c>
      <c r="B1141" t="s">
        <v>2469</v>
      </c>
      <c r="C1141">
        <v>101</v>
      </c>
      <c r="D1141">
        <v>2</v>
      </c>
      <c r="E1141" t="s">
        <v>2468</v>
      </c>
    </row>
    <row r="1142" spans="1:5" x14ac:dyDescent="0.3">
      <c r="A1142" t="s">
        <v>1116</v>
      </c>
      <c r="B1142" t="s">
        <v>2471</v>
      </c>
      <c r="C1142">
        <v>6</v>
      </c>
      <c r="D1142">
        <v>0</v>
      </c>
      <c r="E1142" t="s">
        <v>2470</v>
      </c>
    </row>
    <row r="1143" spans="1:5" x14ac:dyDescent="0.3">
      <c r="A1143" t="s">
        <v>1115</v>
      </c>
      <c r="B1143" t="s">
        <v>2469</v>
      </c>
      <c r="C1143">
        <v>559</v>
      </c>
      <c r="D1143">
        <v>22</v>
      </c>
      <c r="E1143" t="s">
        <v>2468</v>
      </c>
    </row>
    <row r="1144" spans="1:5" x14ac:dyDescent="0.3">
      <c r="A1144" t="s">
        <v>1114</v>
      </c>
      <c r="B1144" t="s">
        <v>2471</v>
      </c>
      <c r="C1144">
        <v>22</v>
      </c>
      <c r="D1144">
        <v>0</v>
      </c>
      <c r="E1144" t="s">
        <v>2470</v>
      </c>
    </row>
    <row r="1145" spans="1:5" x14ac:dyDescent="0.3">
      <c r="A1145" t="s">
        <v>1113</v>
      </c>
      <c r="B1145" t="s">
        <v>2471</v>
      </c>
      <c r="C1145">
        <v>7</v>
      </c>
      <c r="D1145">
        <v>0</v>
      </c>
      <c r="E1145" t="s">
        <v>2470</v>
      </c>
    </row>
    <row r="1146" spans="1:5" x14ac:dyDescent="0.3">
      <c r="A1146" t="s">
        <v>1112</v>
      </c>
      <c r="B1146" t="s">
        <v>2469</v>
      </c>
      <c r="C1146">
        <v>1084</v>
      </c>
      <c r="D1146">
        <v>48</v>
      </c>
      <c r="E1146" t="s">
        <v>2468</v>
      </c>
    </row>
    <row r="1147" spans="1:5" x14ac:dyDescent="0.3">
      <c r="A1147" t="s">
        <v>1111</v>
      </c>
      <c r="B1147" t="s">
        <v>2469</v>
      </c>
      <c r="C1147">
        <v>59</v>
      </c>
      <c r="D1147">
        <v>3</v>
      </c>
      <c r="E1147" t="s">
        <v>2468</v>
      </c>
    </row>
    <row r="1148" spans="1:5" x14ac:dyDescent="0.3">
      <c r="A1148" t="s">
        <v>1110</v>
      </c>
      <c r="B1148" t="s">
        <v>2469</v>
      </c>
      <c r="C1148">
        <v>20</v>
      </c>
      <c r="D1148">
        <v>1</v>
      </c>
      <c r="E1148" t="s">
        <v>2476</v>
      </c>
    </row>
    <row r="1149" spans="1:5" x14ac:dyDescent="0.3">
      <c r="A1149" t="s">
        <v>1109</v>
      </c>
      <c r="B1149" t="s">
        <v>2469</v>
      </c>
      <c r="C1149">
        <v>689</v>
      </c>
      <c r="D1149">
        <v>10</v>
      </c>
      <c r="E1149" t="s">
        <v>2475</v>
      </c>
    </row>
    <row r="1150" spans="1:5" x14ac:dyDescent="0.3">
      <c r="A1150" t="s">
        <v>1108</v>
      </c>
      <c r="B1150" t="s">
        <v>2469</v>
      </c>
      <c r="C1150">
        <v>783</v>
      </c>
      <c r="D1150">
        <v>10</v>
      </c>
      <c r="E1150" t="s">
        <v>2468</v>
      </c>
    </row>
    <row r="1151" spans="1:5" x14ac:dyDescent="0.3">
      <c r="A1151" t="s">
        <v>1107</v>
      </c>
      <c r="B1151" t="s">
        <v>2471</v>
      </c>
      <c r="C1151">
        <v>15</v>
      </c>
      <c r="D1151">
        <v>0</v>
      </c>
      <c r="E1151" t="s">
        <v>2470</v>
      </c>
    </row>
    <row r="1152" spans="1:5" x14ac:dyDescent="0.3">
      <c r="A1152" t="s">
        <v>1106</v>
      </c>
      <c r="B1152" t="s">
        <v>2471</v>
      </c>
      <c r="C1152">
        <v>56</v>
      </c>
      <c r="D1152">
        <v>0</v>
      </c>
      <c r="E1152" t="s">
        <v>2470</v>
      </c>
    </row>
    <row r="1153" spans="1:5" x14ac:dyDescent="0.3">
      <c r="A1153" t="s">
        <v>1105</v>
      </c>
      <c r="B1153" t="s">
        <v>2469</v>
      </c>
      <c r="C1153">
        <v>551</v>
      </c>
      <c r="D1153">
        <v>1</v>
      </c>
      <c r="E1153" t="s">
        <v>2468</v>
      </c>
    </row>
    <row r="1154" spans="1:5" x14ac:dyDescent="0.3">
      <c r="A1154" t="s">
        <v>1104</v>
      </c>
      <c r="B1154" t="s">
        <v>2469</v>
      </c>
      <c r="C1154">
        <v>115</v>
      </c>
      <c r="D1154">
        <v>2</v>
      </c>
      <c r="E1154" t="s">
        <v>2472</v>
      </c>
    </row>
    <row r="1155" spans="1:5" x14ac:dyDescent="0.3">
      <c r="A1155" t="s">
        <v>1103</v>
      </c>
      <c r="B1155" t="s">
        <v>2471</v>
      </c>
      <c r="C1155">
        <v>7</v>
      </c>
      <c r="D1155">
        <v>0</v>
      </c>
      <c r="E1155" t="s">
        <v>2470</v>
      </c>
    </row>
    <row r="1156" spans="1:5" x14ac:dyDescent="0.3">
      <c r="A1156" t="s">
        <v>1102</v>
      </c>
      <c r="B1156" t="s">
        <v>2469</v>
      </c>
      <c r="C1156">
        <v>651</v>
      </c>
      <c r="D1156">
        <v>13</v>
      </c>
      <c r="E1156" t="s">
        <v>2472</v>
      </c>
    </row>
    <row r="1157" spans="1:5" x14ac:dyDescent="0.3">
      <c r="A1157" t="s">
        <v>1101</v>
      </c>
      <c r="B1157" t="s">
        <v>2469</v>
      </c>
      <c r="C1157">
        <v>588</v>
      </c>
      <c r="D1157">
        <v>10</v>
      </c>
      <c r="E1157" t="s">
        <v>2475</v>
      </c>
    </row>
    <row r="1158" spans="1:5" x14ac:dyDescent="0.3">
      <c r="A1158" t="s">
        <v>1100</v>
      </c>
      <c r="B1158" t="s">
        <v>2469</v>
      </c>
      <c r="C1158">
        <v>267</v>
      </c>
      <c r="D1158">
        <v>5</v>
      </c>
      <c r="E1158" t="s">
        <v>2475</v>
      </c>
    </row>
    <row r="1159" spans="1:5" x14ac:dyDescent="0.3">
      <c r="A1159" t="s">
        <v>1099</v>
      </c>
      <c r="B1159" t="s">
        <v>2473</v>
      </c>
      <c r="C1159">
        <v>120</v>
      </c>
      <c r="D1159">
        <v>13</v>
      </c>
      <c r="E1159" t="s">
        <v>2468</v>
      </c>
    </row>
    <row r="1160" spans="1:5" x14ac:dyDescent="0.3">
      <c r="A1160" t="s">
        <v>1098</v>
      </c>
      <c r="B1160" t="s">
        <v>2473</v>
      </c>
      <c r="C1160">
        <v>125</v>
      </c>
      <c r="D1160">
        <v>16</v>
      </c>
      <c r="E1160" t="s">
        <v>2468</v>
      </c>
    </row>
    <row r="1161" spans="1:5" x14ac:dyDescent="0.3">
      <c r="A1161" t="s">
        <v>1097</v>
      </c>
      <c r="B1161" t="s">
        <v>2469</v>
      </c>
      <c r="C1161">
        <v>191</v>
      </c>
      <c r="D1161">
        <v>2</v>
      </c>
      <c r="E1161" t="s">
        <v>2468</v>
      </c>
    </row>
    <row r="1162" spans="1:5" x14ac:dyDescent="0.3">
      <c r="A1162" t="s">
        <v>1096</v>
      </c>
      <c r="B1162" t="s">
        <v>2469</v>
      </c>
      <c r="C1162">
        <v>133</v>
      </c>
      <c r="D1162">
        <v>1</v>
      </c>
      <c r="E1162" t="s">
        <v>2468</v>
      </c>
    </row>
    <row r="1163" spans="1:5" x14ac:dyDescent="0.3">
      <c r="A1163" t="s">
        <v>1095</v>
      </c>
      <c r="B1163" t="s">
        <v>2471</v>
      </c>
      <c r="C1163">
        <v>14</v>
      </c>
      <c r="D1163">
        <v>0</v>
      </c>
      <c r="E1163" t="s">
        <v>2470</v>
      </c>
    </row>
    <row r="1164" spans="1:5" x14ac:dyDescent="0.3">
      <c r="A1164" t="s">
        <v>1094</v>
      </c>
      <c r="B1164" t="s">
        <v>2471</v>
      </c>
      <c r="C1164">
        <v>52</v>
      </c>
      <c r="D1164">
        <v>0</v>
      </c>
      <c r="E1164" t="s">
        <v>2470</v>
      </c>
    </row>
    <row r="1165" spans="1:5" x14ac:dyDescent="0.3">
      <c r="A1165" t="s">
        <v>1093</v>
      </c>
      <c r="B1165" t="s">
        <v>2469</v>
      </c>
      <c r="C1165">
        <v>174</v>
      </c>
      <c r="D1165">
        <v>1</v>
      </c>
      <c r="E1165" t="s">
        <v>2468</v>
      </c>
    </row>
    <row r="1166" spans="1:5" x14ac:dyDescent="0.3">
      <c r="A1166" t="s">
        <v>1092</v>
      </c>
      <c r="B1166" t="s">
        <v>2471</v>
      </c>
      <c r="C1166">
        <v>3</v>
      </c>
      <c r="D1166">
        <v>0</v>
      </c>
      <c r="E1166" t="s">
        <v>2470</v>
      </c>
    </row>
    <row r="1167" spans="1:5" x14ac:dyDescent="0.3">
      <c r="A1167" t="s">
        <v>1091</v>
      </c>
      <c r="B1167" t="s">
        <v>2473</v>
      </c>
      <c r="C1167">
        <v>54</v>
      </c>
      <c r="D1167">
        <v>5</v>
      </c>
      <c r="E1167" t="s">
        <v>2476</v>
      </c>
    </row>
    <row r="1168" spans="1:5" x14ac:dyDescent="0.3">
      <c r="A1168" t="s">
        <v>1090</v>
      </c>
      <c r="B1168" t="s">
        <v>2469</v>
      </c>
      <c r="C1168">
        <v>283</v>
      </c>
      <c r="D1168">
        <v>5</v>
      </c>
      <c r="E1168" t="s">
        <v>2472</v>
      </c>
    </row>
    <row r="1169" spans="1:5" x14ac:dyDescent="0.3">
      <c r="A1169" t="s">
        <v>1089</v>
      </c>
      <c r="B1169" t="s">
        <v>2469</v>
      </c>
      <c r="C1169">
        <v>191</v>
      </c>
      <c r="D1169">
        <v>2</v>
      </c>
      <c r="E1169" t="s">
        <v>2475</v>
      </c>
    </row>
    <row r="1170" spans="1:5" x14ac:dyDescent="0.3">
      <c r="A1170" t="s">
        <v>1088</v>
      </c>
      <c r="B1170" t="s">
        <v>2469</v>
      </c>
      <c r="C1170">
        <v>90</v>
      </c>
      <c r="D1170">
        <v>1</v>
      </c>
      <c r="E1170" t="s">
        <v>2475</v>
      </c>
    </row>
    <row r="1171" spans="1:5" x14ac:dyDescent="0.3">
      <c r="A1171" t="s">
        <v>1087</v>
      </c>
      <c r="B1171" t="s">
        <v>2469</v>
      </c>
      <c r="C1171">
        <v>40</v>
      </c>
      <c r="D1171">
        <v>1</v>
      </c>
      <c r="E1171" t="s">
        <v>2468</v>
      </c>
    </row>
    <row r="1172" spans="1:5" x14ac:dyDescent="0.3">
      <c r="A1172" t="s">
        <v>1086</v>
      </c>
      <c r="B1172" t="s">
        <v>2469</v>
      </c>
      <c r="C1172">
        <v>689</v>
      </c>
      <c r="D1172">
        <v>20</v>
      </c>
      <c r="E1172" t="s">
        <v>2475</v>
      </c>
    </row>
    <row r="1173" spans="1:5" x14ac:dyDescent="0.3">
      <c r="A1173" t="s">
        <v>1085</v>
      </c>
      <c r="B1173" t="s">
        <v>2469</v>
      </c>
      <c r="C1173">
        <v>124</v>
      </c>
      <c r="D1173">
        <v>6</v>
      </c>
      <c r="E1173" t="s">
        <v>2474</v>
      </c>
    </row>
    <row r="1174" spans="1:5" x14ac:dyDescent="0.3">
      <c r="A1174" t="s">
        <v>1084</v>
      </c>
      <c r="B1174" t="s">
        <v>2469</v>
      </c>
      <c r="C1174">
        <v>337</v>
      </c>
      <c r="D1174">
        <v>8</v>
      </c>
      <c r="E1174" t="s">
        <v>2472</v>
      </c>
    </row>
    <row r="1175" spans="1:5" x14ac:dyDescent="0.3">
      <c r="A1175" t="s">
        <v>1083</v>
      </c>
      <c r="B1175" t="s">
        <v>2471</v>
      </c>
      <c r="C1175">
        <v>14</v>
      </c>
      <c r="D1175">
        <v>0</v>
      </c>
      <c r="E1175" t="s">
        <v>2470</v>
      </c>
    </row>
    <row r="1176" spans="1:5" x14ac:dyDescent="0.3">
      <c r="A1176" t="s">
        <v>1082</v>
      </c>
      <c r="B1176" t="s">
        <v>2471</v>
      </c>
      <c r="C1176">
        <v>9</v>
      </c>
      <c r="D1176">
        <v>0</v>
      </c>
      <c r="E1176" t="s">
        <v>2470</v>
      </c>
    </row>
    <row r="1177" spans="1:5" x14ac:dyDescent="0.3">
      <c r="A1177" t="s">
        <v>1081</v>
      </c>
      <c r="B1177" t="s">
        <v>2469</v>
      </c>
      <c r="C1177">
        <v>223</v>
      </c>
      <c r="D1177">
        <v>1</v>
      </c>
      <c r="E1177" t="s">
        <v>2474</v>
      </c>
    </row>
    <row r="1178" spans="1:5" x14ac:dyDescent="0.3">
      <c r="A1178" t="s">
        <v>1080</v>
      </c>
      <c r="B1178" t="s">
        <v>2469</v>
      </c>
      <c r="C1178">
        <v>185</v>
      </c>
      <c r="D1178">
        <v>1</v>
      </c>
      <c r="E1178" t="s">
        <v>2475</v>
      </c>
    </row>
    <row r="1179" spans="1:5" x14ac:dyDescent="0.3">
      <c r="A1179" t="s">
        <v>1079</v>
      </c>
      <c r="B1179" t="s">
        <v>2469</v>
      </c>
      <c r="C1179">
        <v>92</v>
      </c>
      <c r="D1179">
        <v>2</v>
      </c>
      <c r="E1179" t="s">
        <v>2475</v>
      </c>
    </row>
    <row r="1180" spans="1:5" x14ac:dyDescent="0.3">
      <c r="A1180" t="s">
        <v>1078</v>
      </c>
      <c r="B1180" t="s">
        <v>2471</v>
      </c>
      <c r="C1180">
        <v>42</v>
      </c>
      <c r="D1180">
        <v>0</v>
      </c>
      <c r="E1180" t="s">
        <v>2470</v>
      </c>
    </row>
    <row r="1181" spans="1:5" x14ac:dyDescent="0.3">
      <c r="A1181" t="s">
        <v>1077</v>
      </c>
      <c r="B1181" t="s">
        <v>2471</v>
      </c>
      <c r="C1181">
        <v>9</v>
      </c>
      <c r="D1181">
        <v>0</v>
      </c>
      <c r="E1181" t="s">
        <v>2470</v>
      </c>
    </row>
    <row r="1182" spans="1:5" x14ac:dyDescent="0.3">
      <c r="A1182" t="s">
        <v>1076</v>
      </c>
      <c r="B1182" t="s">
        <v>2473</v>
      </c>
      <c r="C1182">
        <v>9</v>
      </c>
      <c r="D1182">
        <v>1</v>
      </c>
      <c r="E1182" t="s">
        <v>2468</v>
      </c>
    </row>
    <row r="1183" spans="1:5" x14ac:dyDescent="0.3">
      <c r="A1183" t="s">
        <v>1075</v>
      </c>
      <c r="B1183" t="s">
        <v>2473</v>
      </c>
      <c r="C1183">
        <v>215</v>
      </c>
      <c r="D1183">
        <v>14</v>
      </c>
      <c r="E1183" t="s">
        <v>2472</v>
      </c>
    </row>
    <row r="1184" spans="1:5" x14ac:dyDescent="0.3">
      <c r="A1184" t="s">
        <v>1074</v>
      </c>
      <c r="B1184" t="s">
        <v>2469</v>
      </c>
      <c r="C1184">
        <v>437</v>
      </c>
      <c r="D1184">
        <v>7</v>
      </c>
      <c r="E1184" t="s">
        <v>2472</v>
      </c>
    </row>
    <row r="1185" spans="1:5" x14ac:dyDescent="0.3">
      <c r="A1185" t="s">
        <v>1073</v>
      </c>
      <c r="B1185" t="s">
        <v>2471</v>
      </c>
      <c r="C1185">
        <v>90</v>
      </c>
      <c r="D1185">
        <v>0</v>
      </c>
      <c r="E1185" t="s">
        <v>2470</v>
      </c>
    </row>
    <row r="1186" spans="1:5" x14ac:dyDescent="0.3">
      <c r="A1186" t="s">
        <v>1072</v>
      </c>
      <c r="B1186" t="s">
        <v>2471</v>
      </c>
      <c r="C1186">
        <v>9</v>
      </c>
      <c r="D1186">
        <v>0</v>
      </c>
      <c r="E1186" t="s">
        <v>2470</v>
      </c>
    </row>
    <row r="1187" spans="1:5" x14ac:dyDescent="0.3">
      <c r="A1187" t="s">
        <v>1071</v>
      </c>
      <c r="B1187" t="s">
        <v>2469</v>
      </c>
      <c r="C1187">
        <v>444</v>
      </c>
      <c r="D1187">
        <v>15</v>
      </c>
      <c r="E1187" t="s">
        <v>2468</v>
      </c>
    </row>
    <row r="1188" spans="1:5" x14ac:dyDescent="0.3">
      <c r="A1188" t="s">
        <v>1070</v>
      </c>
      <c r="B1188" t="s">
        <v>2471</v>
      </c>
      <c r="C1188">
        <v>5</v>
      </c>
      <c r="D1188">
        <v>0</v>
      </c>
      <c r="E1188" t="s">
        <v>2470</v>
      </c>
    </row>
    <row r="1189" spans="1:5" x14ac:dyDescent="0.3">
      <c r="A1189" t="s">
        <v>1069</v>
      </c>
      <c r="B1189" t="s">
        <v>2469</v>
      </c>
      <c r="C1189">
        <v>722</v>
      </c>
      <c r="D1189">
        <v>5</v>
      </c>
      <c r="E1189" t="s">
        <v>2468</v>
      </c>
    </row>
    <row r="1190" spans="1:5" x14ac:dyDescent="0.3">
      <c r="A1190" t="s">
        <v>1068</v>
      </c>
      <c r="B1190" t="s">
        <v>2473</v>
      </c>
      <c r="C1190">
        <v>55</v>
      </c>
      <c r="D1190">
        <v>3</v>
      </c>
      <c r="E1190" t="s">
        <v>2468</v>
      </c>
    </row>
    <row r="1191" spans="1:5" x14ac:dyDescent="0.3">
      <c r="A1191" t="s">
        <v>1067</v>
      </c>
      <c r="B1191" t="s">
        <v>2471</v>
      </c>
      <c r="C1191">
        <v>14</v>
      </c>
      <c r="D1191">
        <v>0</v>
      </c>
      <c r="E1191" t="s">
        <v>2470</v>
      </c>
    </row>
    <row r="1192" spans="1:5" x14ac:dyDescent="0.3">
      <c r="A1192" t="s">
        <v>1066</v>
      </c>
      <c r="B1192" t="s">
        <v>2469</v>
      </c>
      <c r="C1192">
        <v>20</v>
      </c>
      <c r="D1192">
        <v>1</v>
      </c>
      <c r="E1192" t="s">
        <v>2468</v>
      </c>
    </row>
    <row r="1193" spans="1:5" x14ac:dyDescent="0.3">
      <c r="A1193" t="s">
        <v>1065</v>
      </c>
      <c r="B1193" t="s">
        <v>2471</v>
      </c>
      <c r="C1193">
        <v>20</v>
      </c>
      <c r="D1193">
        <v>0</v>
      </c>
      <c r="E1193" t="s">
        <v>2470</v>
      </c>
    </row>
    <row r="1194" spans="1:5" x14ac:dyDescent="0.3">
      <c r="A1194" t="s">
        <v>1064</v>
      </c>
      <c r="B1194" t="s">
        <v>2469</v>
      </c>
      <c r="C1194">
        <v>188</v>
      </c>
      <c r="D1194">
        <v>1</v>
      </c>
      <c r="E1194" t="s">
        <v>2476</v>
      </c>
    </row>
    <row r="1195" spans="1:5" x14ac:dyDescent="0.3">
      <c r="A1195" t="s">
        <v>1063</v>
      </c>
      <c r="B1195" t="s">
        <v>2469</v>
      </c>
      <c r="C1195">
        <v>223</v>
      </c>
      <c r="D1195">
        <v>2</v>
      </c>
      <c r="E1195" t="s">
        <v>2475</v>
      </c>
    </row>
    <row r="1196" spans="1:5" x14ac:dyDescent="0.3">
      <c r="A1196" t="s">
        <v>1062</v>
      </c>
      <c r="B1196" t="s">
        <v>2469</v>
      </c>
      <c r="C1196">
        <v>143</v>
      </c>
      <c r="D1196">
        <v>3</v>
      </c>
      <c r="E1196" t="s">
        <v>2474</v>
      </c>
    </row>
    <row r="1197" spans="1:5" x14ac:dyDescent="0.3">
      <c r="A1197" t="s">
        <v>1061</v>
      </c>
      <c r="B1197" t="s">
        <v>2473</v>
      </c>
      <c r="C1197">
        <v>228</v>
      </c>
      <c r="D1197">
        <v>13</v>
      </c>
      <c r="E1197" t="s">
        <v>2468</v>
      </c>
    </row>
    <row r="1198" spans="1:5" x14ac:dyDescent="0.3">
      <c r="A1198" t="s">
        <v>1060</v>
      </c>
      <c r="B1198" t="s">
        <v>2469</v>
      </c>
      <c r="C1198">
        <v>54</v>
      </c>
      <c r="D1198">
        <v>1</v>
      </c>
      <c r="E1198" t="s">
        <v>2468</v>
      </c>
    </row>
    <row r="1199" spans="1:5" x14ac:dyDescent="0.3">
      <c r="A1199" t="s">
        <v>1059</v>
      </c>
      <c r="B1199" t="s">
        <v>2471</v>
      </c>
      <c r="C1199">
        <v>17</v>
      </c>
      <c r="D1199">
        <v>0</v>
      </c>
      <c r="E1199" t="s">
        <v>2470</v>
      </c>
    </row>
    <row r="1200" spans="1:5" x14ac:dyDescent="0.3">
      <c r="A1200" t="s">
        <v>1058</v>
      </c>
      <c r="B1200" t="s">
        <v>2469</v>
      </c>
      <c r="C1200">
        <v>83</v>
      </c>
      <c r="D1200">
        <v>1</v>
      </c>
      <c r="E1200" t="s">
        <v>2474</v>
      </c>
    </row>
    <row r="1201" spans="1:5" x14ac:dyDescent="0.3">
      <c r="A1201" t="s">
        <v>1057</v>
      </c>
      <c r="B1201" t="s">
        <v>2469</v>
      </c>
      <c r="C1201">
        <v>351</v>
      </c>
      <c r="D1201">
        <v>10</v>
      </c>
      <c r="E1201" t="s">
        <v>2468</v>
      </c>
    </row>
    <row r="1202" spans="1:5" x14ac:dyDescent="0.3">
      <c r="A1202" t="s">
        <v>1056</v>
      </c>
      <c r="B1202" t="s">
        <v>2469</v>
      </c>
      <c r="C1202">
        <v>306</v>
      </c>
      <c r="D1202">
        <v>3</v>
      </c>
      <c r="E1202" t="s">
        <v>2472</v>
      </c>
    </row>
    <row r="1203" spans="1:5" x14ac:dyDescent="0.3">
      <c r="A1203" t="s">
        <v>1055</v>
      </c>
      <c r="B1203" t="s">
        <v>2473</v>
      </c>
      <c r="C1203">
        <v>21</v>
      </c>
      <c r="D1203">
        <v>2</v>
      </c>
      <c r="E1203" t="s">
        <v>2476</v>
      </c>
    </row>
    <row r="1204" spans="1:5" x14ac:dyDescent="0.3">
      <c r="A1204" t="s">
        <v>1054</v>
      </c>
      <c r="B1204" t="s">
        <v>2469</v>
      </c>
      <c r="C1204">
        <v>174</v>
      </c>
      <c r="D1204">
        <v>4</v>
      </c>
      <c r="E1204" t="s">
        <v>2468</v>
      </c>
    </row>
    <row r="1205" spans="1:5" x14ac:dyDescent="0.3">
      <c r="A1205" t="s">
        <v>1053</v>
      </c>
      <c r="B1205" t="s">
        <v>2473</v>
      </c>
      <c r="C1205">
        <v>791</v>
      </c>
      <c r="D1205">
        <v>45</v>
      </c>
      <c r="E1205" t="s">
        <v>2476</v>
      </c>
    </row>
    <row r="1206" spans="1:5" x14ac:dyDescent="0.3">
      <c r="A1206" t="s">
        <v>1052</v>
      </c>
      <c r="B1206" t="s">
        <v>2471</v>
      </c>
      <c r="C1206">
        <v>23</v>
      </c>
      <c r="D1206">
        <v>0</v>
      </c>
      <c r="E1206" t="s">
        <v>2470</v>
      </c>
    </row>
    <row r="1207" spans="1:5" x14ac:dyDescent="0.3">
      <c r="A1207" t="s">
        <v>1051</v>
      </c>
      <c r="B1207" t="s">
        <v>2469</v>
      </c>
      <c r="C1207">
        <v>392</v>
      </c>
      <c r="D1207">
        <v>15</v>
      </c>
      <c r="E1207" t="s">
        <v>2468</v>
      </c>
    </row>
    <row r="1208" spans="1:5" x14ac:dyDescent="0.3">
      <c r="A1208" t="s">
        <v>1050</v>
      </c>
      <c r="B1208" t="s">
        <v>2471</v>
      </c>
      <c r="C1208">
        <v>3</v>
      </c>
      <c r="D1208">
        <v>0</v>
      </c>
      <c r="E1208" t="s">
        <v>2470</v>
      </c>
    </row>
    <row r="1209" spans="1:5" x14ac:dyDescent="0.3">
      <c r="A1209" t="s">
        <v>1049</v>
      </c>
      <c r="B1209" t="s">
        <v>2469</v>
      </c>
      <c r="C1209">
        <v>97</v>
      </c>
      <c r="D1209">
        <v>1</v>
      </c>
      <c r="E1209" t="s">
        <v>2475</v>
      </c>
    </row>
    <row r="1210" spans="1:5" x14ac:dyDescent="0.3">
      <c r="A1210" t="s">
        <v>1048</v>
      </c>
      <c r="B1210" t="s">
        <v>2469</v>
      </c>
      <c r="C1210">
        <v>47</v>
      </c>
      <c r="D1210">
        <v>1</v>
      </c>
      <c r="E1210" t="s">
        <v>2475</v>
      </c>
    </row>
    <row r="1211" spans="1:5" x14ac:dyDescent="0.3">
      <c r="A1211" t="s">
        <v>1047</v>
      </c>
      <c r="B1211" t="s">
        <v>2473</v>
      </c>
      <c r="C1211">
        <v>326</v>
      </c>
      <c r="D1211">
        <v>25</v>
      </c>
      <c r="E1211" t="s">
        <v>2468</v>
      </c>
    </row>
    <row r="1212" spans="1:5" x14ac:dyDescent="0.3">
      <c r="A1212" t="s">
        <v>1046</v>
      </c>
      <c r="B1212" t="s">
        <v>2471</v>
      </c>
      <c r="C1212">
        <v>4</v>
      </c>
      <c r="D1212">
        <v>0</v>
      </c>
      <c r="E1212" t="s">
        <v>2470</v>
      </c>
    </row>
    <row r="1213" spans="1:5" x14ac:dyDescent="0.3">
      <c r="A1213" t="s">
        <v>1045</v>
      </c>
      <c r="B1213" t="s">
        <v>2471</v>
      </c>
      <c r="C1213">
        <v>3</v>
      </c>
      <c r="D1213">
        <v>0</v>
      </c>
      <c r="E1213" t="s">
        <v>2470</v>
      </c>
    </row>
    <row r="1214" spans="1:5" x14ac:dyDescent="0.3">
      <c r="A1214" t="s">
        <v>1044</v>
      </c>
      <c r="B1214" t="s">
        <v>2471</v>
      </c>
      <c r="C1214">
        <v>30</v>
      </c>
      <c r="D1214">
        <v>0</v>
      </c>
      <c r="E1214" t="s">
        <v>2470</v>
      </c>
    </row>
    <row r="1215" spans="1:5" x14ac:dyDescent="0.3">
      <c r="A1215" t="s">
        <v>1043</v>
      </c>
      <c r="B1215" t="s">
        <v>2469</v>
      </c>
      <c r="C1215">
        <v>471</v>
      </c>
      <c r="D1215">
        <v>11</v>
      </c>
      <c r="E1215" t="s">
        <v>2474</v>
      </c>
    </row>
    <row r="1216" spans="1:5" x14ac:dyDescent="0.3">
      <c r="A1216" t="s">
        <v>1042</v>
      </c>
      <c r="B1216" t="s">
        <v>2471</v>
      </c>
      <c r="C1216">
        <v>23</v>
      </c>
      <c r="D1216">
        <v>0</v>
      </c>
      <c r="E1216" t="s">
        <v>2470</v>
      </c>
    </row>
    <row r="1217" spans="1:5" x14ac:dyDescent="0.3">
      <c r="A1217" t="s">
        <v>1041</v>
      </c>
      <c r="B1217" t="s">
        <v>2469</v>
      </c>
      <c r="C1217">
        <v>115</v>
      </c>
      <c r="D1217">
        <v>1</v>
      </c>
      <c r="E1217" t="s">
        <v>2475</v>
      </c>
    </row>
    <row r="1218" spans="1:5" x14ac:dyDescent="0.3">
      <c r="A1218" t="s">
        <v>1040</v>
      </c>
      <c r="B1218" t="s">
        <v>2469</v>
      </c>
      <c r="C1218">
        <v>105</v>
      </c>
      <c r="D1218">
        <v>1</v>
      </c>
      <c r="E1218" t="s">
        <v>2472</v>
      </c>
    </row>
    <row r="1219" spans="1:5" x14ac:dyDescent="0.3">
      <c r="A1219" t="s">
        <v>1039</v>
      </c>
      <c r="B1219" t="s">
        <v>2469</v>
      </c>
      <c r="C1219">
        <v>189</v>
      </c>
      <c r="D1219">
        <v>3</v>
      </c>
      <c r="E1219" t="s">
        <v>2476</v>
      </c>
    </row>
    <row r="1220" spans="1:5" x14ac:dyDescent="0.3">
      <c r="A1220" t="s">
        <v>1038</v>
      </c>
      <c r="B1220" t="s">
        <v>2469</v>
      </c>
      <c r="C1220">
        <v>148</v>
      </c>
      <c r="D1220">
        <v>5</v>
      </c>
      <c r="E1220" t="s">
        <v>2476</v>
      </c>
    </row>
    <row r="1221" spans="1:5" x14ac:dyDescent="0.3">
      <c r="A1221" t="s">
        <v>1037</v>
      </c>
      <c r="B1221" t="s">
        <v>2469</v>
      </c>
      <c r="C1221">
        <v>605</v>
      </c>
      <c r="D1221">
        <v>21</v>
      </c>
      <c r="E1221" t="s">
        <v>2468</v>
      </c>
    </row>
    <row r="1222" spans="1:5" x14ac:dyDescent="0.3">
      <c r="A1222" t="s">
        <v>1036</v>
      </c>
      <c r="B1222" t="s">
        <v>2471</v>
      </c>
      <c r="C1222">
        <v>10</v>
      </c>
      <c r="D1222">
        <v>0</v>
      </c>
      <c r="E1222" t="s">
        <v>2470</v>
      </c>
    </row>
    <row r="1223" spans="1:5" x14ac:dyDescent="0.3">
      <c r="A1223" t="s">
        <v>1035</v>
      </c>
      <c r="B1223" t="s">
        <v>2469</v>
      </c>
      <c r="C1223">
        <v>626</v>
      </c>
      <c r="D1223">
        <v>32</v>
      </c>
      <c r="E1223" t="s">
        <v>2474</v>
      </c>
    </row>
    <row r="1224" spans="1:5" x14ac:dyDescent="0.3">
      <c r="A1224" t="s">
        <v>1034</v>
      </c>
      <c r="B1224" t="s">
        <v>2473</v>
      </c>
      <c r="C1224">
        <v>21</v>
      </c>
      <c r="D1224">
        <v>2</v>
      </c>
      <c r="E1224" t="s">
        <v>2472</v>
      </c>
    </row>
    <row r="1225" spans="1:5" x14ac:dyDescent="0.3">
      <c r="A1225" t="s">
        <v>1033</v>
      </c>
      <c r="B1225" t="s">
        <v>2469</v>
      </c>
      <c r="C1225">
        <v>22</v>
      </c>
      <c r="D1225">
        <v>1</v>
      </c>
      <c r="E1225" t="s">
        <v>2472</v>
      </c>
    </row>
    <row r="1226" spans="1:5" x14ac:dyDescent="0.3">
      <c r="A1226" t="s">
        <v>1032</v>
      </c>
      <c r="B1226" t="s">
        <v>2469</v>
      </c>
      <c r="C1226">
        <v>133</v>
      </c>
      <c r="D1226">
        <v>1</v>
      </c>
      <c r="E1226" t="s">
        <v>2476</v>
      </c>
    </row>
    <row r="1227" spans="1:5" x14ac:dyDescent="0.3">
      <c r="A1227" t="s">
        <v>1031</v>
      </c>
      <c r="B1227" t="s">
        <v>2471</v>
      </c>
      <c r="C1227">
        <v>9</v>
      </c>
      <c r="D1227">
        <v>0</v>
      </c>
      <c r="E1227" t="s">
        <v>2470</v>
      </c>
    </row>
    <row r="1228" spans="1:5" x14ac:dyDescent="0.3">
      <c r="A1228" t="s">
        <v>1030</v>
      </c>
      <c r="B1228" t="s">
        <v>2471</v>
      </c>
      <c r="C1228">
        <v>14</v>
      </c>
      <c r="D1228">
        <v>0</v>
      </c>
      <c r="E1228" t="s">
        <v>2470</v>
      </c>
    </row>
    <row r="1229" spans="1:5" x14ac:dyDescent="0.3">
      <c r="A1229" t="s">
        <v>1029</v>
      </c>
      <c r="B1229" t="s">
        <v>2469</v>
      </c>
      <c r="C1229">
        <v>715</v>
      </c>
      <c r="D1229">
        <v>8</v>
      </c>
      <c r="E1229" t="s">
        <v>2472</v>
      </c>
    </row>
    <row r="1230" spans="1:5" x14ac:dyDescent="0.3">
      <c r="A1230" t="s">
        <v>1028</v>
      </c>
      <c r="B1230" t="s">
        <v>2471</v>
      </c>
      <c r="C1230">
        <v>9</v>
      </c>
      <c r="D1230">
        <v>0</v>
      </c>
      <c r="E1230" t="s">
        <v>2470</v>
      </c>
    </row>
    <row r="1231" spans="1:5" x14ac:dyDescent="0.3">
      <c r="A1231" t="s">
        <v>1027</v>
      </c>
      <c r="B1231" t="s">
        <v>2473</v>
      </c>
      <c r="C1231">
        <v>511</v>
      </c>
      <c r="D1231">
        <v>43</v>
      </c>
      <c r="E1231" t="s">
        <v>2468</v>
      </c>
    </row>
    <row r="1232" spans="1:5" x14ac:dyDescent="0.3">
      <c r="A1232" t="s">
        <v>1026</v>
      </c>
      <c r="B1232" t="s">
        <v>2471</v>
      </c>
      <c r="C1232">
        <v>15</v>
      </c>
      <c r="D1232">
        <v>0</v>
      </c>
      <c r="E1232" t="s">
        <v>2470</v>
      </c>
    </row>
    <row r="1233" spans="1:5" x14ac:dyDescent="0.3">
      <c r="A1233" t="s">
        <v>1025</v>
      </c>
      <c r="B1233" t="s">
        <v>2469</v>
      </c>
      <c r="C1233">
        <v>705</v>
      </c>
      <c r="D1233">
        <v>17</v>
      </c>
      <c r="E1233" t="s">
        <v>2474</v>
      </c>
    </row>
    <row r="1234" spans="1:5" x14ac:dyDescent="0.3">
      <c r="A1234" t="s">
        <v>1024</v>
      </c>
      <c r="B1234" t="s">
        <v>2469</v>
      </c>
      <c r="C1234">
        <v>125</v>
      </c>
      <c r="D1234">
        <v>2</v>
      </c>
      <c r="E1234" t="s">
        <v>2468</v>
      </c>
    </row>
    <row r="1235" spans="1:5" x14ac:dyDescent="0.3">
      <c r="A1235" t="s">
        <v>1023</v>
      </c>
      <c r="B1235" t="s">
        <v>2469</v>
      </c>
      <c r="C1235">
        <v>761</v>
      </c>
      <c r="D1235">
        <v>12</v>
      </c>
      <c r="E1235" t="s">
        <v>2468</v>
      </c>
    </row>
    <row r="1236" spans="1:5" x14ac:dyDescent="0.3">
      <c r="A1236" t="s">
        <v>1022</v>
      </c>
      <c r="B1236" t="s">
        <v>2473</v>
      </c>
      <c r="C1236">
        <v>19</v>
      </c>
      <c r="D1236">
        <v>1</v>
      </c>
      <c r="E1236" t="s">
        <v>2468</v>
      </c>
    </row>
    <row r="1237" spans="1:5" x14ac:dyDescent="0.3">
      <c r="A1237" t="s">
        <v>1021</v>
      </c>
      <c r="B1237" t="s">
        <v>2473</v>
      </c>
      <c r="C1237">
        <v>94</v>
      </c>
      <c r="D1237">
        <v>16</v>
      </c>
      <c r="E1237" t="s">
        <v>2475</v>
      </c>
    </row>
    <row r="1238" spans="1:5" x14ac:dyDescent="0.3">
      <c r="A1238" t="s">
        <v>1020</v>
      </c>
      <c r="B1238" t="s">
        <v>2471</v>
      </c>
      <c r="C1238">
        <v>5</v>
      </c>
      <c r="D1238">
        <v>0</v>
      </c>
      <c r="E1238" t="s">
        <v>2470</v>
      </c>
    </row>
    <row r="1239" spans="1:5" x14ac:dyDescent="0.3">
      <c r="A1239" t="s">
        <v>1019</v>
      </c>
      <c r="B1239" t="s">
        <v>2471</v>
      </c>
      <c r="C1239">
        <v>21</v>
      </c>
      <c r="D1239">
        <v>0</v>
      </c>
      <c r="E1239" t="s">
        <v>2470</v>
      </c>
    </row>
    <row r="1240" spans="1:5" x14ac:dyDescent="0.3">
      <c r="A1240" t="s">
        <v>1018</v>
      </c>
      <c r="B1240" t="s">
        <v>2471</v>
      </c>
      <c r="C1240">
        <v>9</v>
      </c>
      <c r="D1240">
        <v>0</v>
      </c>
      <c r="E1240" t="s">
        <v>2470</v>
      </c>
    </row>
    <row r="1241" spans="1:5" x14ac:dyDescent="0.3">
      <c r="A1241" t="s">
        <v>1017</v>
      </c>
      <c r="B1241" t="s">
        <v>2473</v>
      </c>
      <c r="C1241">
        <v>108</v>
      </c>
      <c r="D1241">
        <v>9</v>
      </c>
      <c r="E1241" t="s">
        <v>2474</v>
      </c>
    </row>
    <row r="1242" spans="1:5" x14ac:dyDescent="0.3">
      <c r="A1242" t="s">
        <v>1016</v>
      </c>
      <c r="B1242" t="s">
        <v>2469</v>
      </c>
      <c r="C1242">
        <v>988</v>
      </c>
      <c r="D1242">
        <v>16</v>
      </c>
      <c r="E1242" t="s">
        <v>2468</v>
      </c>
    </row>
    <row r="1243" spans="1:5" x14ac:dyDescent="0.3">
      <c r="A1243" t="s">
        <v>1015</v>
      </c>
      <c r="B1243" t="s">
        <v>2469</v>
      </c>
      <c r="C1243">
        <v>123</v>
      </c>
      <c r="D1243">
        <v>2</v>
      </c>
      <c r="E1243" t="s">
        <v>2468</v>
      </c>
    </row>
    <row r="1244" spans="1:5" x14ac:dyDescent="0.3">
      <c r="A1244" t="s">
        <v>1014</v>
      </c>
      <c r="B1244" t="s">
        <v>2469</v>
      </c>
      <c r="C1244">
        <v>120</v>
      </c>
      <c r="D1244">
        <v>2</v>
      </c>
      <c r="E1244" t="s">
        <v>2468</v>
      </c>
    </row>
    <row r="1245" spans="1:5" x14ac:dyDescent="0.3">
      <c r="A1245" t="s">
        <v>1013</v>
      </c>
      <c r="B1245" t="s">
        <v>2469</v>
      </c>
      <c r="C1245">
        <v>243</v>
      </c>
      <c r="D1245">
        <v>3</v>
      </c>
      <c r="E1245" t="s">
        <v>2474</v>
      </c>
    </row>
    <row r="1246" spans="1:5" x14ac:dyDescent="0.3">
      <c r="A1246" t="s">
        <v>1012</v>
      </c>
      <c r="B1246" t="s">
        <v>2473</v>
      </c>
      <c r="C1246">
        <v>10</v>
      </c>
      <c r="D1246">
        <v>1</v>
      </c>
      <c r="E1246" t="s">
        <v>2468</v>
      </c>
    </row>
    <row r="1247" spans="1:5" x14ac:dyDescent="0.3">
      <c r="A1247" t="s">
        <v>1011</v>
      </c>
      <c r="B1247" t="s">
        <v>2469</v>
      </c>
      <c r="C1247">
        <v>784</v>
      </c>
      <c r="D1247">
        <v>11</v>
      </c>
      <c r="E1247" t="s">
        <v>2476</v>
      </c>
    </row>
    <row r="1248" spans="1:5" x14ac:dyDescent="0.3">
      <c r="A1248" t="s">
        <v>1010</v>
      </c>
      <c r="B1248" t="s">
        <v>2469</v>
      </c>
      <c r="C1248">
        <v>98</v>
      </c>
      <c r="D1248">
        <v>3</v>
      </c>
      <c r="E1248" t="s">
        <v>2474</v>
      </c>
    </row>
    <row r="1249" spans="1:5" x14ac:dyDescent="0.3">
      <c r="A1249" t="s">
        <v>1009</v>
      </c>
      <c r="B1249" t="s">
        <v>2469</v>
      </c>
      <c r="C1249">
        <v>154</v>
      </c>
      <c r="D1249">
        <v>1</v>
      </c>
      <c r="E1249" t="s">
        <v>2475</v>
      </c>
    </row>
    <row r="1250" spans="1:5" x14ac:dyDescent="0.3">
      <c r="A1250" t="s">
        <v>1008</v>
      </c>
      <c r="B1250" t="s">
        <v>2471</v>
      </c>
      <c r="C1250">
        <v>21</v>
      </c>
      <c r="D1250">
        <v>0</v>
      </c>
      <c r="E1250" t="s">
        <v>2470</v>
      </c>
    </row>
    <row r="1251" spans="1:5" x14ac:dyDescent="0.3">
      <c r="A1251" t="s">
        <v>1007</v>
      </c>
      <c r="B1251" t="s">
        <v>2469</v>
      </c>
      <c r="C1251">
        <v>100</v>
      </c>
      <c r="D1251">
        <v>1</v>
      </c>
      <c r="E1251" t="s">
        <v>2475</v>
      </c>
    </row>
    <row r="1252" spans="1:5" x14ac:dyDescent="0.3">
      <c r="A1252" t="s">
        <v>1006</v>
      </c>
      <c r="B1252" t="s">
        <v>2469</v>
      </c>
      <c r="C1252">
        <v>164</v>
      </c>
      <c r="D1252">
        <v>2</v>
      </c>
      <c r="E1252" t="s">
        <v>2476</v>
      </c>
    </row>
    <row r="1253" spans="1:5" x14ac:dyDescent="0.3">
      <c r="A1253" t="s">
        <v>1005</v>
      </c>
      <c r="B1253" t="s">
        <v>2473</v>
      </c>
      <c r="C1253">
        <v>16</v>
      </c>
      <c r="D1253">
        <v>1</v>
      </c>
      <c r="E1253" t="s">
        <v>2472</v>
      </c>
    </row>
    <row r="1254" spans="1:5" x14ac:dyDescent="0.3">
      <c r="A1254" t="s">
        <v>1004</v>
      </c>
      <c r="B1254" t="s">
        <v>2471</v>
      </c>
      <c r="C1254">
        <v>110</v>
      </c>
      <c r="D1254">
        <v>0</v>
      </c>
      <c r="E1254" t="s">
        <v>2470</v>
      </c>
    </row>
    <row r="1255" spans="1:5" x14ac:dyDescent="0.3">
      <c r="A1255" t="s">
        <v>1003</v>
      </c>
      <c r="B1255" t="s">
        <v>2469</v>
      </c>
      <c r="C1255">
        <v>112</v>
      </c>
      <c r="D1255">
        <v>1</v>
      </c>
      <c r="E1255" t="s">
        <v>2472</v>
      </c>
    </row>
    <row r="1256" spans="1:5" x14ac:dyDescent="0.3">
      <c r="A1256" t="s">
        <v>1002</v>
      </c>
      <c r="B1256" t="s">
        <v>2469</v>
      </c>
      <c r="C1256">
        <v>161</v>
      </c>
      <c r="D1256">
        <v>2</v>
      </c>
      <c r="E1256" t="s">
        <v>2468</v>
      </c>
    </row>
    <row r="1257" spans="1:5" x14ac:dyDescent="0.3">
      <c r="A1257" t="s">
        <v>1001</v>
      </c>
      <c r="B1257" t="s">
        <v>2471</v>
      </c>
      <c r="C1257">
        <v>5</v>
      </c>
      <c r="D1257">
        <v>0</v>
      </c>
      <c r="E1257" t="s">
        <v>2470</v>
      </c>
    </row>
    <row r="1258" spans="1:5" x14ac:dyDescent="0.3">
      <c r="A1258" t="s">
        <v>1000</v>
      </c>
      <c r="B1258" t="s">
        <v>2471</v>
      </c>
      <c r="C1258">
        <v>9</v>
      </c>
      <c r="D1258">
        <v>0</v>
      </c>
      <c r="E1258" t="s">
        <v>2470</v>
      </c>
    </row>
    <row r="1259" spans="1:5" x14ac:dyDescent="0.3">
      <c r="A1259" t="s">
        <v>999</v>
      </c>
      <c r="B1259" t="s">
        <v>2473</v>
      </c>
      <c r="C1259">
        <v>709</v>
      </c>
      <c r="D1259">
        <v>41</v>
      </c>
      <c r="E1259" t="s">
        <v>2474</v>
      </c>
    </row>
    <row r="1260" spans="1:5" x14ac:dyDescent="0.3">
      <c r="A1260" t="s">
        <v>998</v>
      </c>
      <c r="B1260" t="s">
        <v>2471</v>
      </c>
      <c r="C1260">
        <v>15</v>
      </c>
      <c r="D1260">
        <v>0</v>
      </c>
      <c r="E1260" t="s">
        <v>2470</v>
      </c>
    </row>
    <row r="1261" spans="1:5" x14ac:dyDescent="0.3">
      <c r="A1261" t="s">
        <v>997</v>
      </c>
      <c r="B1261" t="s">
        <v>2471</v>
      </c>
      <c r="C1261">
        <v>13</v>
      </c>
      <c r="D1261">
        <v>0</v>
      </c>
      <c r="E1261" t="s">
        <v>2470</v>
      </c>
    </row>
    <row r="1262" spans="1:5" x14ac:dyDescent="0.3">
      <c r="A1262" t="s">
        <v>996</v>
      </c>
      <c r="B1262" t="s">
        <v>2469</v>
      </c>
      <c r="C1262">
        <v>275</v>
      </c>
      <c r="D1262">
        <v>7</v>
      </c>
      <c r="E1262" t="s">
        <v>2472</v>
      </c>
    </row>
    <row r="1263" spans="1:5" x14ac:dyDescent="0.3">
      <c r="A1263" t="s">
        <v>995</v>
      </c>
      <c r="B1263" t="s">
        <v>2471</v>
      </c>
      <c r="C1263">
        <v>26</v>
      </c>
      <c r="D1263">
        <v>0</v>
      </c>
      <c r="E1263" t="s">
        <v>2470</v>
      </c>
    </row>
    <row r="1264" spans="1:5" x14ac:dyDescent="0.3">
      <c r="A1264" t="s">
        <v>994</v>
      </c>
      <c r="B1264" t="s">
        <v>2471</v>
      </c>
      <c r="C1264">
        <v>5</v>
      </c>
      <c r="D1264">
        <v>0</v>
      </c>
      <c r="E1264" t="s">
        <v>2470</v>
      </c>
    </row>
    <row r="1265" spans="1:5" x14ac:dyDescent="0.3">
      <c r="A1265" t="s">
        <v>993</v>
      </c>
      <c r="B1265" t="s">
        <v>2469</v>
      </c>
      <c r="C1265">
        <v>588</v>
      </c>
      <c r="D1265">
        <v>18</v>
      </c>
      <c r="E1265" t="s">
        <v>2474</v>
      </c>
    </row>
    <row r="1266" spans="1:5" x14ac:dyDescent="0.3">
      <c r="A1266" t="s">
        <v>992</v>
      </c>
      <c r="B1266" t="s">
        <v>2469</v>
      </c>
      <c r="C1266">
        <v>770</v>
      </c>
      <c r="D1266">
        <v>10</v>
      </c>
      <c r="E1266" t="s">
        <v>2475</v>
      </c>
    </row>
    <row r="1267" spans="1:5" x14ac:dyDescent="0.3">
      <c r="A1267" t="s">
        <v>991</v>
      </c>
      <c r="B1267" t="s">
        <v>2471</v>
      </c>
      <c r="C1267">
        <v>78</v>
      </c>
      <c r="D1267">
        <v>0</v>
      </c>
      <c r="E1267" t="s">
        <v>2470</v>
      </c>
    </row>
    <row r="1268" spans="1:5" x14ac:dyDescent="0.3">
      <c r="A1268" t="s">
        <v>990</v>
      </c>
      <c r="B1268" t="s">
        <v>2473</v>
      </c>
      <c r="C1268">
        <v>154</v>
      </c>
      <c r="D1268">
        <v>15</v>
      </c>
      <c r="E1268" t="s">
        <v>2475</v>
      </c>
    </row>
    <row r="1269" spans="1:5" x14ac:dyDescent="0.3">
      <c r="A1269" t="s">
        <v>989</v>
      </c>
      <c r="B1269" t="s">
        <v>2469</v>
      </c>
      <c r="C1269">
        <v>541</v>
      </c>
      <c r="D1269">
        <v>17</v>
      </c>
      <c r="E1269" t="s">
        <v>2468</v>
      </c>
    </row>
    <row r="1270" spans="1:5" x14ac:dyDescent="0.3">
      <c r="A1270" t="s">
        <v>988</v>
      </c>
      <c r="B1270" t="s">
        <v>2469</v>
      </c>
      <c r="C1270">
        <v>506</v>
      </c>
      <c r="D1270">
        <v>8</v>
      </c>
      <c r="E1270" t="s">
        <v>2474</v>
      </c>
    </row>
    <row r="1271" spans="1:5" x14ac:dyDescent="0.3">
      <c r="A1271" t="s">
        <v>987</v>
      </c>
      <c r="B1271" t="s">
        <v>2473</v>
      </c>
      <c r="C1271">
        <v>29</v>
      </c>
      <c r="D1271">
        <v>2</v>
      </c>
      <c r="E1271" t="s">
        <v>2476</v>
      </c>
    </row>
    <row r="1272" spans="1:5" x14ac:dyDescent="0.3">
      <c r="A1272" t="s">
        <v>986</v>
      </c>
      <c r="B1272" t="s">
        <v>2473</v>
      </c>
      <c r="C1272">
        <v>946</v>
      </c>
      <c r="D1272">
        <v>63</v>
      </c>
      <c r="E1272" t="s">
        <v>2476</v>
      </c>
    </row>
    <row r="1273" spans="1:5" x14ac:dyDescent="0.3">
      <c r="A1273" t="s">
        <v>985</v>
      </c>
      <c r="B1273" t="s">
        <v>2473</v>
      </c>
      <c r="C1273">
        <v>326</v>
      </c>
      <c r="D1273">
        <v>36</v>
      </c>
      <c r="E1273" t="s">
        <v>2475</v>
      </c>
    </row>
    <row r="1274" spans="1:5" x14ac:dyDescent="0.3">
      <c r="A1274" t="s">
        <v>984</v>
      </c>
      <c r="B1274" t="s">
        <v>2471</v>
      </c>
      <c r="C1274">
        <v>5</v>
      </c>
      <c r="D1274">
        <v>0</v>
      </c>
      <c r="E1274" t="s">
        <v>2470</v>
      </c>
    </row>
    <row r="1275" spans="1:5" x14ac:dyDescent="0.3">
      <c r="A1275" t="s">
        <v>983</v>
      </c>
      <c r="B1275" t="s">
        <v>2473</v>
      </c>
      <c r="C1275">
        <v>14</v>
      </c>
      <c r="D1275">
        <v>1</v>
      </c>
      <c r="E1275" t="s">
        <v>2476</v>
      </c>
    </row>
    <row r="1276" spans="1:5" x14ac:dyDescent="0.3">
      <c r="A1276" t="s">
        <v>982</v>
      </c>
      <c r="B1276" t="s">
        <v>2469</v>
      </c>
      <c r="C1276">
        <v>142</v>
      </c>
      <c r="D1276">
        <v>4</v>
      </c>
      <c r="E1276" t="s">
        <v>2472</v>
      </c>
    </row>
    <row r="1277" spans="1:5" x14ac:dyDescent="0.3">
      <c r="A1277" t="s">
        <v>981</v>
      </c>
      <c r="B1277" t="s">
        <v>2469</v>
      </c>
      <c r="C1277">
        <v>68</v>
      </c>
      <c r="D1277">
        <v>2</v>
      </c>
      <c r="E1277" t="s">
        <v>2474</v>
      </c>
    </row>
    <row r="1278" spans="1:5" x14ac:dyDescent="0.3">
      <c r="A1278" t="s">
        <v>980</v>
      </c>
      <c r="B1278" t="s">
        <v>2473</v>
      </c>
      <c r="C1278">
        <v>317</v>
      </c>
      <c r="D1278">
        <v>35</v>
      </c>
      <c r="E1278" t="s">
        <v>2472</v>
      </c>
    </row>
    <row r="1279" spans="1:5" x14ac:dyDescent="0.3">
      <c r="A1279" t="s">
        <v>979</v>
      </c>
      <c r="B1279" t="s">
        <v>2469</v>
      </c>
      <c r="C1279">
        <v>708</v>
      </c>
      <c r="D1279">
        <v>10</v>
      </c>
      <c r="E1279" t="s">
        <v>2472</v>
      </c>
    </row>
    <row r="1280" spans="1:5" x14ac:dyDescent="0.3">
      <c r="A1280" t="s">
        <v>978</v>
      </c>
      <c r="B1280" t="s">
        <v>2469</v>
      </c>
      <c r="C1280">
        <v>997</v>
      </c>
      <c r="D1280">
        <v>50</v>
      </c>
      <c r="E1280" t="s">
        <v>2468</v>
      </c>
    </row>
    <row r="1281" spans="1:5" x14ac:dyDescent="0.3">
      <c r="A1281" t="s">
        <v>977</v>
      </c>
      <c r="B1281" t="s">
        <v>2469</v>
      </c>
      <c r="C1281">
        <v>150</v>
      </c>
      <c r="D1281">
        <v>2</v>
      </c>
      <c r="E1281" t="s">
        <v>2476</v>
      </c>
    </row>
    <row r="1282" spans="1:5" x14ac:dyDescent="0.3">
      <c r="A1282" t="s">
        <v>976</v>
      </c>
      <c r="B1282" t="s">
        <v>2471</v>
      </c>
      <c r="C1282">
        <v>4</v>
      </c>
      <c r="D1282">
        <v>0</v>
      </c>
      <c r="E1282" t="s">
        <v>2470</v>
      </c>
    </row>
    <row r="1283" spans="1:5" x14ac:dyDescent="0.3">
      <c r="A1283" t="s">
        <v>975</v>
      </c>
      <c r="B1283" t="s">
        <v>2469</v>
      </c>
      <c r="C1283">
        <v>663</v>
      </c>
      <c r="D1283">
        <v>32</v>
      </c>
      <c r="E1283" t="s">
        <v>2474</v>
      </c>
    </row>
    <row r="1284" spans="1:5" x14ac:dyDescent="0.3">
      <c r="A1284" t="s">
        <v>974</v>
      </c>
      <c r="B1284" t="s">
        <v>2469</v>
      </c>
      <c r="C1284">
        <v>727</v>
      </c>
      <c r="D1284">
        <v>23</v>
      </c>
      <c r="E1284" t="s">
        <v>2468</v>
      </c>
    </row>
    <row r="1285" spans="1:5" x14ac:dyDescent="0.3">
      <c r="A1285" t="s">
        <v>973</v>
      </c>
      <c r="B1285" t="s">
        <v>2469</v>
      </c>
      <c r="C1285">
        <v>762</v>
      </c>
      <c r="D1285">
        <v>19</v>
      </c>
      <c r="E1285" t="s">
        <v>2468</v>
      </c>
    </row>
    <row r="1286" spans="1:5" x14ac:dyDescent="0.3">
      <c r="A1286" t="s">
        <v>972</v>
      </c>
      <c r="B1286" t="s">
        <v>2469</v>
      </c>
      <c r="C1286">
        <v>403</v>
      </c>
      <c r="D1286">
        <v>5</v>
      </c>
      <c r="E1286" t="s">
        <v>2476</v>
      </c>
    </row>
    <row r="1287" spans="1:5" x14ac:dyDescent="0.3">
      <c r="A1287" t="s">
        <v>971</v>
      </c>
      <c r="B1287" t="s">
        <v>2469</v>
      </c>
      <c r="C1287">
        <v>154</v>
      </c>
      <c r="D1287">
        <v>2</v>
      </c>
      <c r="E1287" t="s">
        <v>2468</v>
      </c>
    </row>
    <row r="1288" spans="1:5" x14ac:dyDescent="0.3">
      <c r="A1288" t="s">
        <v>970</v>
      </c>
      <c r="B1288" t="s">
        <v>2469</v>
      </c>
      <c r="C1288">
        <v>668</v>
      </c>
      <c r="D1288">
        <v>3</v>
      </c>
      <c r="E1288" t="s">
        <v>2474</v>
      </c>
    </row>
    <row r="1289" spans="1:5" x14ac:dyDescent="0.3">
      <c r="A1289" t="s">
        <v>969</v>
      </c>
      <c r="B1289" t="s">
        <v>2469</v>
      </c>
      <c r="C1289">
        <v>346</v>
      </c>
      <c r="D1289">
        <v>5</v>
      </c>
      <c r="E1289" t="s">
        <v>2472</v>
      </c>
    </row>
    <row r="1290" spans="1:5" x14ac:dyDescent="0.3">
      <c r="A1290" t="s">
        <v>968</v>
      </c>
      <c r="B1290" t="s">
        <v>2469</v>
      </c>
      <c r="C1290">
        <v>75</v>
      </c>
      <c r="D1290">
        <v>1</v>
      </c>
      <c r="E1290" t="s">
        <v>2472</v>
      </c>
    </row>
    <row r="1291" spans="1:5" x14ac:dyDescent="0.3">
      <c r="A1291" t="s">
        <v>967</v>
      </c>
      <c r="B1291" t="s">
        <v>2471</v>
      </c>
      <c r="C1291">
        <v>18</v>
      </c>
      <c r="D1291">
        <v>0</v>
      </c>
      <c r="E1291" t="s">
        <v>2470</v>
      </c>
    </row>
    <row r="1292" spans="1:5" x14ac:dyDescent="0.3">
      <c r="A1292" t="s">
        <v>966</v>
      </c>
      <c r="B1292" t="s">
        <v>2469</v>
      </c>
      <c r="C1292">
        <v>632</v>
      </c>
      <c r="D1292">
        <v>6</v>
      </c>
      <c r="E1292" t="s">
        <v>2472</v>
      </c>
    </row>
    <row r="1293" spans="1:5" x14ac:dyDescent="0.3">
      <c r="A1293" t="s">
        <v>965</v>
      </c>
      <c r="B1293" t="s">
        <v>2473</v>
      </c>
      <c r="C1293">
        <v>137</v>
      </c>
      <c r="D1293">
        <v>28</v>
      </c>
      <c r="E1293" t="s">
        <v>2476</v>
      </c>
    </row>
    <row r="1294" spans="1:5" x14ac:dyDescent="0.3">
      <c r="A1294" t="s">
        <v>964</v>
      </c>
      <c r="B1294" t="s">
        <v>2469</v>
      </c>
      <c r="C1294">
        <v>381</v>
      </c>
      <c r="D1294">
        <v>5</v>
      </c>
      <c r="E1294" t="s">
        <v>2474</v>
      </c>
    </row>
    <row r="1295" spans="1:5" x14ac:dyDescent="0.3">
      <c r="A1295" t="s">
        <v>963</v>
      </c>
      <c r="B1295" t="s">
        <v>2471</v>
      </c>
      <c r="C1295">
        <v>8</v>
      </c>
      <c r="D1295">
        <v>0</v>
      </c>
      <c r="E1295" t="s">
        <v>2470</v>
      </c>
    </row>
    <row r="1296" spans="1:5" x14ac:dyDescent="0.3">
      <c r="A1296" t="s">
        <v>962</v>
      </c>
      <c r="B1296" t="s">
        <v>2469</v>
      </c>
      <c r="C1296">
        <v>701</v>
      </c>
      <c r="D1296">
        <v>18</v>
      </c>
      <c r="E1296" t="s">
        <v>2476</v>
      </c>
    </row>
    <row r="1297" spans="1:5" x14ac:dyDescent="0.3">
      <c r="A1297" t="s">
        <v>961</v>
      </c>
      <c r="B1297" t="s">
        <v>2473</v>
      </c>
      <c r="C1297">
        <v>68</v>
      </c>
      <c r="D1297">
        <v>4</v>
      </c>
      <c r="E1297" t="s">
        <v>2468</v>
      </c>
    </row>
    <row r="1298" spans="1:5" x14ac:dyDescent="0.3">
      <c r="A1298" t="s">
        <v>960</v>
      </c>
      <c r="B1298" t="s">
        <v>2469</v>
      </c>
      <c r="C1298">
        <v>359</v>
      </c>
      <c r="D1298">
        <v>12</v>
      </c>
      <c r="E1298" t="s">
        <v>2468</v>
      </c>
    </row>
    <row r="1299" spans="1:5" x14ac:dyDescent="0.3">
      <c r="A1299" t="s">
        <v>959</v>
      </c>
      <c r="B1299" t="s">
        <v>2471</v>
      </c>
      <c r="C1299">
        <v>4</v>
      </c>
      <c r="D1299">
        <v>0</v>
      </c>
      <c r="E1299" t="s">
        <v>2470</v>
      </c>
    </row>
    <row r="1300" spans="1:5" x14ac:dyDescent="0.3">
      <c r="A1300" t="s">
        <v>958</v>
      </c>
      <c r="B1300" t="s">
        <v>2469</v>
      </c>
      <c r="C1300">
        <v>145</v>
      </c>
      <c r="D1300">
        <v>6</v>
      </c>
      <c r="E1300" t="s">
        <v>2476</v>
      </c>
    </row>
    <row r="1301" spans="1:5" x14ac:dyDescent="0.3">
      <c r="A1301" t="s">
        <v>957</v>
      </c>
      <c r="B1301" t="s">
        <v>2471</v>
      </c>
      <c r="C1301">
        <v>24</v>
      </c>
      <c r="D1301">
        <v>0</v>
      </c>
      <c r="E1301" t="s">
        <v>2470</v>
      </c>
    </row>
    <row r="1302" spans="1:5" x14ac:dyDescent="0.3">
      <c r="A1302" t="s">
        <v>956</v>
      </c>
      <c r="B1302" t="s">
        <v>2469</v>
      </c>
      <c r="C1302">
        <v>750</v>
      </c>
      <c r="D1302">
        <v>13</v>
      </c>
      <c r="E1302" t="s">
        <v>2475</v>
      </c>
    </row>
    <row r="1303" spans="1:5" x14ac:dyDescent="0.3">
      <c r="A1303" t="s">
        <v>955</v>
      </c>
      <c r="B1303" t="s">
        <v>2471</v>
      </c>
      <c r="C1303">
        <v>19</v>
      </c>
      <c r="D1303">
        <v>0</v>
      </c>
      <c r="E1303" t="s">
        <v>2470</v>
      </c>
    </row>
    <row r="1304" spans="1:5" x14ac:dyDescent="0.3">
      <c r="A1304" t="s">
        <v>954</v>
      </c>
      <c r="B1304" t="s">
        <v>2469</v>
      </c>
      <c r="C1304">
        <v>169</v>
      </c>
      <c r="D1304">
        <v>2</v>
      </c>
      <c r="E1304" t="s">
        <v>2468</v>
      </c>
    </row>
    <row r="1305" spans="1:5" x14ac:dyDescent="0.3">
      <c r="A1305" t="s">
        <v>953</v>
      </c>
      <c r="B1305" t="s">
        <v>2473</v>
      </c>
      <c r="C1305">
        <v>19</v>
      </c>
      <c r="D1305">
        <v>1</v>
      </c>
      <c r="E1305" t="s">
        <v>2472</v>
      </c>
    </row>
    <row r="1306" spans="1:5" x14ac:dyDescent="0.3">
      <c r="A1306" t="s">
        <v>952</v>
      </c>
      <c r="B1306" t="s">
        <v>2469</v>
      </c>
      <c r="C1306">
        <v>507</v>
      </c>
      <c r="D1306">
        <v>7</v>
      </c>
      <c r="E1306" t="s">
        <v>2474</v>
      </c>
    </row>
    <row r="1307" spans="1:5" x14ac:dyDescent="0.3">
      <c r="A1307" t="s">
        <v>951</v>
      </c>
      <c r="B1307" t="s">
        <v>2471</v>
      </c>
      <c r="C1307">
        <v>8</v>
      </c>
      <c r="D1307">
        <v>0</v>
      </c>
      <c r="E1307" t="s">
        <v>2470</v>
      </c>
    </row>
    <row r="1308" spans="1:5" x14ac:dyDescent="0.3">
      <c r="A1308" t="s">
        <v>950</v>
      </c>
      <c r="B1308" t="s">
        <v>2471</v>
      </c>
      <c r="C1308">
        <v>7</v>
      </c>
      <c r="D1308">
        <v>0</v>
      </c>
      <c r="E1308" t="s">
        <v>2470</v>
      </c>
    </row>
    <row r="1309" spans="1:5" x14ac:dyDescent="0.3">
      <c r="A1309" t="s">
        <v>949</v>
      </c>
      <c r="B1309" t="s">
        <v>2469</v>
      </c>
      <c r="C1309">
        <v>665</v>
      </c>
      <c r="D1309">
        <v>15</v>
      </c>
      <c r="E1309" t="s">
        <v>2475</v>
      </c>
    </row>
    <row r="1310" spans="1:5" x14ac:dyDescent="0.3">
      <c r="A1310" t="s">
        <v>948</v>
      </c>
      <c r="B1310" t="s">
        <v>2469</v>
      </c>
      <c r="C1310">
        <v>275</v>
      </c>
      <c r="D1310">
        <v>4</v>
      </c>
      <c r="E1310" t="s">
        <v>2468</v>
      </c>
    </row>
    <row r="1311" spans="1:5" x14ac:dyDescent="0.3">
      <c r="A1311" t="s">
        <v>947</v>
      </c>
      <c r="B1311" t="s">
        <v>2469</v>
      </c>
      <c r="C1311">
        <v>21</v>
      </c>
      <c r="D1311">
        <v>1</v>
      </c>
      <c r="E1311" t="s">
        <v>2472</v>
      </c>
    </row>
    <row r="1312" spans="1:5" x14ac:dyDescent="0.3">
      <c r="A1312" t="s">
        <v>946</v>
      </c>
      <c r="B1312" t="s">
        <v>2469</v>
      </c>
      <c r="C1312">
        <v>244</v>
      </c>
      <c r="D1312">
        <v>5</v>
      </c>
      <c r="E1312" t="s">
        <v>2476</v>
      </c>
    </row>
    <row r="1313" spans="1:5" x14ac:dyDescent="0.3">
      <c r="A1313" t="s">
        <v>945</v>
      </c>
      <c r="B1313" t="s">
        <v>2471</v>
      </c>
      <c r="C1313">
        <v>20</v>
      </c>
      <c r="D1313">
        <v>0</v>
      </c>
      <c r="E1313" t="s">
        <v>2470</v>
      </c>
    </row>
    <row r="1314" spans="1:5" x14ac:dyDescent="0.3">
      <c r="A1314" t="s">
        <v>944</v>
      </c>
      <c r="B1314" t="s">
        <v>2471</v>
      </c>
      <c r="C1314">
        <v>5</v>
      </c>
      <c r="D1314">
        <v>0</v>
      </c>
      <c r="E1314" t="s">
        <v>2470</v>
      </c>
    </row>
    <row r="1315" spans="1:5" x14ac:dyDescent="0.3">
      <c r="A1315" t="s">
        <v>943</v>
      </c>
      <c r="B1315" t="s">
        <v>2469</v>
      </c>
      <c r="C1315">
        <v>165</v>
      </c>
      <c r="D1315">
        <v>4</v>
      </c>
      <c r="E1315" t="s">
        <v>2475</v>
      </c>
    </row>
    <row r="1316" spans="1:5" x14ac:dyDescent="0.3">
      <c r="A1316" t="s">
        <v>942</v>
      </c>
      <c r="B1316" t="s">
        <v>2469</v>
      </c>
      <c r="C1316">
        <v>93</v>
      </c>
      <c r="D1316">
        <v>2</v>
      </c>
      <c r="E1316" t="s">
        <v>2474</v>
      </c>
    </row>
    <row r="1317" spans="1:5" x14ac:dyDescent="0.3">
      <c r="A1317" t="s">
        <v>941</v>
      </c>
      <c r="B1317" t="s">
        <v>2471</v>
      </c>
      <c r="C1317">
        <v>19</v>
      </c>
      <c r="D1317">
        <v>0</v>
      </c>
      <c r="E1317" t="s">
        <v>2470</v>
      </c>
    </row>
    <row r="1318" spans="1:5" x14ac:dyDescent="0.3">
      <c r="A1318" t="s">
        <v>940</v>
      </c>
      <c r="B1318" t="s">
        <v>2469</v>
      </c>
      <c r="C1318">
        <v>169</v>
      </c>
      <c r="D1318">
        <v>1</v>
      </c>
      <c r="E1318" t="s">
        <v>2475</v>
      </c>
    </row>
    <row r="1319" spans="1:5" x14ac:dyDescent="0.3">
      <c r="A1319" t="s">
        <v>939</v>
      </c>
      <c r="B1319" t="s">
        <v>2469</v>
      </c>
      <c r="C1319">
        <v>76</v>
      </c>
      <c r="D1319">
        <v>1</v>
      </c>
      <c r="E1319" t="s">
        <v>2476</v>
      </c>
    </row>
    <row r="1320" spans="1:5" x14ac:dyDescent="0.3">
      <c r="A1320" t="s">
        <v>938</v>
      </c>
      <c r="B1320" t="s">
        <v>2471</v>
      </c>
      <c r="C1320">
        <v>19</v>
      </c>
      <c r="D1320">
        <v>0</v>
      </c>
      <c r="E1320" t="s">
        <v>2470</v>
      </c>
    </row>
    <row r="1321" spans="1:5" x14ac:dyDescent="0.3">
      <c r="A1321" t="s">
        <v>937</v>
      </c>
      <c r="B1321" t="s">
        <v>2469</v>
      </c>
      <c r="C1321">
        <v>190</v>
      </c>
      <c r="D1321">
        <v>1</v>
      </c>
      <c r="E1321" t="s">
        <v>2475</v>
      </c>
    </row>
    <row r="1322" spans="1:5" x14ac:dyDescent="0.3">
      <c r="A1322" t="s">
        <v>936</v>
      </c>
      <c r="B1322" t="s">
        <v>2469</v>
      </c>
      <c r="C1322">
        <v>739</v>
      </c>
      <c r="D1322">
        <v>19</v>
      </c>
      <c r="E1322" t="s">
        <v>2474</v>
      </c>
    </row>
    <row r="1323" spans="1:5" x14ac:dyDescent="0.3">
      <c r="A1323" t="s">
        <v>935</v>
      </c>
      <c r="B1323" t="s">
        <v>2469</v>
      </c>
      <c r="C1323">
        <v>538</v>
      </c>
      <c r="D1323">
        <v>12</v>
      </c>
      <c r="E1323" t="s">
        <v>2474</v>
      </c>
    </row>
    <row r="1324" spans="1:5" x14ac:dyDescent="0.3">
      <c r="A1324" t="s">
        <v>934</v>
      </c>
      <c r="B1324" t="s">
        <v>2471</v>
      </c>
      <c r="C1324">
        <v>2</v>
      </c>
      <c r="D1324">
        <v>0</v>
      </c>
      <c r="E1324" t="s">
        <v>2470</v>
      </c>
    </row>
    <row r="1325" spans="1:5" x14ac:dyDescent="0.3">
      <c r="A1325" t="s">
        <v>933</v>
      </c>
      <c r="B1325" t="s">
        <v>2469</v>
      </c>
      <c r="C1325">
        <v>141</v>
      </c>
      <c r="D1325">
        <v>2</v>
      </c>
      <c r="E1325" t="s">
        <v>2475</v>
      </c>
    </row>
    <row r="1326" spans="1:5" x14ac:dyDescent="0.3">
      <c r="A1326" t="s">
        <v>932</v>
      </c>
      <c r="B1326" t="s">
        <v>2473</v>
      </c>
      <c r="C1326">
        <v>14</v>
      </c>
      <c r="D1326">
        <v>1</v>
      </c>
      <c r="E1326" t="s">
        <v>2475</v>
      </c>
    </row>
    <row r="1327" spans="1:5" x14ac:dyDescent="0.3">
      <c r="A1327" t="s">
        <v>931</v>
      </c>
      <c r="B1327" t="s">
        <v>2471</v>
      </c>
      <c r="C1327">
        <v>14</v>
      </c>
      <c r="D1327">
        <v>0</v>
      </c>
      <c r="E1327" t="s">
        <v>2470</v>
      </c>
    </row>
    <row r="1328" spans="1:5" x14ac:dyDescent="0.3">
      <c r="A1328" t="s">
        <v>930</v>
      </c>
      <c r="B1328" t="s">
        <v>2471</v>
      </c>
      <c r="C1328">
        <v>18</v>
      </c>
      <c r="D1328">
        <v>0</v>
      </c>
      <c r="E1328" t="s">
        <v>2470</v>
      </c>
    </row>
    <row r="1329" spans="1:5" x14ac:dyDescent="0.3">
      <c r="A1329" t="s">
        <v>929</v>
      </c>
      <c r="B1329" t="s">
        <v>2473</v>
      </c>
      <c r="C1329">
        <v>155</v>
      </c>
      <c r="D1329">
        <v>12</v>
      </c>
      <c r="E1329" t="s">
        <v>2468</v>
      </c>
    </row>
    <row r="1330" spans="1:5" x14ac:dyDescent="0.3">
      <c r="A1330" t="s">
        <v>928</v>
      </c>
      <c r="B1330" t="s">
        <v>2469</v>
      </c>
      <c r="C1330">
        <v>177</v>
      </c>
      <c r="D1330">
        <v>2</v>
      </c>
      <c r="E1330" t="s">
        <v>2476</v>
      </c>
    </row>
    <row r="1331" spans="1:5" x14ac:dyDescent="0.3">
      <c r="A1331" t="s">
        <v>927</v>
      </c>
      <c r="B1331" t="s">
        <v>2471</v>
      </c>
      <c r="C1331">
        <v>11</v>
      </c>
      <c r="D1331">
        <v>0</v>
      </c>
      <c r="E1331" t="s">
        <v>2470</v>
      </c>
    </row>
    <row r="1332" spans="1:5" x14ac:dyDescent="0.3">
      <c r="A1332" t="s">
        <v>926</v>
      </c>
      <c r="B1332" t="s">
        <v>2469</v>
      </c>
      <c r="C1332">
        <v>163</v>
      </c>
      <c r="D1332">
        <v>6</v>
      </c>
      <c r="E1332" t="s">
        <v>2476</v>
      </c>
    </row>
    <row r="1333" spans="1:5" x14ac:dyDescent="0.3">
      <c r="A1333" t="s">
        <v>925</v>
      </c>
      <c r="B1333" t="s">
        <v>2469</v>
      </c>
      <c r="C1333">
        <v>328</v>
      </c>
      <c r="D1333">
        <v>3</v>
      </c>
      <c r="E1333" t="s">
        <v>2475</v>
      </c>
    </row>
    <row r="1334" spans="1:5" x14ac:dyDescent="0.3">
      <c r="A1334" t="s">
        <v>924</v>
      </c>
      <c r="B1334" t="s">
        <v>2473</v>
      </c>
      <c r="C1334">
        <v>18</v>
      </c>
      <c r="D1334">
        <v>1</v>
      </c>
      <c r="E1334" t="s">
        <v>2468</v>
      </c>
    </row>
    <row r="1335" spans="1:5" x14ac:dyDescent="0.3">
      <c r="A1335" t="s">
        <v>923</v>
      </c>
      <c r="B1335" t="s">
        <v>2469</v>
      </c>
      <c r="C1335">
        <v>76</v>
      </c>
      <c r="D1335">
        <v>1</v>
      </c>
      <c r="E1335" t="s">
        <v>2475</v>
      </c>
    </row>
    <row r="1336" spans="1:5" x14ac:dyDescent="0.3">
      <c r="A1336" t="s">
        <v>922</v>
      </c>
      <c r="B1336" t="s">
        <v>2469</v>
      </c>
      <c r="C1336">
        <v>162</v>
      </c>
      <c r="D1336">
        <v>2</v>
      </c>
      <c r="E1336" t="s">
        <v>2468</v>
      </c>
    </row>
    <row r="1337" spans="1:5" x14ac:dyDescent="0.3">
      <c r="A1337" t="s">
        <v>921</v>
      </c>
      <c r="B1337" t="s">
        <v>2469</v>
      </c>
      <c r="C1337">
        <v>165</v>
      </c>
      <c r="D1337">
        <v>2</v>
      </c>
      <c r="E1337" t="s">
        <v>2468</v>
      </c>
    </row>
    <row r="1338" spans="1:5" x14ac:dyDescent="0.3">
      <c r="A1338" t="s">
        <v>920</v>
      </c>
      <c r="B1338" t="s">
        <v>2469</v>
      </c>
      <c r="C1338">
        <v>486</v>
      </c>
      <c r="D1338">
        <v>14</v>
      </c>
      <c r="E1338" t="s">
        <v>2475</v>
      </c>
    </row>
    <row r="1339" spans="1:5" x14ac:dyDescent="0.3">
      <c r="A1339" t="s">
        <v>919</v>
      </c>
      <c r="B1339" t="s">
        <v>2469</v>
      </c>
      <c r="C1339">
        <v>103</v>
      </c>
      <c r="D1339">
        <v>5</v>
      </c>
      <c r="E1339" t="s">
        <v>2476</v>
      </c>
    </row>
    <row r="1340" spans="1:5" x14ac:dyDescent="0.3">
      <c r="A1340" t="s">
        <v>918</v>
      </c>
      <c r="B1340" t="s">
        <v>2469</v>
      </c>
      <c r="C1340">
        <v>259</v>
      </c>
      <c r="D1340">
        <v>10</v>
      </c>
      <c r="E1340" t="s">
        <v>2476</v>
      </c>
    </row>
    <row r="1341" spans="1:5" x14ac:dyDescent="0.3">
      <c r="A1341" t="s">
        <v>917</v>
      </c>
      <c r="B1341" t="s">
        <v>2473</v>
      </c>
      <c r="C1341">
        <v>70</v>
      </c>
      <c r="D1341">
        <v>4</v>
      </c>
      <c r="E1341" t="s">
        <v>2468</v>
      </c>
    </row>
    <row r="1342" spans="1:5" x14ac:dyDescent="0.3">
      <c r="A1342" t="s">
        <v>916</v>
      </c>
      <c r="B1342" t="s">
        <v>2469</v>
      </c>
      <c r="C1342">
        <v>101</v>
      </c>
      <c r="D1342">
        <v>2</v>
      </c>
      <c r="E1342" t="s">
        <v>2476</v>
      </c>
    </row>
    <row r="1343" spans="1:5" x14ac:dyDescent="0.3">
      <c r="A1343" t="s">
        <v>915</v>
      </c>
      <c r="B1343" t="s">
        <v>2473</v>
      </c>
      <c r="C1343">
        <v>55</v>
      </c>
      <c r="D1343">
        <v>3</v>
      </c>
      <c r="E1343" t="s">
        <v>2474</v>
      </c>
    </row>
    <row r="1344" spans="1:5" x14ac:dyDescent="0.3">
      <c r="A1344" t="s">
        <v>914</v>
      </c>
      <c r="B1344" t="s">
        <v>2471</v>
      </c>
      <c r="C1344">
        <v>2</v>
      </c>
      <c r="D1344">
        <v>0</v>
      </c>
      <c r="E1344" t="s">
        <v>2470</v>
      </c>
    </row>
    <row r="1345" spans="1:5" x14ac:dyDescent="0.3">
      <c r="A1345" t="s">
        <v>913</v>
      </c>
      <c r="B1345" t="s">
        <v>2473</v>
      </c>
      <c r="C1345">
        <v>633</v>
      </c>
      <c r="D1345">
        <v>38</v>
      </c>
      <c r="E1345" t="s">
        <v>2468</v>
      </c>
    </row>
    <row r="1346" spans="1:5" x14ac:dyDescent="0.3">
      <c r="A1346" t="s">
        <v>912</v>
      </c>
      <c r="B1346" t="s">
        <v>2471</v>
      </c>
      <c r="C1346">
        <v>9</v>
      </c>
      <c r="D1346">
        <v>0</v>
      </c>
      <c r="E1346" t="s">
        <v>2470</v>
      </c>
    </row>
    <row r="1347" spans="1:5" x14ac:dyDescent="0.3">
      <c r="A1347" t="s">
        <v>911</v>
      </c>
      <c r="B1347" t="s">
        <v>2471</v>
      </c>
      <c r="C1347">
        <v>151</v>
      </c>
      <c r="D1347">
        <v>0</v>
      </c>
      <c r="E1347" t="s">
        <v>2470</v>
      </c>
    </row>
    <row r="1348" spans="1:5" x14ac:dyDescent="0.3">
      <c r="A1348" t="s">
        <v>910</v>
      </c>
      <c r="B1348" t="s">
        <v>2471</v>
      </c>
      <c r="C1348">
        <v>24</v>
      </c>
      <c r="D1348">
        <v>0</v>
      </c>
      <c r="E1348" t="s">
        <v>2470</v>
      </c>
    </row>
    <row r="1349" spans="1:5" x14ac:dyDescent="0.3">
      <c r="A1349" t="s">
        <v>909</v>
      </c>
      <c r="B1349" t="s">
        <v>2469</v>
      </c>
      <c r="C1349">
        <v>105</v>
      </c>
      <c r="D1349">
        <v>2</v>
      </c>
      <c r="E1349" t="s">
        <v>2474</v>
      </c>
    </row>
    <row r="1350" spans="1:5" x14ac:dyDescent="0.3">
      <c r="A1350" t="s">
        <v>908</v>
      </c>
      <c r="B1350" t="s">
        <v>2469</v>
      </c>
      <c r="C1350">
        <v>190</v>
      </c>
      <c r="D1350">
        <v>8</v>
      </c>
      <c r="E1350" t="s">
        <v>2468</v>
      </c>
    </row>
    <row r="1351" spans="1:5" x14ac:dyDescent="0.3">
      <c r="A1351" t="s">
        <v>907</v>
      </c>
      <c r="B1351" t="s">
        <v>2471</v>
      </c>
      <c r="C1351">
        <v>20</v>
      </c>
      <c r="D1351">
        <v>0</v>
      </c>
      <c r="E1351" t="s">
        <v>2470</v>
      </c>
    </row>
    <row r="1352" spans="1:5" x14ac:dyDescent="0.3">
      <c r="A1352" t="s">
        <v>906</v>
      </c>
      <c r="B1352" t="s">
        <v>2471</v>
      </c>
      <c r="C1352">
        <v>2</v>
      </c>
      <c r="D1352">
        <v>0</v>
      </c>
      <c r="E1352" t="s">
        <v>2470</v>
      </c>
    </row>
    <row r="1353" spans="1:5" x14ac:dyDescent="0.3">
      <c r="A1353" t="s">
        <v>905</v>
      </c>
      <c r="B1353" t="s">
        <v>2469</v>
      </c>
      <c r="C1353">
        <v>252</v>
      </c>
      <c r="D1353">
        <v>1</v>
      </c>
      <c r="E1353" t="s">
        <v>2474</v>
      </c>
    </row>
    <row r="1354" spans="1:5" x14ac:dyDescent="0.3">
      <c r="A1354" t="s">
        <v>904</v>
      </c>
      <c r="B1354" t="s">
        <v>2473</v>
      </c>
      <c r="C1354">
        <v>376</v>
      </c>
      <c r="D1354">
        <v>23</v>
      </c>
      <c r="E1354" t="s">
        <v>2472</v>
      </c>
    </row>
    <row r="1355" spans="1:5" x14ac:dyDescent="0.3">
      <c r="A1355" t="s">
        <v>903</v>
      </c>
      <c r="B1355" t="s">
        <v>2471</v>
      </c>
      <c r="C1355">
        <v>32</v>
      </c>
      <c r="D1355">
        <v>0</v>
      </c>
      <c r="E1355" t="s">
        <v>2470</v>
      </c>
    </row>
    <row r="1356" spans="1:5" x14ac:dyDescent="0.3">
      <c r="A1356" t="s">
        <v>902</v>
      </c>
      <c r="B1356" t="s">
        <v>2469</v>
      </c>
      <c r="C1356">
        <v>693</v>
      </c>
      <c r="D1356">
        <v>10</v>
      </c>
      <c r="E1356" t="s">
        <v>2468</v>
      </c>
    </row>
    <row r="1357" spans="1:5" x14ac:dyDescent="0.3">
      <c r="A1357" t="s">
        <v>901</v>
      </c>
      <c r="B1357" t="s">
        <v>2471</v>
      </c>
      <c r="C1357">
        <v>58</v>
      </c>
      <c r="D1357">
        <v>0</v>
      </c>
      <c r="E1357" t="s">
        <v>2470</v>
      </c>
    </row>
    <row r="1358" spans="1:5" x14ac:dyDescent="0.3">
      <c r="A1358" t="s">
        <v>900</v>
      </c>
      <c r="B1358" t="s">
        <v>2469</v>
      </c>
      <c r="C1358">
        <v>617</v>
      </c>
      <c r="D1358">
        <v>11</v>
      </c>
      <c r="E1358" t="s">
        <v>2475</v>
      </c>
    </row>
    <row r="1359" spans="1:5" x14ac:dyDescent="0.3">
      <c r="A1359" t="s">
        <v>899</v>
      </c>
      <c r="B1359" t="s">
        <v>2469</v>
      </c>
      <c r="C1359">
        <v>81</v>
      </c>
      <c r="D1359">
        <v>4</v>
      </c>
      <c r="E1359" t="s">
        <v>2476</v>
      </c>
    </row>
    <row r="1360" spans="1:5" x14ac:dyDescent="0.3">
      <c r="A1360" t="s">
        <v>898</v>
      </c>
      <c r="B1360" t="s">
        <v>2469</v>
      </c>
      <c r="C1360">
        <v>20</v>
      </c>
      <c r="D1360">
        <v>1</v>
      </c>
      <c r="E1360" t="s">
        <v>2472</v>
      </c>
    </row>
    <row r="1361" spans="1:5" x14ac:dyDescent="0.3">
      <c r="A1361" t="s">
        <v>897</v>
      </c>
      <c r="B1361" t="s">
        <v>2471</v>
      </c>
      <c r="C1361">
        <v>20</v>
      </c>
      <c r="D1361">
        <v>0</v>
      </c>
      <c r="E1361" t="s">
        <v>2470</v>
      </c>
    </row>
    <row r="1362" spans="1:5" x14ac:dyDescent="0.3">
      <c r="A1362" t="s">
        <v>896</v>
      </c>
      <c r="B1362" t="s">
        <v>2469</v>
      </c>
      <c r="C1362">
        <v>585</v>
      </c>
      <c r="D1362">
        <v>29</v>
      </c>
      <c r="E1362" t="s">
        <v>2475</v>
      </c>
    </row>
    <row r="1363" spans="1:5" x14ac:dyDescent="0.3">
      <c r="A1363" t="s">
        <v>895</v>
      </c>
      <c r="B1363" t="s">
        <v>2473</v>
      </c>
      <c r="C1363">
        <v>37</v>
      </c>
      <c r="D1363">
        <v>2</v>
      </c>
      <c r="E1363" t="s">
        <v>2474</v>
      </c>
    </row>
    <row r="1364" spans="1:5" x14ac:dyDescent="0.3">
      <c r="A1364" t="s">
        <v>894</v>
      </c>
      <c r="B1364" t="s">
        <v>2469</v>
      </c>
      <c r="C1364">
        <v>22</v>
      </c>
      <c r="D1364">
        <v>1</v>
      </c>
      <c r="E1364" t="s">
        <v>2476</v>
      </c>
    </row>
    <row r="1365" spans="1:5" x14ac:dyDescent="0.3">
      <c r="A1365" t="s">
        <v>893</v>
      </c>
      <c r="B1365" t="s">
        <v>2469</v>
      </c>
      <c r="C1365">
        <v>412</v>
      </c>
      <c r="D1365">
        <v>13</v>
      </c>
      <c r="E1365" t="s">
        <v>2476</v>
      </c>
    </row>
    <row r="1366" spans="1:5" x14ac:dyDescent="0.3">
      <c r="A1366" t="s">
        <v>892</v>
      </c>
      <c r="B1366" t="s">
        <v>2469</v>
      </c>
      <c r="C1366">
        <v>126</v>
      </c>
      <c r="D1366">
        <v>3</v>
      </c>
      <c r="E1366" t="s">
        <v>2476</v>
      </c>
    </row>
    <row r="1367" spans="1:5" x14ac:dyDescent="0.3">
      <c r="A1367" t="s">
        <v>891</v>
      </c>
      <c r="B1367" t="s">
        <v>2469</v>
      </c>
      <c r="C1367">
        <v>186</v>
      </c>
      <c r="D1367">
        <v>1</v>
      </c>
      <c r="E1367" t="s">
        <v>2475</v>
      </c>
    </row>
    <row r="1368" spans="1:5" x14ac:dyDescent="0.3">
      <c r="A1368" t="s">
        <v>890</v>
      </c>
      <c r="B1368" t="s">
        <v>2471</v>
      </c>
      <c r="C1368">
        <v>17</v>
      </c>
      <c r="D1368">
        <v>0</v>
      </c>
      <c r="E1368" t="s">
        <v>2470</v>
      </c>
    </row>
    <row r="1369" spans="1:5" x14ac:dyDescent="0.3">
      <c r="A1369" t="s">
        <v>889</v>
      </c>
      <c r="B1369" t="s">
        <v>2471</v>
      </c>
      <c r="C1369">
        <v>37</v>
      </c>
      <c r="D1369">
        <v>0</v>
      </c>
      <c r="E1369" t="s">
        <v>2470</v>
      </c>
    </row>
    <row r="1370" spans="1:5" x14ac:dyDescent="0.3">
      <c r="A1370" t="s">
        <v>888</v>
      </c>
      <c r="B1370" t="s">
        <v>2469</v>
      </c>
      <c r="C1370">
        <v>84</v>
      </c>
      <c r="D1370">
        <v>2</v>
      </c>
      <c r="E1370" t="s">
        <v>2474</v>
      </c>
    </row>
    <row r="1371" spans="1:5" x14ac:dyDescent="0.3">
      <c r="A1371" t="s">
        <v>887</v>
      </c>
      <c r="B1371" t="s">
        <v>2471</v>
      </c>
      <c r="C1371">
        <v>23</v>
      </c>
      <c r="D1371">
        <v>0</v>
      </c>
      <c r="E1371" t="s">
        <v>2470</v>
      </c>
    </row>
    <row r="1372" spans="1:5" x14ac:dyDescent="0.3">
      <c r="A1372" t="s">
        <v>886</v>
      </c>
      <c r="B1372" t="s">
        <v>2469</v>
      </c>
      <c r="C1372">
        <v>122</v>
      </c>
      <c r="D1372">
        <v>5</v>
      </c>
      <c r="E1372" t="s">
        <v>2476</v>
      </c>
    </row>
    <row r="1373" spans="1:5" x14ac:dyDescent="0.3">
      <c r="A1373" t="s">
        <v>885</v>
      </c>
      <c r="B1373" t="s">
        <v>2469</v>
      </c>
      <c r="C1373">
        <v>61</v>
      </c>
      <c r="D1373">
        <v>1</v>
      </c>
      <c r="E1373" t="s">
        <v>2468</v>
      </c>
    </row>
    <row r="1374" spans="1:5" x14ac:dyDescent="0.3">
      <c r="A1374" t="s">
        <v>884</v>
      </c>
      <c r="B1374" t="s">
        <v>2471</v>
      </c>
      <c r="C1374">
        <v>2</v>
      </c>
      <c r="D1374">
        <v>0</v>
      </c>
      <c r="E1374" t="s">
        <v>2470</v>
      </c>
    </row>
    <row r="1375" spans="1:5" x14ac:dyDescent="0.3">
      <c r="A1375" t="s">
        <v>883</v>
      </c>
      <c r="B1375" t="s">
        <v>2471</v>
      </c>
      <c r="C1375">
        <v>17</v>
      </c>
      <c r="D1375">
        <v>0</v>
      </c>
      <c r="E1375" t="s">
        <v>2470</v>
      </c>
    </row>
    <row r="1376" spans="1:5" x14ac:dyDescent="0.3">
      <c r="A1376" t="s">
        <v>882</v>
      </c>
      <c r="B1376" t="s">
        <v>2471</v>
      </c>
      <c r="C1376">
        <v>12</v>
      </c>
      <c r="D1376">
        <v>0</v>
      </c>
      <c r="E1376" t="s">
        <v>2470</v>
      </c>
    </row>
    <row r="1377" spans="1:5" x14ac:dyDescent="0.3">
      <c r="A1377" t="s">
        <v>881</v>
      </c>
      <c r="B1377" t="s">
        <v>2469</v>
      </c>
      <c r="C1377">
        <v>479</v>
      </c>
      <c r="D1377">
        <v>5</v>
      </c>
      <c r="E1377" t="s">
        <v>2475</v>
      </c>
    </row>
    <row r="1378" spans="1:5" x14ac:dyDescent="0.3">
      <c r="A1378" t="s">
        <v>880</v>
      </c>
      <c r="B1378" t="s">
        <v>2473</v>
      </c>
      <c r="C1378">
        <v>72</v>
      </c>
      <c r="D1378">
        <v>5</v>
      </c>
      <c r="E1378" t="s">
        <v>2475</v>
      </c>
    </row>
    <row r="1379" spans="1:5" x14ac:dyDescent="0.3">
      <c r="A1379" t="s">
        <v>879</v>
      </c>
      <c r="B1379" t="s">
        <v>2469</v>
      </c>
      <c r="C1379">
        <v>652</v>
      </c>
      <c r="D1379">
        <v>23</v>
      </c>
      <c r="E1379" t="s">
        <v>2468</v>
      </c>
    </row>
    <row r="1380" spans="1:5" x14ac:dyDescent="0.3">
      <c r="A1380" t="s">
        <v>878</v>
      </c>
      <c r="B1380" t="s">
        <v>2469</v>
      </c>
      <c r="C1380">
        <v>356</v>
      </c>
      <c r="D1380">
        <v>3</v>
      </c>
      <c r="E1380" t="s">
        <v>2472</v>
      </c>
    </row>
    <row r="1381" spans="1:5" x14ac:dyDescent="0.3">
      <c r="A1381" t="s">
        <v>877</v>
      </c>
      <c r="B1381" t="s">
        <v>2473</v>
      </c>
      <c r="C1381">
        <v>166</v>
      </c>
      <c r="D1381">
        <v>16</v>
      </c>
      <c r="E1381" t="s">
        <v>2472</v>
      </c>
    </row>
    <row r="1382" spans="1:5" x14ac:dyDescent="0.3">
      <c r="A1382" t="s">
        <v>876</v>
      </c>
      <c r="B1382" t="s">
        <v>2471</v>
      </c>
      <c r="C1382">
        <v>5</v>
      </c>
      <c r="D1382">
        <v>0</v>
      </c>
      <c r="E1382" t="s">
        <v>2470</v>
      </c>
    </row>
    <row r="1383" spans="1:5" x14ac:dyDescent="0.3">
      <c r="A1383" t="s">
        <v>875</v>
      </c>
      <c r="B1383" t="s">
        <v>2471</v>
      </c>
      <c r="C1383">
        <v>2</v>
      </c>
      <c r="D1383">
        <v>0</v>
      </c>
      <c r="E1383" t="s">
        <v>2470</v>
      </c>
    </row>
    <row r="1384" spans="1:5" x14ac:dyDescent="0.3">
      <c r="A1384" t="s">
        <v>874</v>
      </c>
      <c r="B1384" t="s">
        <v>2469</v>
      </c>
      <c r="C1384">
        <v>708</v>
      </c>
      <c r="D1384">
        <v>28</v>
      </c>
      <c r="E1384" t="s">
        <v>2474</v>
      </c>
    </row>
    <row r="1385" spans="1:5" x14ac:dyDescent="0.3">
      <c r="A1385" t="s">
        <v>873</v>
      </c>
      <c r="B1385" t="s">
        <v>2471</v>
      </c>
      <c r="C1385">
        <v>16</v>
      </c>
      <c r="D1385">
        <v>0</v>
      </c>
      <c r="E1385" t="s">
        <v>2470</v>
      </c>
    </row>
    <row r="1386" spans="1:5" x14ac:dyDescent="0.3">
      <c r="A1386" t="s">
        <v>872</v>
      </c>
      <c r="B1386" t="s">
        <v>2471</v>
      </c>
      <c r="C1386">
        <v>3</v>
      </c>
      <c r="D1386">
        <v>0</v>
      </c>
      <c r="E1386" t="s">
        <v>2470</v>
      </c>
    </row>
    <row r="1387" spans="1:5" x14ac:dyDescent="0.3">
      <c r="A1387" t="s">
        <v>871</v>
      </c>
      <c r="B1387" t="s">
        <v>2469</v>
      </c>
      <c r="C1387">
        <v>755</v>
      </c>
      <c r="D1387">
        <v>19</v>
      </c>
      <c r="E1387" t="s">
        <v>2475</v>
      </c>
    </row>
    <row r="1388" spans="1:5" x14ac:dyDescent="0.3">
      <c r="A1388" t="s">
        <v>870</v>
      </c>
      <c r="B1388" t="s">
        <v>2473</v>
      </c>
      <c r="C1388">
        <v>38</v>
      </c>
      <c r="D1388">
        <v>3</v>
      </c>
      <c r="E1388" t="s">
        <v>2468</v>
      </c>
    </row>
    <row r="1389" spans="1:5" x14ac:dyDescent="0.3">
      <c r="A1389" t="s">
        <v>869</v>
      </c>
      <c r="B1389" t="s">
        <v>2471</v>
      </c>
      <c r="C1389">
        <v>12</v>
      </c>
      <c r="D1389">
        <v>0</v>
      </c>
      <c r="E1389" t="s">
        <v>2470</v>
      </c>
    </row>
    <row r="1390" spans="1:5" x14ac:dyDescent="0.3">
      <c r="A1390" t="s">
        <v>868</v>
      </c>
      <c r="B1390" t="s">
        <v>2471</v>
      </c>
      <c r="C1390">
        <v>15</v>
      </c>
      <c r="D1390">
        <v>0</v>
      </c>
      <c r="E1390" t="s">
        <v>2470</v>
      </c>
    </row>
    <row r="1391" spans="1:5" x14ac:dyDescent="0.3">
      <c r="A1391" t="s">
        <v>867</v>
      </c>
      <c r="B1391" t="s">
        <v>2471</v>
      </c>
      <c r="C1391">
        <v>19</v>
      </c>
      <c r="D1391">
        <v>0</v>
      </c>
      <c r="E1391" t="s">
        <v>2470</v>
      </c>
    </row>
    <row r="1392" spans="1:5" x14ac:dyDescent="0.3">
      <c r="A1392" t="s">
        <v>866</v>
      </c>
      <c r="B1392" t="s">
        <v>2471</v>
      </c>
      <c r="C1392">
        <v>8</v>
      </c>
      <c r="D1392">
        <v>0</v>
      </c>
      <c r="E1392" t="s">
        <v>2470</v>
      </c>
    </row>
    <row r="1393" spans="1:5" x14ac:dyDescent="0.3">
      <c r="A1393" t="s">
        <v>865</v>
      </c>
      <c r="B1393" t="s">
        <v>2469</v>
      </c>
      <c r="C1393">
        <v>193</v>
      </c>
      <c r="D1393">
        <v>4</v>
      </c>
      <c r="E1393" t="s">
        <v>2468</v>
      </c>
    </row>
    <row r="1394" spans="1:5" x14ac:dyDescent="0.3">
      <c r="A1394" t="s">
        <v>864</v>
      </c>
      <c r="B1394" t="s">
        <v>2469</v>
      </c>
      <c r="C1394">
        <v>761</v>
      </c>
      <c r="D1394">
        <v>30</v>
      </c>
      <c r="E1394" t="s">
        <v>2474</v>
      </c>
    </row>
    <row r="1395" spans="1:5" x14ac:dyDescent="0.3">
      <c r="A1395" t="s">
        <v>863</v>
      </c>
      <c r="B1395" t="s">
        <v>2469</v>
      </c>
      <c r="C1395">
        <v>471</v>
      </c>
      <c r="D1395">
        <v>11</v>
      </c>
      <c r="E1395" t="s">
        <v>2475</v>
      </c>
    </row>
    <row r="1396" spans="1:5" x14ac:dyDescent="0.3">
      <c r="A1396" t="s">
        <v>862</v>
      </c>
      <c r="B1396" t="s">
        <v>2469</v>
      </c>
      <c r="C1396">
        <v>118</v>
      </c>
      <c r="D1396">
        <v>2</v>
      </c>
      <c r="E1396" t="s">
        <v>2468</v>
      </c>
    </row>
    <row r="1397" spans="1:5" x14ac:dyDescent="0.3">
      <c r="A1397" t="s">
        <v>861</v>
      </c>
      <c r="B1397" t="s">
        <v>2469</v>
      </c>
      <c r="C1397">
        <v>293</v>
      </c>
      <c r="D1397">
        <v>6</v>
      </c>
      <c r="E1397" t="s">
        <v>2476</v>
      </c>
    </row>
    <row r="1398" spans="1:5" x14ac:dyDescent="0.3">
      <c r="A1398" t="s">
        <v>860</v>
      </c>
      <c r="B1398" t="s">
        <v>2471</v>
      </c>
      <c r="C1398">
        <v>25</v>
      </c>
      <c r="D1398">
        <v>0</v>
      </c>
      <c r="E1398" t="s">
        <v>2470</v>
      </c>
    </row>
    <row r="1399" spans="1:5" x14ac:dyDescent="0.3">
      <c r="A1399" t="s">
        <v>859</v>
      </c>
      <c r="B1399" t="s">
        <v>2471</v>
      </c>
      <c r="C1399">
        <v>11</v>
      </c>
      <c r="D1399">
        <v>0</v>
      </c>
      <c r="E1399" t="s">
        <v>2470</v>
      </c>
    </row>
    <row r="1400" spans="1:5" x14ac:dyDescent="0.3">
      <c r="A1400" t="s">
        <v>858</v>
      </c>
      <c r="B1400" t="s">
        <v>2473</v>
      </c>
      <c r="C1400">
        <v>276</v>
      </c>
      <c r="D1400">
        <v>19</v>
      </c>
      <c r="E1400" t="s">
        <v>2468</v>
      </c>
    </row>
    <row r="1401" spans="1:5" x14ac:dyDescent="0.3">
      <c r="A1401" t="s">
        <v>857</v>
      </c>
      <c r="B1401" t="s">
        <v>2469</v>
      </c>
      <c r="C1401">
        <v>188</v>
      </c>
      <c r="D1401">
        <v>8</v>
      </c>
      <c r="E1401" t="s">
        <v>2468</v>
      </c>
    </row>
    <row r="1402" spans="1:5" x14ac:dyDescent="0.3">
      <c r="A1402" t="s">
        <v>856</v>
      </c>
      <c r="B1402" t="s">
        <v>2471</v>
      </c>
      <c r="C1402">
        <v>13</v>
      </c>
      <c r="D1402">
        <v>0</v>
      </c>
      <c r="E1402" t="s">
        <v>2470</v>
      </c>
    </row>
    <row r="1403" spans="1:5" x14ac:dyDescent="0.3">
      <c r="A1403" t="s">
        <v>855</v>
      </c>
      <c r="B1403" t="s">
        <v>2471</v>
      </c>
      <c r="C1403">
        <v>24</v>
      </c>
      <c r="D1403">
        <v>0</v>
      </c>
      <c r="E1403" t="s">
        <v>2470</v>
      </c>
    </row>
    <row r="1404" spans="1:5" x14ac:dyDescent="0.3">
      <c r="A1404" t="s">
        <v>854</v>
      </c>
      <c r="B1404" t="s">
        <v>2469</v>
      </c>
      <c r="C1404">
        <v>166</v>
      </c>
      <c r="D1404">
        <v>5</v>
      </c>
      <c r="E1404" t="s">
        <v>2474</v>
      </c>
    </row>
    <row r="1405" spans="1:5" x14ac:dyDescent="0.3">
      <c r="A1405" t="s">
        <v>853</v>
      </c>
      <c r="B1405" t="s">
        <v>2473</v>
      </c>
      <c r="C1405">
        <v>309</v>
      </c>
      <c r="D1405">
        <v>21</v>
      </c>
      <c r="E1405" t="s">
        <v>2474</v>
      </c>
    </row>
    <row r="1406" spans="1:5" x14ac:dyDescent="0.3">
      <c r="A1406" t="s">
        <v>852</v>
      </c>
      <c r="B1406" t="s">
        <v>2471</v>
      </c>
      <c r="C1406">
        <v>7</v>
      </c>
      <c r="D1406">
        <v>0</v>
      </c>
      <c r="E1406" t="s">
        <v>2470</v>
      </c>
    </row>
    <row r="1407" spans="1:5" x14ac:dyDescent="0.3">
      <c r="A1407" t="s">
        <v>851</v>
      </c>
      <c r="B1407" t="s">
        <v>2469</v>
      </c>
      <c r="C1407">
        <v>105</v>
      </c>
      <c r="D1407">
        <v>1</v>
      </c>
      <c r="E1407" t="s">
        <v>2475</v>
      </c>
    </row>
    <row r="1408" spans="1:5" x14ac:dyDescent="0.3">
      <c r="A1408" t="s">
        <v>850</v>
      </c>
      <c r="B1408" t="s">
        <v>2469</v>
      </c>
      <c r="C1408">
        <v>162</v>
      </c>
      <c r="D1408">
        <v>1</v>
      </c>
      <c r="E1408" t="s">
        <v>2472</v>
      </c>
    </row>
    <row r="1409" spans="1:5" x14ac:dyDescent="0.3">
      <c r="A1409" t="s">
        <v>849</v>
      </c>
      <c r="B1409" t="s">
        <v>2471</v>
      </c>
      <c r="C1409">
        <v>13</v>
      </c>
      <c r="D1409">
        <v>0</v>
      </c>
      <c r="E1409" t="s">
        <v>2470</v>
      </c>
    </row>
    <row r="1410" spans="1:5" x14ac:dyDescent="0.3">
      <c r="A1410" t="s">
        <v>848</v>
      </c>
      <c r="B1410" t="s">
        <v>2469</v>
      </c>
      <c r="C1410">
        <v>177</v>
      </c>
      <c r="D1410">
        <v>3</v>
      </c>
      <c r="E1410" t="s">
        <v>2474</v>
      </c>
    </row>
    <row r="1411" spans="1:5" x14ac:dyDescent="0.3">
      <c r="A1411" t="s">
        <v>847</v>
      </c>
      <c r="B1411" t="s">
        <v>2471</v>
      </c>
      <c r="C1411">
        <v>16</v>
      </c>
      <c r="D1411">
        <v>0</v>
      </c>
      <c r="E1411" t="s">
        <v>2470</v>
      </c>
    </row>
    <row r="1412" spans="1:5" x14ac:dyDescent="0.3">
      <c r="A1412" t="s">
        <v>846</v>
      </c>
      <c r="B1412" t="s">
        <v>2469</v>
      </c>
      <c r="C1412">
        <v>378</v>
      </c>
      <c r="D1412">
        <v>14</v>
      </c>
      <c r="E1412" t="s">
        <v>2474</v>
      </c>
    </row>
    <row r="1413" spans="1:5" x14ac:dyDescent="0.3">
      <c r="A1413" t="s">
        <v>845</v>
      </c>
      <c r="B1413" t="s">
        <v>2473</v>
      </c>
      <c r="C1413">
        <v>451</v>
      </c>
      <c r="D1413">
        <v>27</v>
      </c>
      <c r="E1413" t="s">
        <v>2472</v>
      </c>
    </row>
    <row r="1414" spans="1:5" x14ac:dyDescent="0.3">
      <c r="A1414" t="s">
        <v>844</v>
      </c>
      <c r="B1414" t="s">
        <v>2471</v>
      </c>
      <c r="C1414">
        <v>30</v>
      </c>
      <c r="D1414">
        <v>0</v>
      </c>
      <c r="E1414" t="s">
        <v>2470</v>
      </c>
    </row>
    <row r="1415" spans="1:5" x14ac:dyDescent="0.3">
      <c r="A1415" t="s">
        <v>843</v>
      </c>
      <c r="B1415" t="s">
        <v>2471</v>
      </c>
      <c r="C1415">
        <v>8</v>
      </c>
      <c r="D1415">
        <v>0</v>
      </c>
      <c r="E1415" t="s">
        <v>2470</v>
      </c>
    </row>
    <row r="1416" spans="1:5" x14ac:dyDescent="0.3">
      <c r="A1416" t="s">
        <v>842</v>
      </c>
      <c r="B1416" t="s">
        <v>2469</v>
      </c>
      <c r="C1416">
        <v>106</v>
      </c>
      <c r="D1416">
        <v>3</v>
      </c>
      <c r="E1416" t="s">
        <v>2476</v>
      </c>
    </row>
    <row r="1417" spans="1:5" x14ac:dyDescent="0.3">
      <c r="A1417" t="s">
        <v>841</v>
      </c>
      <c r="B1417" t="s">
        <v>2469</v>
      </c>
      <c r="C1417">
        <v>196</v>
      </c>
      <c r="D1417">
        <v>6</v>
      </c>
      <c r="E1417" t="s">
        <v>2474</v>
      </c>
    </row>
    <row r="1418" spans="1:5" x14ac:dyDescent="0.3">
      <c r="A1418" t="s">
        <v>840</v>
      </c>
      <c r="B1418" t="s">
        <v>2469</v>
      </c>
      <c r="C1418">
        <v>70</v>
      </c>
      <c r="D1418">
        <v>2</v>
      </c>
      <c r="E1418" t="s">
        <v>2475</v>
      </c>
    </row>
    <row r="1419" spans="1:5" x14ac:dyDescent="0.3">
      <c r="A1419" t="s">
        <v>839</v>
      </c>
      <c r="B1419" t="s">
        <v>2473</v>
      </c>
      <c r="C1419">
        <v>36</v>
      </c>
      <c r="D1419">
        <v>2</v>
      </c>
      <c r="E1419" t="s">
        <v>2468</v>
      </c>
    </row>
    <row r="1420" spans="1:5" x14ac:dyDescent="0.3">
      <c r="A1420" t="s">
        <v>838</v>
      </c>
      <c r="B1420" t="s">
        <v>2471</v>
      </c>
      <c r="C1420">
        <v>2</v>
      </c>
      <c r="D1420">
        <v>0</v>
      </c>
      <c r="E1420" t="s">
        <v>2470</v>
      </c>
    </row>
    <row r="1421" spans="1:5" x14ac:dyDescent="0.3">
      <c r="A1421" t="s">
        <v>837</v>
      </c>
      <c r="B1421" t="s">
        <v>2473</v>
      </c>
      <c r="C1421">
        <v>25</v>
      </c>
      <c r="D1421">
        <v>3</v>
      </c>
      <c r="E1421" t="s">
        <v>2476</v>
      </c>
    </row>
    <row r="1422" spans="1:5" x14ac:dyDescent="0.3">
      <c r="A1422" t="s">
        <v>836</v>
      </c>
      <c r="B1422" t="s">
        <v>2471</v>
      </c>
      <c r="C1422">
        <v>21</v>
      </c>
      <c r="D1422">
        <v>0</v>
      </c>
      <c r="E1422" t="s">
        <v>2470</v>
      </c>
    </row>
    <row r="1423" spans="1:5" x14ac:dyDescent="0.3">
      <c r="A1423" t="s">
        <v>835</v>
      </c>
      <c r="B1423" t="s">
        <v>2471</v>
      </c>
      <c r="C1423">
        <v>25</v>
      </c>
      <c r="D1423">
        <v>0</v>
      </c>
      <c r="E1423" t="s">
        <v>2470</v>
      </c>
    </row>
    <row r="1424" spans="1:5" x14ac:dyDescent="0.3">
      <c r="A1424" t="s">
        <v>834</v>
      </c>
      <c r="B1424" t="s">
        <v>2471</v>
      </c>
      <c r="C1424">
        <v>10</v>
      </c>
      <c r="D1424">
        <v>0</v>
      </c>
      <c r="E1424" t="s">
        <v>2470</v>
      </c>
    </row>
    <row r="1425" spans="1:5" x14ac:dyDescent="0.3">
      <c r="A1425" t="s">
        <v>833</v>
      </c>
      <c r="B1425" t="s">
        <v>2471</v>
      </c>
      <c r="C1425">
        <v>4</v>
      </c>
      <c r="D1425">
        <v>0</v>
      </c>
      <c r="E1425" t="s">
        <v>2470</v>
      </c>
    </row>
    <row r="1426" spans="1:5" x14ac:dyDescent="0.3">
      <c r="A1426" t="s">
        <v>832</v>
      </c>
      <c r="B1426" t="s">
        <v>2469</v>
      </c>
      <c r="C1426">
        <v>190</v>
      </c>
      <c r="D1426">
        <v>1</v>
      </c>
      <c r="E1426" t="s">
        <v>2475</v>
      </c>
    </row>
    <row r="1427" spans="1:5" x14ac:dyDescent="0.3">
      <c r="A1427" t="s">
        <v>831</v>
      </c>
      <c r="B1427" t="s">
        <v>2469</v>
      </c>
      <c r="C1427">
        <v>124</v>
      </c>
      <c r="D1427">
        <v>1</v>
      </c>
      <c r="E1427" t="s">
        <v>2476</v>
      </c>
    </row>
    <row r="1428" spans="1:5" x14ac:dyDescent="0.3">
      <c r="A1428" t="s">
        <v>830</v>
      </c>
      <c r="B1428" t="s">
        <v>2473</v>
      </c>
      <c r="C1428">
        <v>14</v>
      </c>
      <c r="D1428">
        <v>2</v>
      </c>
      <c r="E1428" t="s">
        <v>2475</v>
      </c>
    </row>
    <row r="1429" spans="1:5" x14ac:dyDescent="0.3">
      <c r="A1429" t="s">
        <v>829</v>
      </c>
      <c r="B1429" t="s">
        <v>2469</v>
      </c>
      <c r="C1429">
        <v>695</v>
      </c>
      <c r="D1429">
        <v>4</v>
      </c>
      <c r="E1429" t="s">
        <v>2475</v>
      </c>
    </row>
    <row r="1430" spans="1:5" x14ac:dyDescent="0.3">
      <c r="A1430" t="s">
        <v>828</v>
      </c>
      <c r="B1430" t="s">
        <v>2469</v>
      </c>
      <c r="C1430">
        <v>198</v>
      </c>
      <c r="D1430">
        <v>2</v>
      </c>
      <c r="E1430" t="s">
        <v>2474</v>
      </c>
    </row>
    <row r="1431" spans="1:5" x14ac:dyDescent="0.3">
      <c r="A1431" t="s">
        <v>827</v>
      </c>
      <c r="B1431" t="s">
        <v>2469</v>
      </c>
      <c r="C1431">
        <v>643</v>
      </c>
      <c r="D1431">
        <v>4</v>
      </c>
      <c r="E1431" t="s">
        <v>2474</v>
      </c>
    </row>
    <row r="1432" spans="1:5" x14ac:dyDescent="0.3">
      <c r="A1432" t="s">
        <v>826</v>
      </c>
      <c r="B1432" t="s">
        <v>2469</v>
      </c>
      <c r="C1432">
        <v>565</v>
      </c>
      <c r="D1432">
        <v>14</v>
      </c>
      <c r="E1432" t="s">
        <v>2474</v>
      </c>
    </row>
    <row r="1433" spans="1:5" x14ac:dyDescent="0.3">
      <c r="A1433" t="s">
        <v>825</v>
      </c>
      <c r="B1433" t="s">
        <v>2473</v>
      </c>
      <c r="C1433">
        <v>531</v>
      </c>
      <c r="D1433">
        <v>32</v>
      </c>
      <c r="E1433" t="s">
        <v>2474</v>
      </c>
    </row>
    <row r="1434" spans="1:5" x14ac:dyDescent="0.3">
      <c r="A1434" t="s">
        <v>824</v>
      </c>
      <c r="B1434" t="s">
        <v>2473</v>
      </c>
      <c r="C1434">
        <v>48</v>
      </c>
      <c r="D1434">
        <v>6</v>
      </c>
      <c r="E1434" t="s">
        <v>2468</v>
      </c>
    </row>
    <row r="1435" spans="1:5" x14ac:dyDescent="0.3">
      <c r="A1435" t="s">
        <v>823</v>
      </c>
      <c r="B1435" t="s">
        <v>2471</v>
      </c>
      <c r="C1435">
        <v>48</v>
      </c>
      <c r="D1435">
        <v>0</v>
      </c>
      <c r="E1435" t="s">
        <v>2470</v>
      </c>
    </row>
    <row r="1436" spans="1:5" x14ac:dyDescent="0.3">
      <c r="A1436" t="s">
        <v>822</v>
      </c>
      <c r="B1436" t="s">
        <v>2473</v>
      </c>
      <c r="C1436">
        <v>12</v>
      </c>
      <c r="D1436">
        <v>1</v>
      </c>
      <c r="E1436" t="s">
        <v>2468</v>
      </c>
    </row>
    <row r="1437" spans="1:5" x14ac:dyDescent="0.3">
      <c r="A1437" t="s">
        <v>821</v>
      </c>
      <c r="B1437" t="s">
        <v>2471</v>
      </c>
      <c r="C1437">
        <v>2</v>
      </c>
      <c r="D1437">
        <v>0</v>
      </c>
      <c r="E1437" t="s">
        <v>2470</v>
      </c>
    </row>
    <row r="1438" spans="1:5" x14ac:dyDescent="0.3">
      <c r="A1438" t="s">
        <v>820</v>
      </c>
      <c r="B1438" t="s">
        <v>2471</v>
      </c>
      <c r="C1438">
        <v>18</v>
      </c>
      <c r="D1438">
        <v>0</v>
      </c>
      <c r="E1438" t="s">
        <v>2470</v>
      </c>
    </row>
    <row r="1439" spans="1:5" x14ac:dyDescent="0.3">
      <c r="A1439" t="s">
        <v>819</v>
      </c>
      <c r="B1439" t="s">
        <v>2469</v>
      </c>
      <c r="C1439">
        <v>759</v>
      </c>
      <c r="D1439">
        <v>25</v>
      </c>
      <c r="E1439" t="s">
        <v>2468</v>
      </c>
    </row>
    <row r="1440" spans="1:5" x14ac:dyDescent="0.3">
      <c r="A1440" t="s">
        <v>818</v>
      </c>
      <c r="B1440" t="s">
        <v>2469</v>
      </c>
      <c r="C1440">
        <v>789</v>
      </c>
      <c r="D1440">
        <v>11</v>
      </c>
      <c r="E1440" t="s">
        <v>2472</v>
      </c>
    </row>
    <row r="1441" spans="1:5" x14ac:dyDescent="0.3">
      <c r="A1441" t="s">
        <v>817</v>
      </c>
      <c r="B1441" t="s">
        <v>2473</v>
      </c>
      <c r="C1441">
        <v>268</v>
      </c>
      <c r="D1441">
        <v>31</v>
      </c>
      <c r="E1441" t="s">
        <v>2472</v>
      </c>
    </row>
    <row r="1442" spans="1:5" x14ac:dyDescent="0.3">
      <c r="A1442" t="s">
        <v>816</v>
      </c>
      <c r="B1442" t="s">
        <v>2469</v>
      </c>
      <c r="C1442">
        <v>534</v>
      </c>
      <c r="D1442">
        <v>5</v>
      </c>
      <c r="E1442" t="s">
        <v>2474</v>
      </c>
    </row>
    <row r="1443" spans="1:5" x14ac:dyDescent="0.3">
      <c r="A1443" t="s">
        <v>815</v>
      </c>
      <c r="B1443" t="s">
        <v>2469</v>
      </c>
      <c r="C1443">
        <v>130</v>
      </c>
      <c r="D1443">
        <v>4</v>
      </c>
      <c r="E1443" t="s">
        <v>2475</v>
      </c>
    </row>
    <row r="1444" spans="1:5" x14ac:dyDescent="0.3">
      <c r="A1444" t="s">
        <v>814</v>
      </c>
      <c r="B1444" t="s">
        <v>2473</v>
      </c>
      <c r="C1444">
        <v>56</v>
      </c>
      <c r="D1444">
        <v>3</v>
      </c>
      <c r="E1444" t="s">
        <v>2476</v>
      </c>
    </row>
    <row r="1445" spans="1:5" x14ac:dyDescent="0.3">
      <c r="A1445" t="s">
        <v>813</v>
      </c>
      <c r="B1445" t="s">
        <v>2471</v>
      </c>
      <c r="C1445">
        <v>22</v>
      </c>
      <c r="D1445">
        <v>0</v>
      </c>
      <c r="E1445" t="s">
        <v>2470</v>
      </c>
    </row>
    <row r="1446" spans="1:5" x14ac:dyDescent="0.3">
      <c r="A1446" t="s">
        <v>812</v>
      </c>
      <c r="B1446" t="s">
        <v>2473</v>
      </c>
      <c r="C1446">
        <v>564</v>
      </c>
      <c r="D1446">
        <v>30</v>
      </c>
      <c r="E1446" t="s">
        <v>2476</v>
      </c>
    </row>
    <row r="1447" spans="1:5" x14ac:dyDescent="0.3">
      <c r="A1447" t="s">
        <v>811</v>
      </c>
      <c r="B1447" t="s">
        <v>2469</v>
      </c>
      <c r="C1447">
        <v>233</v>
      </c>
      <c r="D1447">
        <v>3</v>
      </c>
      <c r="E1447" t="s">
        <v>2476</v>
      </c>
    </row>
    <row r="1448" spans="1:5" x14ac:dyDescent="0.3">
      <c r="A1448" t="s">
        <v>810</v>
      </c>
      <c r="B1448" t="s">
        <v>2469</v>
      </c>
      <c r="C1448">
        <v>118</v>
      </c>
      <c r="D1448">
        <v>2</v>
      </c>
      <c r="E1448" t="s">
        <v>2476</v>
      </c>
    </row>
    <row r="1449" spans="1:5" x14ac:dyDescent="0.3">
      <c r="A1449" t="s">
        <v>809</v>
      </c>
      <c r="B1449" t="s">
        <v>2469</v>
      </c>
      <c r="C1449">
        <v>243</v>
      </c>
      <c r="D1449">
        <v>5</v>
      </c>
      <c r="E1449" t="s">
        <v>2472</v>
      </c>
    </row>
    <row r="1450" spans="1:5" x14ac:dyDescent="0.3">
      <c r="A1450" t="s">
        <v>808</v>
      </c>
      <c r="B1450" t="s">
        <v>2469</v>
      </c>
      <c r="C1450">
        <v>143</v>
      </c>
      <c r="D1450">
        <v>2</v>
      </c>
      <c r="E1450" t="s">
        <v>2468</v>
      </c>
    </row>
    <row r="1451" spans="1:5" x14ac:dyDescent="0.3">
      <c r="A1451" t="s">
        <v>807</v>
      </c>
      <c r="B1451" t="s">
        <v>2469</v>
      </c>
      <c r="C1451">
        <v>241</v>
      </c>
      <c r="D1451">
        <v>5</v>
      </c>
      <c r="E1451" t="s">
        <v>2472</v>
      </c>
    </row>
    <row r="1452" spans="1:5" x14ac:dyDescent="0.3">
      <c r="A1452" t="s">
        <v>806</v>
      </c>
      <c r="B1452" t="s">
        <v>2469</v>
      </c>
      <c r="C1452">
        <v>559</v>
      </c>
      <c r="D1452">
        <v>19</v>
      </c>
      <c r="E1452" t="s">
        <v>2472</v>
      </c>
    </row>
    <row r="1453" spans="1:5" x14ac:dyDescent="0.3">
      <c r="A1453" t="s">
        <v>805</v>
      </c>
      <c r="B1453" t="s">
        <v>2469</v>
      </c>
      <c r="C1453">
        <v>84</v>
      </c>
      <c r="D1453">
        <v>3</v>
      </c>
      <c r="E1453" t="s">
        <v>2475</v>
      </c>
    </row>
    <row r="1454" spans="1:5" x14ac:dyDescent="0.3">
      <c r="A1454" t="s">
        <v>804</v>
      </c>
      <c r="B1454" t="s">
        <v>2469</v>
      </c>
      <c r="C1454">
        <v>113</v>
      </c>
      <c r="D1454">
        <v>5</v>
      </c>
      <c r="E1454" t="s">
        <v>2475</v>
      </c>
    </row>
    <row r="1455" spans="1:5" x14ac:dyDescent="0.3">
      <c r="A1455" t="s">
        <v>803</v>
      </c>
      <c r="B1455" t="s">
        <v>2473</v>
      </c>
      <c r="C1455">
        <v>103</v>
      </c>
      <c r="D1455">
        <v>11</v>
      </c>
      <c r="E1455" t="s">
        <v>2476</v>
      </c>
    </row>
    <row r="1456" spans="1:5" x14ac:dyDescent="0.3">
      <c r="A1456" t="s">
        <v>802</v>
      </c>
      <c r="B1456" t="s">
        <v>2469</v>
      </c>
      <c r="C1456">
        <v>766</v>
      </c>
      <c r="D1456">
        <v>17</v>
      </c>
      <c r="E1456" t="s">
        <v>2468</v>
      </c>
    </row>
    <row r="1457" spans="1:5" x14ac:dyDescent="0.3">
      <c r="A1457" t="s">
        <v>801</v>
      </c>
      <c r="B1457" t="s">
        <v>2471</v>
      </c>
      <c r="C1457">
        <v>19</v>
      </c>
      <c r="D1457">
        <v>0</v>
      </c>
      <c r="E1457" t="s">
        <v>2470</v>
      </c>
    </row>
    <row r="1458" spans="1:5" x14ac:dyDescent="0.3">
      <c r="A1458" t="s">
        <v>800</v>
      </c>
      <c r="B1458" t="s">
        <v>2469</v>
      </c>
      <c r="C1458">
        <v>212</v>
      </c>
      <c r="D1458">
        <v>2</v>
      </c>
      <c r="E1458" t="s">
        <v>2474</v>
      </c>
    </row>
    <row r="1459" spans="1:5" x14ac:dyDescent="0.3">
      <c r="A1459" t="s">
        <v>799</v>
      </c>
      <c r="B1459" t="s">
        <v>2469</v>
      </c>
      <c r="C1459">
        <v>393</v>
      </c>
      <c r="D1459">
        <v>4</v>
      </c>
      <c r="E1459" t="s">
        <v>2472</v>
      </c>
    </row>
    <row r="1460" spans="1:5" x14ac:dyDescent="0.3">
      <c r="A1460" t="s">
        <v>798</v>
      </c>
      <c r="B1460" t="s">
        <v>2473</v>
      </c>
      <c r="C1460">
        <v>96</v>
      </c>
      <c r="D1460">
        <v>8</v>
      </c>
      <c r="E1460" t="s">
        <v>2474</v>
      </c>
    </row>
    <row r="1461" spans="1:5" x14ac:dyDescent="0.3">
      <c r="A1461" t="s">
        <v>797</v>
      </c>
      <c r="B1461" t="s">
        <v>2473</v>
      </c>
      <c r="C1461">
        <v>756</v>
      </c>
      <c r="D1461">
        <v>44</v>
      </c>
      <c r="E1461" t="s">
        <v>2468</v>
      </c>
    </row>
    <row r="1462" spans="1:5" x14ac:dyDescent="0.3">
      <c r="A1462" t="s">
        <v>796</v>
      </c>
      <c r="B1462" t="s">
        <v>2469</v>
      </c>
      <c r="C1462">
        <v>489</v>
      </c>
      <c r="D1462">
        <v>9</v>
      </c>
      <c r="E1462" t="s">
        <v>2468</v>
      </c>
    </row>
    <row r="1463" spans="1:5" x14ac:dyDescent="0.3">
      <c r="A1463" t="s">
        <v>795</v>
      </c>
      <c r="B1463" t="s">
        <v>2471</v>
      </c>
      <c r="C1463">
        <v>72</v>
      </c>
      <c r="D1463">
        <v>0</v>
      </c>
      <c r="E1463" t="s">
        <v>2470</v>
      </c>
    </row>
    <row r="1464" spans="1:5" x14ac:dyDescent="0.3">
      <c r="A1464" t="s">
        <v>794</v>
      </c>
      <c r="B1464" t="s">
        <v>2471</v>
      </c>
      <c r="C1464">
        <v>8</v>
      </c>
      <c r="D1464">
        <v>0</v>
      </c>
      <c r="E1464" t="s">
        <v>2470</v>
      </c>
    </row>
    <row r="1465" spans="1:5" x14ac:dyDescent="0.3">
      <c r="A1465" t="s">
        <v>793</v>
      </c>
      <c r="B1465" t="s">
        <v>2469</v>
      </c>
      <c r="C1465">
        <v>737</v>
      </c>
      <c r="D1465">
        <v>6</v>
      </c>
      <c r="E1465" t="s">
        <v>2474</v>
      </c>
    </row>
    <row r="1466" spans="1:5" x14ac:dyDescent="0.3">
      <c r="A1466" t="s">
        <v>792</v>
      </c>
      <c r="B1466" t="s">
        <v>2469</v>
      </c>
      <c r="C1466">
        <v>446</v>
      </c>
      <c r="D1466">
        <v>9</v>
      </c>
      <c r="E1466" t="s">
        <v>2474</v>
      </c>
    </row>
    <row r="1467" spans="1:5" x14ac:dyDescent="0.3">
      <c r="A1467" t="s">
        <v>791</v>
      </c>
      <c r="B1467" t="s">
        <v>2469</v>
      </c>
      <c r="C1467">
        <v>623</v>
      </c>
      <c r="D1467">
        <v>6</v>
      </c>
      <c r="E1467" t="s">
        <v>2475</v>
      </c>
    </row>
    <row r="1468" spans="1:5" x14ac:dyDescent="0.3">
      <c r="A1468" t="s">
        <v>790</v>
      </c>
      <c r="B1468" t="s">
        <v>2473</v>
      </c>
      <c r="C1468">
        <v>11</v>
      </c>
      <c r="D1468">
        <v>1</v>
      </c>
      <c r="E1468" t="s">
        <v>2475</v>
      </c>
    </row>
    <row r="1469" spans="1:5" x14ac:dyDescent="0.3">
      <c r="A1469" t="s">
        <v>789</v>
      </c>
      <c r="B1469" t="s">
        <v>2469</v>
      </c>
      <c r="C1469">
        <v>49</v>
      </c>
      <c r="D1469">
        <v>1</v>
      </c>
      <c r="E1469" t="s">
        <v>2476</v>
      </c>
    </row>
    <row r="1470" spans="1:5" x14ac:dyDescent="0.3">
      <c r="A1470" t="s">
        <v>788</v>
      </c>
      <c r="B1470" t="s">
        <v>2469</v>
      </c>
      <c r="C1470">
        <v>183</v>
      </c>
      <c r="D1470">
        <v>2</v>
      </c>
      <c r="E1470" t="s">
        <v>2474</v>
      </c>
    </row>
    <row r="1471" spans="1:5" x14ac:dyDescent="0.3">
      <c r="A1471" t="s">
        <v>787</v>
      </c>
      <c r="B1471" t="s">
        <v>2469</v>
      </c>
      <c r="C1471">
        <v>634</v>
      </c>
      <c r="D1471">
        <v>5</v>
      </c>
      <c r="E1471" t="s">
        <v>2474</v>
      </c>
    </row>
    <row r="1472" spans="1:5" x14ac:dyDescent="0.3">
      <c r="A1472" t="s">
        <v>786</v>
      </c>
      <c r="B1472" t="s">
        <v>2471</v>
      </c>
      <c r="C1472">
        <v>2</v>
      </c>
      <c r="D1472">
        <v>0</v>
      </c>
      <c r="E1472" t="s">
        <v>2470</v>
      </c>
    </row>
    <row r="1473" spans="1:5" x14ac:dyDescent="0.3">
      <c r="A1473" t="s">
        <v>785</v>
      </c>
      <c r="B1473" t="s">
        <v>2469</v>
      </c>
      <c r="C1473">
        <v>65</v>
      </c>
      <c r="D1473">
        <v>2</v>
      </c>
      <c r="E1473" t="s">
        <v>2468</v>
      </c>
    </row>
    <row r="1474" spans="1:5" x14ac:dyDescent="0.3">
      <c r="A1474" t="s">
        <v>784</v>
      </c>
      <c r="B1474" t="s">
        <v>2469</v>
      </c>
      <c r="C1474">
        <v>189</v>
      </c>
      <c r="D1474">
        <v>4</v>
      </c>
      <c r="E1474" t="s">
        <v>2472</v>
      </c>
    </row>
    <row r="1475" spans="1:5" x14ac:dyDescent="0.3">
      <c r="A1475" t="s">
        <v>783</v>
      </c>
      <c r="B1475" t="s">
        <v>2471</v>
      </c>
      <c r="C1475">
        <v>1</v>
      </c>
      <c r="D1475">
        <v>0</v>
      </c>
      <c r="E1475" t="s">
        <v>2470</v>
      </c>
    </row>
    <row r="1476" spans="1:5" x14ac:dyDescent="0.3">
      <c r="A1476" t="s">
        <v>782</v>
      </c>
      <c r="B1476" t="s">
        <v>2469</v>
      </c>
      <c r="C1476">
        <v>711</v>
      </c>
      <c r="D1476">
        <v>12</v>
      </c>
      <c r="E1476" t="s">
        <v>2472</v>
      </c>
    </row>
    <row r="1477" spans="1:5" x14ac:dyDescent="0.3">
      <c r="A1477" t="s">
        <v>781</v>
      </c>
      <c r="B1477" t="s">
        <v>2473</v>
      </c>
      <c r="C1477">
        <v>61</v>
      </c>
      <c r="D1477">
        <v>4</v>
      </c>
      <c r="E1477" t="s">
        <v>2468</v>
      </c>
    </row>
    <row r="1478" spans="1:5" x14ac:dyDescent="0.3">
      <c r="A1478" t="s">
        <v>780</v>
      </c>
      <c r="B1478" t="s">
        <v>2471</v>
      </c>
      <c r="C1478">
        <v>25</v>
      </c>
      <c r="D1478">
        <v>0</v>
      </c>
      <c r="E1478" t="s">
        <v>2470</v>
      </c>
    </row>
    <row r="1479" spans="1:5" x14ac:dyDescent="0.3">
      <c r="A1479" t="s">
        <v>779</v>
      </c>
      <c r="B1479" t="s">
        <v>2469</v>
      </c>
      <c r="C1479">
        <v>429</v>
      </c>
      <c r="D1479">
        <v>10</v>
      </c>
      <c r="E1479" t="s">
        <v>2468</v>
      </c>
    </row>
    <row r="1480" spans="1:5" x14ac:dyDescent="0.3">
      <c r="A1480" t="s">
        <v>778</v>
      </c>
      <c r="B1480" t="s">
        <v>2469</v>
      </c>
      <c r="C1480">
        <v>40</v>
      </c>
      <c r="D1480">
        <v>1</v>
      </c>
      <c r="E1480" t="s">
        <v>2476</v>
      </c>
    </row>
    <row r="1481" spans="1:5" x14ac:dyDescent="0.3">
      <c r="A1481" t="s">
        <v>777</v>
      </c>
      <c r="B1481" t="s">
        <v>2471</v>
      </c>
      <c r="C1481">
        <v>6</v>
      </c>
      <c r="D1481">
        <v>0</v>
      </c>
      <c r="E1481" t="s">
        <v>2470</v>
      </c>
    </row>
    <row r="1482" spans="1:5" x14ac:dyDescent="0.3">
      <c r="A1482" t="s">
        <v>776</v>
      </c>
      <c r="B1482" t="s">
        <v>2469</v>
      </c>
      <c r="C1482">
        <v>206</v>
      </c>
      <c r="D1482">
        <v>6</v>
      </c>
      <c r="E1482" t="s">
        <v>2474</v>
      </c>
    </row>
    <row r="1483" spans="1:5" x14ac:dyDescent="0.3">
      <c r="A1483" t="s">
        <v>775</v>
      </c>
      <c r="B1483" t="s">
        <v>2469</v>
      </c>
      <c r="C1483">
        <v>585</v>
      </c>
      <c r="D1483">
        <v>9</v>
      </c>
      <c r="E1483" t="s">
        <v>2474</v>
      </c>
    </row>
    <row r="1484" spans="1:5" x14ac:dyDescent="0.3">
      <c r="A1484" t="s">
        <v>774</v>
      </c>
      <c r="B1484" t="s">
        <v>2469</v>
      </c>
      <c r="C1484">
        <v>140</v>
      </c>
      <c r="D1484">
        <v>3</v>
      </c>
      <c r="E1484" t="s">
        <v>2472</v>
      </c>
    </row>
    <row r="1485" spans="1:5" x14ac:dyDescent="0.3">
      <c r="A1485" t="s">
        <v>773</v>
      </c>
      <c r="B1485" t="s">
        <v>2469</v>
      </c>
      <c r="C1485">
        <v>67</v>
      </c>
      <c r="D1485">
        <v>1</v>
      </c>
      <c r="E1485" t="s">
        <v>2468</v>
      </c>
    </row>
    <row r="1486" spans="1:5" x14ac:dyDescent="0.3">
      <c r="A1486" t="s">
        <v>772</v>
      </c>
      <c r="B1486" t="s">
        <v>2471</v>
      </c>
      <c r="C1486">
        <v>51</v>
      </c>
      <c r="D1486">
        <v>0</v>
      </c>
      <c r="E1486" t="s">
        <v>2470</v>
      </c>
    </row>
    <row r="1487" spans="1:5" x14ac:dyDescent="0.3">
      <c r="A1487" t="s">
        <v>771</v>
      </c>
      <c r="B1487" t="s">
        <v>2473</v>
      </c>
      <c r="C1487">
        <v>69</v>
      </c>
      <c r="D1487">
        <v>4</v>
      </c>
      <c r="E1487" t="s">
        <v>2475</v>
      </c>
    </row>
    <row r="1488" spans="1:5" x14ac:dyDescent="0.3">
      <c r="A1488" t="s">
        <v>770</v>
      </c>
      <c r="B1488" t="s">
        <v>2469</v>
      </c>
      <c r="C1488">
        <v>197</v>
      </c>
      <c r="D1488">
        <v>2</v>
      </c>
      <c r="E1488" t="s">
        <v>2472</v>
      </c>
    </row>
    <row r="1489" spans="1:5" x14ac:dyDescent="0.3">
      <c r="A1489" t="s">
        <v>769</v>
      </c>
      <c r="B1489" t="s">
        <v>2469</v>
      </c>
      <c r="C1489">
        <v>167</v>
      </c>
      <c r="D1489">
        <v>6</v>
      </c>
      <c r="E1489" t="s">
        <v>2468</v>
      </c>
    </row>
    <row r="1490" spans="1:5" x14ac:dyDescent="0.3">
      <c r="A1490" t="s">
        <v>768</v>
      </c>
      <c r="B1490" t="s">
        <v>2469</v>
      </c>
      <c r="C1490">
        <v>175</v>
      </c>
      <c r="D1490">
        <v>2</v>
      </c>
      <c r="E1490" t="s">
        <v>2474</v>
      </c>
    </row>
    <row r="1491" spans="1:5" x14ac:dyDescent="0.3">
      <c r="A1491" t="s">
        <v>767</v>
      </c>
      <c r="B1491" t="s">
        <v>2469</v>
      </c>
      <c r="C1491">
        <v>303</v>
      </c>
      <c r="D1491">
        <v>8</v>
      </c>
      <c r="E1491" t="s">
        <v>2476</v>
      </c>
    </row>
    <row r="1492" spans="1:5" x14ac:dyDescent="0.3">
      <c r="A1492" t="s">
        <v>766</v>
      </c>
      <c r="B1492" t="s">
        <v>2469</v>
      </c>
      <c r="C1492">
        <v>538</v>
      </c>
      <c r="D1492">
        <v>10</v>
      </c>
      <c r="E1492" t="s">
        <v>2474</v>
      </c>
    </row>
    <row r="1493" spans="1:5" x14ac:dyDescent="0.3">
      <c r="A1493" t="s">
        <v>765</v>
      </c>
      <c r="B1493" t="s">
        <v>2473</v>
      </c>
      <c r="C1493">
        <v>1213</v>
      </c>
      <c r="D1493">
        <v>113</v>
      </c>
      <c r="E1493" t="s">
        <v>2474</v>
      </c>
    </row>
    <row r="1494" spans="1:5" x14ac:dyDescent="0.3">
      <c r="A1494" t="s">
        <v>764</v>
      </c>
      <c r="B1494" t="s">
        <v>2469</v>
      </c>
      <c r="C1494">
        <v>170</v>
      </c>
      <c r="D1494">
        <v>3</v>
      </c>
      <c r="E1494" t="s">
        <v>2475</v>
      </c>
    </row>
    <row r="1495" spans="1:5" x14ac:dyDescent="0.3">
      <c r="A1495" t="s">
        <v>763</v>
      </c>
      <c r="B1495" t="s">
        <v>2471</v>
      </c>
      <c r="C1495">
        <v>6</v>
      </c>
      <c r="D1495">
        <v>0</v>
      </c>
      <c r="E1495" t="s">
        <v>2470</v>
      </c>
    </row>
    <row r="1496" spans="1:5" x14ac:dyDescent="0.3">
      <c r="A1496" t="s">
        <v>762</v>
      </c>
      <c r="B1496" t="s">
        <v>2473</v>
      </c>
      <c r="C1496">
        <v>15</v>
      </c>
      <c r="D1496">
        <v>2</v>
      </c>
      <c r="E1496" t="s">
        <v>2475</v>
      </c>
    </row>
    <row r="1497" spans="1:5" x14ac:dyDescent="0.3">
      <c r="A1497" t="s">
        <v>761</v>
      </c>
      <c r="B1497" t="s">
        <v>2471</v>
      </c>
      <c r="C1497">
        <v>20</v>
      </c>
      <c r="D1497">
        <v>0</v>
      </c>
      <c r="E1497" t="s">
        <v>2470</v>
      </c>
    </row>
    <row r="1498" spans="1:5" x14ac:dyDescent="0.3">
      <c r="A1498" t="s">
        <v>760</v>
      </c>
      <c r="B1498" t="s">
        <v>2469</v>
      </c>
      <c r="C1498">
        <v>34</v>
      </c>
      <c r="D1498">
        <v>1</v>
      </c>
      <c r="E1498" t="s">
        <v>2476</v>
      </c>
    </row>
    <row r="1499" spans="1:5" x14ac:dyDescent="0.3">
      <c r="A1499" t="s">
        <v>759</v>
      </c>
      <c r="B1499" t="s">
        <v>2469</v>
      </c>
      <c r="C1499">
        <v>647</v>
      </c>
      <c r="D1499">
        <v>21</v>
      </c>
      <c r="E1499" t="s">
        <v>2475</v>
      </c>
    </row>
    <row r="1500" spans="1:5" x14ac:dyDescent="0.3">
      <c r="A1500" t="s">
        <v>758</v>
      </c>
      <c r="B1500" t="s">
        <v>2469</v>
      </c>
      <c r="C1500">
        <v>152</v>
      </c>
      <c r="D1500">
        <v>4</v>
      </c>
      <c r="E1500" t="s">
        <v>2472</v>
      </c>
    </row>
    <row r="1501" spans="1:5" x14ac:dyDescent="0.3">
      <c r="A1501" t="s">
        <v>757</v>
      </c>
      <c r="B1501" t="s">
        <v>2473</v>
      </c>
      <c r="C1501">
        <v>15</v>
      </c>
      <c r="D1501">
        <v>1</v>
      </c>
      <c r="E1501" t="s">
        <v>2468</v>
      </c>
    </row>
    <row r="1502" spans="1:5" x14ac:dyDescent="0.3">
      <c r="A1502" t="s">
        <v>756</v>
      </c>
      <c r="B1502" t="s">
        <v>2469</v>
      </c>
      <c r="C1502">
        <v>77</v>
      </c>
      <c r="D1502">
        <v>2</v>
      </c>
      <c r="E1502" t="s">
        <v>2474</v>
      </c>
    </row>
    <row r="1503" spans="1:5" x14ac:dyDescent="0.3">
      <c r="A1503" t="s">
        <v>755</v>
      </c>
      <c r="B1503" t="s">
        <v>2469</v>
      </c>
      <c r="C1503">
        <v>72</v>
      </c>
      <c r="D1503">
        <v>1</v>
      </c>
      <c r="E1503" t="s">
        <v>2476</v>
      </c>
    </row>
    <row r="1504" spans="1:5" x14ac:dyDescent="0.3">
      <c r="A1504" t="s">
        <v>754</v>
      </c>
      <c r="B1504" t="s">
        <v>2471</v>
      </c>
      <c r="C1504">
        <v>3</v>
      </c>
      <c r="D1504">
        <v>0</v>
      </c>
      <c r="E1504" t="s">
        <v>2470</v>
      </c>
    </row>
    <row r="1505" spans="1:5" x14ac:dyDescent="0.3">
      <c r="A1505" t="s">
        <v>753</v>
      </c>
      <c r="B1505" t="s">
        <v>2469</v>
      </c>
      <c r="C1505">
        <v>223</v>
      </c>
      <c r="D1505">
        <v>3</v>
      </c>
      <c r="E1505" t="s">
        <v>2474</v>
      </c>
    </row>
    <row r="1506" spans="1:5" x14ac:dyDescent="0.3">
      <c r="A1506" t="s">
        <v>752</v>
      </c>
      <c r="B1506" t="s">
        <v>2469</v>
      </c>
      <c r="C1506">
        <v>278</v>
      </c>
      <c r="D1506">
        <v>5</v>
      </c>
      <c r="E1506" t="s">
        <v>2476</v>
      </c>
    </row>
    <row r="1507" spans="1:5" x14ac:dyDescent="0.3">
      <c r="A1507" t="s">
        <v>751</v>
      </c>
      <c r="B1507" t="s">
        <v>2469</v>
      </c>
      <c r="C1507">
        <v>165</v>
      </c>
      <c r="D1507">
        <v>8</v>
      </c>
      <c r="E1507" t="s">
        <v>2475</v>
      </c>
    </row>
    <row r="1508" spans="1:5" x14ac:dyDescent="0.3">
      <c r="A1508" t="s">
        <v>750</v>
      </c>
      <c r="B1508" t="s">
        <v>2469</v>
      </c>
      <c r="C1508">
        <v>372</v>
      </c>
      <c r="D1508">
        <v>6</v>
      </c>
      <c r="E1508" t="s">
        <v>2472</v>
      </c>
    </row>
    <row r="1509" spans="1:5" x14ac:dyDescent="0.3">
      <c r="A1509" t="s">
        <v>749</v>
      </c>
      <c r="B1509" t="s">
        <v>2469</v>
      </c>
      <c r="C1509">
        <v>755</v>
      </c>
      <c r="D1509">
        <v>12</v>
      </c>
      <c r="E1509" t="s">
        <v>2474</v>
      </c>
    </row>
    <row r="1510" spans="1:5" x14ac:dyDescent="0.3">
      <c r="A1510" t="s">
        <v>748</v>
      </c>
      <c r="B1510" t="s">
        <v>2469</v>
      </c>
      <c r="C1510">
        <v>138</v>
      </c>
      <c r="D1510">
        <v>7</v>
      </c>
      <c r="E1510" t="s">
        <v>2472</v>
      </c>
    </row>
    <row r="1511" spans="1:5" x14ac:dyDescent="0.3">
      <c r="A1511" t="s">
        <v>747</v>
      </c>
      <c r="B1511" t="s">
        <v>2473</v>
      </c>
      <c r="C1511">
        <v>171</v>
      </c>
      <c r="D1511">
        <v>15</v>
      </c>
      <c r="E1511" t="s">
        <v>2476</v>
      </c>
    </row>
    <row r="1512" spans="1:5" x14ac:dyDescent="0.3">
      <c r="A1512" t="s">
        <v>746</v>
      </c>
      <c r="B1512" t="s">
        <v>2471</v>
      </c>
      <c r="C1512">
        <v>67</v>
      </c>
      <c r="D1512">
        <v>0</v>
      </c>
      <c r="E1512" t="s">
        <v>2470</v>
      </c>
    </row>
    <row r="1513" spans="1:5" x14ac:dyDescent="0.3">
      <c r="A1513" t="s">
        <v>745</v>
      </c>
      <c r="B1513" t="s">
        <v>2471</v>
      </c>
      <c r="C1513">
        <v>9</v>
      </c>
      <c r="D1513">
        <v>0</v>
      </c>
      <c r="E1513" t="s">
        <v>2470</v>
      </c>
    </row>
    <row r="1514" spans="1:5" x14ac:dyDescent="0.3">
      <c r="A1514" t="s">
        <v>744</v>
      </c>
      <c r="B1514" t="s">
        <v>2473</v>
      </c>
      <c r="C1514">
        <v>12</v>
      </c>
      <c r="D1514">
        <v>1</v>
      </c>
      <c r="E1514" t="s">
        <v>2468</v>
      </c>
    </row>
    <row r="1515" spans="1:5" x14ac:dyDescent="0.3">
      <c r="A1515" t="s">
        <v>743</v>
      </c>
      <c r="B1515" t="s">
        <v>2471</v>
      </c>
      <c r="C1515">
        <v>19</v>
      </c>
      <c r="D1515">
        <v>0</v>
      </c>
      <c r="E1515" t="s">
        <v>2470</v>
      </c>
    </row>
    <row r="1516" spans="1:5" x14ac:dyDescent="0.3">
      <c r="A1516" t="s">
        <v>742</v>
      </c>
      <c r="B1516" t="s">
        <v>2471</v>
      </c>
      <c r="C1516">
        <v>14</v>
      </c>
      <c r="D1516">
        <v>0</v>
      </c>
      <c r="E1516" t="s">
        <v>2470</v>
      </c>
    </row>
    <row r="1517" spans="1:5" x14ac:dyDescent="0.3">
      <c r="A1517" t="s">
        <v>741</v>
      </c>
      <c r="B1517" t="s">
        <v>2469</v>
      </c>
      <c r="C1517">
        <v>387</v>
      </c>
      <c r="D1517">
        <v>17</v>
      </c>
      <c r="E1517" t="s">
        <v>2468</v>
      </c>
    </row>
    <row r="1518" spans="1:5" x14ac:dyDescent="0.3">
      <c r="A1518" t="s">
        <v>740</v>
      </c>
      <c r="B1518" t="s">
        <v>2469</v>
      </c>
      <c r="C1518">
        <v>755</v>
      </c>
      <c r="D1518">
        <v>14</v>
      </c>
      <c r="E1518" t="s">
        <v>2475</v>
      </c>
    </row>
    <row r="1519" spans="1:5" x14ac:dyDescent="0.3">
      <c r="A1519" t="s">
        <v>739</v>
      </c>
      <c r="B1519" t="s">
        <v>2469</v>
      </c>
      <c r="C1519">
        <v>189</v>
      </c>
      <c r="D1519">
        <v>2</v>
      </c>
      <c r="E1519" t="s">
        <v>2475</v>
      </c>
    </row>
    <row r="1520" spans="1:5" x14ac:dyDescent="0.3">
      <c r="A1520" t="s">
        <v>738</v>
      </c>
      <c r="B1520" t="s">
        <v>2473</v>
      </c>
      <c r="C1520">
        <v>18</v>
      </c>
      <c r="D1520">
        <v>1</v>
      </c>
      <c r="E1520" t="s">
        <v>2468</v>
      </c>
    </row>
    <row r="1521" spans="1:5" x14ac:dyDescent="0.3">
      <c r="A1521" t="s">
        <v>737</v>
      </c>
      <c r="B1521" t="s">
        <v>2469</v>
      </c>
      <c r="C1521">
        <v>118</v>
      </c>
      <c r="D1521">
        <v>3</v>
      </c>
      <c r="E1521" t="s">
        <v>2476</v>
      </c>
    </row>
    <row r="1522" spans="1:5" x14ac:dyDescent="0.3">
      <c r="A1522" t="s">
        <v>736</v>
      </c>
      <c r="B1522" t="s">
        <v>2471</v>
      </c>
      <c r="C1522">
        <v>16</v>
      </c>
      <c r="D1522">
        <v>0</v>
      </c>
      <c r="E1522" t="s">
        <v>2470</v>
      </c>
    </row>
    <row r="1523" spans="1:5" x14ac:dyDescent="0.3">
      <c r="A1523" t="s">
        <v>735</v>
      </c>
      <c r="B1523" t="s">
        <v>2469</v>
      </c>
      <c r="C1523">
        <v>24</v>
      </c>
      <c r="D1523">
        <v>1</v>
      </c>
      <c r="E1523" t="s">
        <v>2476</v>
      </c>
    </row>
    <row r="1524" spans="1:5" x14ac:dyDescent="0.3">
      <c r="A1524" t="s">
        <v>734</v>
      </c>
      <c r="B1524" t="s">
        <v>2469</v>
      </c>
      <c r="C1524">
        <v>88</v>
      </c>
      <c r="D1524">
        <v>1</v>
      </c>
      <c r="E1524" t="s">
        <v>2468</v>
      </c>
    </row>
    <row r="1525" spans="1:5" x14ac:dyDescent="0.3">
      <c r="A1525" t="s">
        <v>733</v>
      </c>
      <c r="B1525" t="s">
        <v>2473</v>
      </c>
      <c r="C1525">
        <v>152</v>
      </c>
      <c r="D1525">
        <v>8</v>
      </c>
      <c r="E1525" t="s">
        <v>2468</v>
      </c>
    </row>
    <row r="1526" spans="1:5" x14ac:dyDescent="0.3">
      <c r="A1526" t="s">
        <v>732</v>
      </c>
      <c r="B1526" t="s">
        <v>2469</v>
      </c>
      <c r="C1526">
        <v>121</v>
      </c>
      <c r="D1526">
        <v>1</v>
      </c>
      <c r="E1526" t="s">
        <v>2472</v>
      </c>
    </row>
    <row r="1527" spans="1:5" x14ac:dyDescent="0.3">
      <c r="A1527" t="s">
        <v>731</v>
      </c>
      <c r="B1527" t="s">
        <v>2469</v>
      </c>
      <c r="C1527">
        <v>229</v>
      </c>
      <c r="D1527">
        <v>4</v>
      </c>
      <c r="E1527" t="s">
        <v>2475</v>
      </c>
    </row>
    <row r="1528" spans="1:5" x14ac:dyDescent="0.3">
      <c r="A1528" t="s">
        <v>730</v>
      </c>
      <c r="B1528" t="s">
        <v>2471</v>
      </c>
      <c r="C1528">
        <v>7</v>
      </c>
      <c r="D1528">
        <v>0</v>
      </c>
      <c r="E1528" t="s">
        <v>2470</v>
      </c>
    </row>
    <row r="1529" spans="1:5" x14ac:dyDescent="0.3">
      <c r="A1529" t="s">
        <v>729</v>
      </c>
      <c r="B1529" t="s">
        <v>2471</v>
      </c>
      <c r="C1529">
        <v>3</v>
      </c>
      <c r="D1529">
        <v>0</v>
      </c>
      <c r="E1529" t="s">
        <v>2470</v>
      </c>
    </row>
    <row r="1530" spans="1:5" x14ac:dyDescent="0.3">
      <c r="A1530" t="s">
        <v>728</v>
      </c>
      <c r="B1530" t="s">
        <v>2469</v>
      </c>
      <c r="C1530">
        <v>74</v>
      </c>
      <c r="D1530">
        <v>2</v>
      </c>
      <c r="E1530" t="s">
        <v>2468</v>
      </c>
    </row>
    <row r="1531" spans="1:5" x14ac:dyDescent="0.3">
      <c r="A1531" t="s">
        <v>727</v>
      </c>
      <c r="B1531" t="s">
        <v>2469</v>
      </c>
      <c r="C1531">
        <v>309</v>
      </c>
      <c r="D1531">
        <v>4</v>
      </c>
      <c r="E1531" t="s">
        <v>2468</v>
      </c>
    </row>
    <row r="1532" spans="1:5" x14ac:dyDescent="0.3">
      <c r="A1532" t="s">
        <v>726</v>
      </c>
      <c r="B1532" t="s">
        <v>2469</v>
      </c>
      <c r="C1532">
        <v>567</v>
      </c>
      <c r="D1532">
        <v>11</v>
      </c>
      <c r="E1532" t="s">
        <v>2476</v>
      </c>
    </row>
    <row r="1533" spans="1:5" x14ac:dyDescent="0.3">
      <c r="A1533" t="s">
        <v>725</v>
      </c>
      <c r="B1533" t="s">
        <v>2471</v>
      </c>
      <c r="C1533">
        <v>4</v>
      </c>
      <c r="D1533">
        <v>0</v>
      </c>
      <c r="E1533" t="s">
        <v>2470</v>
      </c>
    </row>
    <row r="1534" spans="1:5" x14ac:dyDescent="0.3">
      <c r="A1534" t="s">
        <v>724</v>
      </c>
      <c r="B1534" t="s">
        <v>2469</v>
      </c>
      <c r="C1534">
        <v>147</v>
      </c>
      <c r="D1534">
        <v>2</v>
      </c>
      <c r="E1534" t="s">
        <v>2468</v>
      </c>
    </row>
    <row r="1535" spans="1:5" x14ac:dyDescent="0.3">
      <c r="A1535" t="s">
        <v>723</v>
      </c>
      <c r="B1535" t="s">
        <v>2471</v>
      </c>
      <c r="C1535">
        <v>2</v>
      </c>
      <c r="D1535">
        <v>0</v>
      </c>
      <c r="E1535" t="s">
        <v>2470</v>
      </c>
    </row>
    <row r="1536" spans="1:5" x14ac:dyDescent="0.3">
      <c r="A1536" t="s">
        <v>722</v>
      </c>
      <c r="B1536" t="s">
        <v>2469</v>
      </c>
      <c r="C1536">
        <v>168</v>
      </c>
      <c r="D1536">
        <v>5</v>
      </c>
      <c r="E1536" t="s">
        <v>2468</v>
      </c>
    </row>
    <row r="1537" spans="1:5" x14ac:dyDescent="0.3">
      <c r="A1537" t="s">
        <v>721</v>
      </c>
      <c r="B1537" t="s">
        <v>2471</v>
      </c>
      <c r="C1537">
        <v>7</v>
      </c>
      <c r="D1537">
        <v>0</v>
      </c>
      <c r="E1537" t="s">
        <v>2470</v>
      </c>
    </row>
    <row r="1538" spans="1:5" x14ac:dyDescent="0.3">
      <c r="A1538" t="s">
        <v>720</v>
      </c>
      <c r="B1538" t="s">
        <v>2473</v>
      </c>
      <c r="C1538">
        <v>114</v>
      </c>
      <c r="D1538">
        <v>12</v>
      </c>
      <c r="E1538" t="s">
        <v>2468</v>
      </c>
    </row>
    <row r="1539" spans="1:5" x14ac:dyDescent="0.3">
      <c r="A1539" t="s">
        <v>719</v>
      </c>
      <c r="B1539" t="s">
        <v>2469</v>
      </c>
      <c r="C1539">
        <v>421</v>
      </c>
      <c r="D1539">
        <v>3</v>
      </c>
      <c r="E1539" t="s">
        <v>2475</v>
      </c>
    </row>
    <row r="1540" spans="1:5" x14ac:dyDescent="0.3">
      <c r="A1540" t="s">
        <v>718</v>
      </c>
      <c r="B1540" t="s">
        <v>2471</v>
      </c>
      <c r="C1540">
        <v>3</v>
      </c>
      <c r="D1540">
        <v>0</v>
      </c>
      <c r="E1540" t="s">
        <v>2470</v>
      </c>
    </row>
    <row r="1541" spans="1:5" x14ac:dyDescent="0.3">
      <c r="A1541" t="s">
        <v>717</v>
      </c>
      <c r="B1541" t="s">
        <v>2471</v>
      </c>
      <c r="C1541">
        <v>378</v>
      </c>
      <c r="D1541">
        <v>0</v>
      </c>
      <c r="E1541" t="s">
        <v>2470</v>
      </c>
    </row>
    <row r="1542" spans="1:5" x14ac:dyDescent="0.3">
      <c r="A1542" t="s">
        <v>716</v>
      </c>
      <c r="B1542" t="s">
        <v>2469</v>
      </c>
      <c r="C1542">
        <v>250</v>
      </c>
      <c r="D1542">
        <v>2</v>
      </c>
      <c r="E1542" t="s">
        <v>2472</v>
      </c>
    </row>
    <row r="1543" spans="1:5" x14ac:dyDescent="0.3">
      <c r="A1543" t="s">
        <v>715</v>
      </c>
      <c r="B1543" t="s">
        <v>2471</v>
      </c>
      <c r="C1543">
        <v>12</v>
      </c>
      <c r="D1543">
        <v>0</v>
      </c>
      <c r="E1543" t="s">
        <v>2470</v>
      </c>
    </row>
    <row r="1544" spans="1:5" x14ac:dyDescent="0.3">
      <c r="A1544" t="s">
        <v>714</v>
      </c>
      <c r="B1544" t="s">
        <v>2469</v>
      </c>
      <c r="C1544">
        <v>736</v>
      </c>
      <c r="D1544">
        <v>14</v>
      </c>
      <c r="E1544" t="s">
        <v>2474</v>
      </c>
    </row>
    <row r="1545" spans="1:5" x14ac:dyDescent="0.3">
      <c r="A1545" t="s">
        <v>713</v>
      </c>
      <c r="B1545" t="s">
        <v>2469</v>
      </c>
      <c r="C1545">
        <v>159</v>
      </c>
      <c r="D1545">
        <v>1</v>
      </c>
      <c r="E1545" t="s">
        <v>2472</v>
      </c>
    </row>
    <row r="1546" spans="1:5" x14ac:dyDescent="0.3">
      <c r="A1546" t="s">
        <v>712</v>
      </c>
      <c r="B1546" t="s">
        <v>2469</v>
      </c>
      <c r="C1546">
        <v>431</v>
      </c>
      <c r="D1546">
        <v>13</v>
      </c>
      <c r="E1546" t="s">
        <v>2475</v>
      </c>
    </row>
    <row r="1547" spans="1:5" x14ac:dyDescent="0.3">
      <c r="A1547" t="s">
        <v>711</v>
      </c>
      <c r="B1547" t="s">
        <v>2469</v>
      </c>
      <c r="C1547">
        <v>562</v>
      </c>
      <c r="D1547">
        <v>8</v>
      </c>
      <c r="E1547" t="s">
        <v>2475</v>
      </c>
    </row>
    <row r="1548" spans="1:5" x14ac:dyDescent="0.3">
      <c r="A1548" t="s">
        <v>710</v>
      </c>
      <c r="B1548" t="s">
        <v>2469</v>
      </c>
      <c r="C1548">
        <v>236</v>
      </c>
      <c r="D1548">
        <v>4</v>
      </c>
      <c r="E1548" t="s">
        <v>2476</v>
      </c>
    </row>
    <row r="1549" spans="1:5" x14ac:dyDescent="0.3">
      <c r="A1549" t="s">
        <v>709</v>
      </c>
      <c r="B1549" t="s">
        <v>2469</v>
      </c>
      <c r="C1549">
        <v>696</v>
      </c>
      <c r="D1549">
        <v>9</v>
      </c>
      <c r="E1549" t="s">
        <v>2472</v>
      </c>
    </row>
    <row r="1550" spans="1:5" x14ac:dyDescent="0.3">
      <c r="A1550" t="s">
        <v>708</v>
      </c>
      <c r="B1550" t="s">
        <v>2471</v>
      </c>
      <c r="C1550">
        <v>2</v>
      </c>
      <c r="D1550">
        <v>0</v>
      </c>
      <c r="E1550" t="s">
        <v>2470</v>
      </c>
    </row>
    <row r="1551" spans="1:5" x14ac:dyDescent="0.3">
      <c r="A1551" t="s">
        <v>707</v>
      </c>
      <c r="B1551" t="s">
        <v>2473</v>
      </c>
      <c r="C1551">
        <v>99</v>
      </c>
      <c r="D1551">
        <v>6</v>
      </c>
      <c r="E1551" t="s">
        <v>2468</v>
      </c>
    </row>
    <row r="1552" spans="1:5" x14ac:dyDescent="0.3">
      <c r="A1552" t="s">
        <v>706</v>
      </c>
      <c r="B1552" t="s">
        <v>2473</v>
      </c>
      <c r="C1552">
        <v>14</v>
      </c>
      <c r="D1552">
        <v>1</v>
      </c>
      <c r="E1552" t="s">
        <v>2476</v>
      </c>
    </row>
    <row r="1553" spans="1:5" x14ac:dyDescent="0.3">
      <c r="A1553" t="s">
        <v>705</v>
      </c>
      <c r="B1553" t="s">
        <v>2471</v>
      </c>
      <c r="C1553">
        <v>15</v>
      </c>
      <c r="D1553">
        <v>0</v>
      </c>
      <c r="E1553" t="s">
        <v>2470</v>
      </c>
    </row>
    <row r="1554" spans="1:5" x14ac:dyDescent="0.3">
      <c r="A1554" t="s">
        <v>704</v>
      </c>
      <c r="B1554" t="s">
        <v>2471</v>
      </c>
      <c r="C1554">
        <v>60</v>
      </c>
      <c r="D1554">
        <v>0</v>
      </c>
      <c r="E1554" t="s">
        <v>2470</v>
      </c>
    </row>
    <row r="1555" spans="1:5" x14ac:dyDescent="0.3">
      <c r="A1555" t="s">
        <v>703</v>
      </c>
      <c r="B1555" t="s">
        <v>2469</v>
      </c>
      <c r="C1555">
        <v>656</v>
      </c>
      <c r="D1555">
        <v>3</v>
      </c>
      <c r="E1555" t="s">
        <v>2474</v>
      </c>
    </row>
    <row r="1556" spans="1:5" x14ac:dyDescent="0.3">
      <c r="A1556" t="s">
        <v>702</v>
      </c>
      <c r="B1556" t="s">
        <v>2469</v>
      </c>
      <c r="C1556">
        <v>73</v>
      </c>
      <c r="D1556">
        <v>2</v>
      </c>
      <c r="E1556" t="s">
        <v>2474</v>
      </c>
    </row>
    <row r="1557" spans="1:5" x14ac:dyDescent="0.3">
      <c r="A1557" t="s">
        <v>701</v>
      </c>
      <c r="B1557" t="s">
        <v>2471</v>
      </c>
      <c r="C1557">
        <v>5</v>
      </c>
      <c r="D1557">
        <v>0</v>
      </c>
      <c r="E1557" t="s">
        <v>2470</v>
      </c>
    </row>
    <row r="1558" spans="1:5" x14ac:dyDescent="0.3">
      <c r="A1558" t="s">
        <v>700</v>
      </c>
      <c r="B1558" t="s">
        <v>2469</v>
      </c>
      <c r="C1558">
        <v>516</v>
      </c>
      <c r="D1558">
        <v>14</v>
      </c>
      <c r="E1558" t="s">
        <v>2468</v>
      </c>
    </row>
    <row r="1559" spans="1:5" x14ac:dyDescent="0.3">
      <c r="A1559" t="s">
        <v>699</v>
      </c>
      <c r="B1559" t="s">
        <v>2469</v>
      </c>
      <c r="C1559">
        <v>184</v>
      </c>
      <c r="D1559">
        <v>3</v>
      </c>
      <c r="E1559" t="s">
        <v>2476</v>
      </c>
    </row>
    <row r="1560" spans="1:5" x14ac:dyDescent="0.3">
      <c r="A1560" t="s">
        <v>698</v>
      </c>
      <c r="B1560" t="s">
        <v>2469</v>
      </c>
      <c r="C1560">
        <v>90</v>
      </c>
      <c r="D1560">
        <v>2</v>
      </c>
      <c r="E1560" t="s">
        <v>2474</v>
      </c>
    </row>
    <row r="1561" spans="1:5" x14ac:dyDescent="0.3">
      <c r="A1561" t="s">
        <v>697</v>
      </c>
      <c r="B1561" t="s">
        <v>2471</v>
      </c>
      <c r="C1561">
        <v>20</v>
      </c>
      <c r="D1561">
        <v>0</v>
      </c>
      <c r="E1561" t="s">
        <v>2470</v>
      </c>
    </row>
    <row r="1562" spans="1:5" x14ac:dyDescent="0.3">
      <c r="A1562" t="s">
        <v>696</v>
      </c>
      <c r="B1562" t="s">
        <v>2469</v>
      </c>
      <c r="C1562">
        <v>694</v>
      </c>
      <c r="D1562">
        <v>15</v>
      </c>
      <c r="E1562" t="s">
        <v>2472</v>
      </c>
    </row>
    <row r="1563" spans="1:5" x14ac:dyDescent="0.3">
      <c r="A1563" t="s">
        <v>695</v>
      </c>
      <c r="B1563" t="s">
        <v>2469</v>
      </c>
      <c r="C1563">
        <v>52</v>
      </c>
      <c r="D1563">
        <v>1</v>
      </c>
      <c r="E1563" t="s">
        <v>2474</v>
      </c>
    </row>
    <row r="1564" spans="1:5" x14ac:dyDescent="0.3">
      <c r="A1564" t="s">
        <v>694</v>
      </c>
      <c r="B1564" t="s">
        <v>2469</v>
      </c>
      <c r="C1564">
        <v>213</v>
      </c>
      <c r="D1564">
        <v>1</v>
      </c>
      <c r="E1564" t="s">
        <v>2475</v>
      </c>
    </row>
    <row r="1565" spans="1:5" x14ac:dyDescent="0.3">
      <c r="A1565" t="s">
        <v>693</v>
      </c>
      <c r="B1565" t="s">
        <v>2469</v>
      </c>
      <c r="C1565">
        <v>766</v>
      </c>
      <c r="D1565">
        <v>21</v>
      </c>
      <c r="E1565" t="s">
        <v>2475</v>
      </c>
    </row>
    <row r="1566" spans="1:5" x14ac:dyDescent="0.3">
      <c r="A1566" t="s">
        <v>692</v>
      </c>
      <c r="B1566" t="s">
        <v>2471</v>
      </c>
      <c r="C1566">
        <v>7</v>
      </c>
      <c r="D1566">
        <v>0</v>
      </c>
      <c r="E1566" t="s">
        <v>2470</v>
      </c>
    </row>
    <row r="1567" spans="1:5" x14ac:dyDescent="0.3">
      <c r="A1567" t="s">
        <v>691</v>
      </c>
      <c r="B1567" t="s">
        <v>2469</v>
      </c>
      <c r="C1567">
        <v>679</v>
      </c>
      <c r="D1567">
        <v>14</v>
      </c>
      <c r="E1567" t="s">
        <v>2474</v>
      </c>
    </row>
    <row r="1568" spans="1:5" x14ac:dyDescent="0.3">
      <c r="A1568" t="s">
        <v>690</v>
      </c>
      <c r="B1568" t="s">
        <v>2469</v>
      </c>
      <c r="C1568">
        <v>154</v>
      </c>
      <c r="D1568">
        <v>2</v>
      </c>
      <c r="E1568" t="s">
        <v>2475</v>
      </c>
    </row>
    <row r="1569" spans="1:5" x14ac:dyDescent="0.3">
      <c r="A1569" t="s">
        <v>689</v>
      </c>
      <c r="B1569" t="s">
        <v>2471</v>
      </c>
      <c r="C1569">
        <v>17</v>
      </c>
      <c r="D1569">
        <v>0</v>
      </c>
      <c r="E1569" t="s">
        <v>2470</v>
      </c>
    </row>
    <row r="1570" spans="1:5" x14ac:dyDescent="0.3">
      <c r="A1570" t="s">
        <v>688</v>
      </c>
      <c r="B1570" t="s">
        <v>2471</v>
      </c>
      <c r="C1570">
        <v>19</v>
      </c>
      <c r="D1570">
        <v>0</v>
      </c>
      <c r="E1570" t="s">
        <v>2470</v>
      </c>
    </row>
    <row r="1571" spans="1:5" x14ac:dyDescent="0.3">
      <c r="A1571" t="s">
        <v>687</v>
      </c>
      <c r="B1571" t="s">
        <v>2469</v>
      </c>
      <c r="C1571">
        <v>107</v>
      </c>
      <c r="D1571">
        <v>2</v>
      </c>
      <c r="E1571" t="s">
        <v>2476</v>
      </c>
    </row>
    <row r="1572" spans="1:5" x14ac:dyDescent="0.3">
      <c r="A1572" t="s">
        <v>686</v>
      </c>
      <c r="B1572" t="s">
        <v>2471</v>
      </c>
      <c r="C1572">
        <v>16</v>
      </c>
      <c r="D1572">
        <v>0</v>
      </c>
      <c r="E1572" t="s">
        <v>2470</v>
      </c>
    </row>
    <row r="1573" spans="1:5" x14ac:dyDescent="0.3">
      <c r="A1573" t="s">
        <v>685</v>
      </c>
      <c r="B1573" t="s">
        <v>2471</v>
      </c>
      <c r="C1573">
        <v>14</v>
      </c>
      <c r="D1573">
        <v>0</v>
      </c>
      <c r="E1573" t="s">
        <v>2470</v>
      </c>
    </row>
    <row r="1574" spans="1:5" x14ac:dyDescent="0.3">
      <c r="A1574" t="s">
        <v>684</v>
      </c>
      <c r="B1574" t="s">
        <v>2469</v>
      </c>
      <c r="C1574">
        <v>95</v>
      </c>
      <c r="D1574">
        <v>1</v>
      </c>
      <c r="E1574" t="s">
        <v>2475</v>
      </c>
    </row>
    <row r="1575" spans="1:5" x14ac:dyDescent="0.3">
      <c r="A1575" t="s">
        <v>683</v>
      </c>
      <c r="B1575" t="s">
        <v>2469</v>
      </c>
      <c r="C1575">
        <v>486</v>
      </c>
      <c r="D1575">
        <v>12</v>
      </c>
      <c r="E1575" t="s">
        <v>2474</v>
      </c>
    </row>
    <row r="1576" spans="1:5" x14ac:dyDescent="0.3">
      <c r="A1576" t="s">
        <v>682</v>
      </c>
      <c r="B1576" t="s">
        <v>2469</v>
      </c>
      <c r="C1576">
        <v>84</v>
      </c>
      <c r="D1576">
        <v>4</v>
      </c>
      <c r="E1576" t="s">
        <v>2475</v>
      </c>
    </row>
    <row r="1577" spans="1:5" x14ac:dyDescent="0.3">
      <c r="A1577" t="s">
        <v>681</v>
      </c>
      <c r="B1577" t="s">
        <v>2469</v>
      </c>
      <c r="C1577">
        <v>680</v>
      </c>
      <c r="D1577">
        <v>8</v>
      </c>
      <c r="E1577" t="s">
        <v>2474</v>
      </c>
    </row>
    <row r="1578" spans="1:5" x14ac:dyDescent="0.3">
      <c r="A1578" t="s">
        <v>680</v>
      </c>
      <c r="B1578" t="s">
        <v>2471</v>
      </c>
      <c r="C1578">
        <v>18</v>
      </c>
      <c r="D1578">
        <v>0</v>
      </c>
      <c r="E1578" t="s">
        <v>2470</v>
      </c>
    </row>
    <row r="1579" spans="1:5" x14ac:dyDescent="0.3">
      <c r="A1579" t="s">
        <v>679</v>
      </c>
      <c r="B1579" t="s">
        <v>2469</v>
      </c>
      <c r="C1579">
        <v>53</v>
      </c>
      <c r="D1579">
        <v>1</v>
      </c>
      <c r="E1579" t="s">
        <v>2476</v>
      </c>
    </row>
    <row r="1580" spans="1:5" x14ac:dyDescent="0.3">
      <c r="A1580" t="s">
        <v>678</v>
      </c>
      <c r="B1580" t="s">
        <v>2471</v>
      </c>
      <c r="C1580">
        <v>25</v>
      </c>
      <c r="D1580">
        <v>0</v>
      </c>
      <c r="E1580" t="s">
        <v>2470</v>
      </c>
    </row>
    <row r="1581" spans="1:5" x14ac:dyDescent="0.3">
      <c r="A1581" t="s">
        <v>677</v>
      </c>
      <c r="B1581" t="s">
        <v>2471</v>
      </c>
      <c r="C1581">
        <v>15</v>
      </c>
      <c r="D1581">
        <v>0</v>
      </c>
      <c r="E1581" t="s">
        <v>2470</v>
      </c>
    </row>
    <row r="1582" spans="1:5" x14ac:dyDescent="0.3">
      <c r="A1582" t="s">
        <v>676</v>
      </c>
      <c r="B1582" t="s">
        <v>2473</v>
      </c>
      <c r="C1582">
        <v>23</v>
      </c>
      <c r="D1582">
        <v>2</v>
      </c>
      <c r="E1582" t="s">
        <v>2472</v>
      </c>
    </row>
    <row r="1583" spans="1:5" x14ac:dyDescent="0.3">
      <c r="A1583" t="s">
        <v>675</v>
      </c>
      <c r="B1583" t="s">
        <v>2469</v>
      </c>
      <c r="C1583">
        <v>121</v>
      </c>
      <c r="D1583">
        <v>3</v>
      </c>
      <c r="E1583" t="s">
        <v>2475</v>
      </c>
    </row>
    <row r="1584" spans="1:5" x14ac:dyDescent="0.3">
      <c r="A1584" t="s">
        <v>674</v>
      </c>
      <c r="B1584" t="s">
        <v>2471</v>
      </c>
      <c r="C1584">
        <v>48</v>
      </c>
      <c r="D1584">
        <v>0</v>
      </c>
      <c r="E1584" t="s">
        <v>2470</v>
      </c>
    </row>
    <row r="1585" spans="1:5" x14ac:dyDescent="0.3">
      <c r="A1585" t="s">
        <v>673</v>
      </c>
      <c r="B1585" t="s">
        <v>2469</v>
      </c>
      <c r="C1585">
        <v>761</v>
      </c>
      <c r="D1585">
        <v>5</v>
      </c>
      <c r="E1585" t="s">
        <v>2475</v>
      </c>
    </row>
    <row r="1586" spans="1:5" x14ac:dyDescent="0.3">
      <c r="A1586" t="s">
        <v>672</v>
      </c>
      <c r="B1586" t="s">
        <v>2473</v>
      </c>
      <c r="C1586">
        <v>40</v>
      </c>
      <c r="D1586">
        <v>4</v>
      </c>
      <c r="E1586" t="s">
        <v>2475</v>
      </c>
    </row>
    <row r="1587" spans="1:5" x14ac:dyDescent="0.3">
      <c r="A1587" t="s">
        <v>671</v>
      </c>
      <c r="B1587" t="s">
        <v>2473</v>
      </c>
      <c r="C1587">
        <v>394</v>
      </c>
      <c r="D1587">
        <v>27</v>
      </c>
      <c r="E1587" t="s">
        <v>2476</v>
      </c>
    </row>
    <row r="1588" spans="1:5" x14ac:dyDescent="0.3">
      <c r="A1588" t="s">
        <v>670</v>
      </c>
      <c r="B1588" t="s">
        <v>2469</v>
      </c>
      <c r="C1588">
        <v>728</v>
      </c>
      <c r="D1588">
        <v>9</v>
      </c>
      <c r="E1588" t="s">
        <v>2474</v>
      </c>
    </row>
    <row r="1589" spans="1:5" x14ac:dyDescent="0.3">
      <c r="A1589" t="s">
        <v>669</v>
      </c>
      <c r="B1589" t="s">
        <v>2469</v>
      </c>
      <c r="C1589">
        <v>662</v>
      </c>
      <c r="D1589">
        <v>27</v>
      </c>
      <c r="E1589" t="s">
        <v>2468</v>
      </c>
    </row>
    <row r="1590" spans="1:5" x14ac:dyDescent="0.3">
      <c r="A1590" t="s">
        <v>668</v>
      </c>
      <c r="B1590" t="s">
        <v>2469</v>
      </c>
      <c r="C1590">
        <v>59</v>
      </c>
      <c r="D1590">
        <v>1</v>
      </c>
      <c r="E1590" t="s">
        <v>2475</v>
      </c>
    </row>
    <row r="1591" spans="1:5" x14ac:dyDescent="0.3">
      <c r="A1591" t="s">
        <v>667</v>
      </c>
      <c r="B1591" t="s">
        <v>2469</v>
      </c>
      <c r="C1591">
        <v>681</v>
      </c>
      <c r="D1591">
        <v>5</v>
      </c>
      <c r="E1591" t="s">
        <v>2474</v>
      </c>
    </row>
    <row r="1592" spans="1:5" x14ac:dyDescent="0.3">
      <c r="A1592" t="s">
        <v>666</v>
      </c>
      <c r="B1592" t="s">
        <v>2473</v>
      </c>
      <c r="C1592">
        <v>8</v>
      </c>
      <c r="D1592">
        <v>1</v>
      </c>
      <c r="E1592" t="s">
        <v>2468</v>
      </c>
    </row>
    <row r="1593" spans="1:5" x14ac:dyDescent="0.3">
      <c r="A1593" t="s">
        <v>665</v>
      </c>
      <c r="B1593" t="s">
        <v>2471</v>
      </c>
      <c r="C1593">
        <v>120</v>
      </c>
      <c r="D1593">
        <v>0</v>
      </c>
      <c r="E1593" t="s">
        <v>2470</v>
      </c>
    </row>
    <row r="1594" spans="1:5" x14ac:dyDescent="0.3">
      <c r="A1594" t="s">
        <v>664</v>
      </c>
      <c r="B1594" t="s">
        <v>2469</v>
      </c>
      <c r="C1594">
        <v>42</v>
      </c>
      <c r="D1594">
        <v>1</v>
      </c>
      <c r="E1594" t="s">
        <v>2476</v>
      </c>
    </row>
    <row r="1595" spans="1:5" x14ac:dyDescent="0.3">
      <c r="A1595" t="s">
        <v>663</v>
      </c>
      <c r="B1595" t="s">
        <v>2469</v>
      </c>
      <c r="C1595">
        <v>426</v>
      </c>
      <c r="D1595">
        <v>13</v>
      </c>
      <c r="E1595" t="s">
        <v>2474</v>
      </c>
    </row>
    <row r="1596" spans="1:5" x14ac:dyDescent="0.3">
      <c r="A1596" t="s">
        <v>662</v>
      </c>
      <c r="B1596" t="s">
        <v>2471</v>
      </c>
      <c r="C1596">
        <v>141</v>
      </c>
      <c r="D1596">
        <v>0</v>
      </c>
      <c r="E1596" t="s">
        <v>2470</v>
      </c>
    </row>
    <row r="1597" spans="1:5" x14ac:dyDescent="0.3">
      <c r="A1597" t="s">
        <v>661</v>
      </c>
      <c r="B1597" t="s">
        <v>2471</v>
      </c>
      <c r="C1597">
        <v>19</v>
      </c>
      <c r="D1597">
        <v>0</v>
      </c>
      <c r="E1597" t="s">
        <v>2470</v>
      </c>
    </row>
    <row r="1598" spans="1:5" x14ac:dyDescent="0.3">
      <c r="A1598" t="s">
        <v>660</v>
      </c>
      <c r="B1598" t="s">
        <v>2469</v>
      </c>
      <c r="C1598">
        <v>158</v>
      </c>
      <c r="D1598">
        <v>2</v>
      </c>
      <c r="E1598" t="s">
        <v>2475</v>
      </c>
    </row>
    <row r="1599" spans="1:5" x14ac:dyDescent="0.3">
      <c r="A1599" t="s">
        <v>659</v>
      </c>
      <c r="B1599" t="s">
        <v>2469</v>
      </c>
      <c r="C1599">
        <v>123</v>
      </c>
      <c r="D1599">
        <v>3</v>
      </c>
      <c r="E1599" t="s">
        <v>2475</v>
      </c>
    </row>
    <row r="1600" spans="1:5" x14ac:dyDescent="0.3">
      <c r="A1600" t="s">
        <v>658</v>
      </c>
      <c r="B1600" t="s">
        <v>2471</v>
      </c>
      <c r="C1600">
        <v>13</v>
      </c>
      <c r="D1600">
        <v>0</v>
      </c>
      <c r="E1600" t="s">
        <v>2470</v>
      </c>
    </row>
    <row r="1601" spans="1:5" x14ac:dyDescent="0.3">
      <c r="A1601" t="s">
        <v>657</v>
      </c>
      <c r="B1601" t="s">
        <v>2469</v>
      </c>
      <c r="C1601">
        <v>93</v>
      </c>
      <c r="D1601">
        <v>1</v>
      </c>
      <c r="E1601" t="s">
        <v>2475</v>
      </c>
    </row>
    <row r="1602" spans="1:5" x14ac:dyDescent="0.3">
      <c r="A1602" t="s">
        <v>656</v>
      </c>
      <c r="B1602" t="s">
        <v>2469</v>
      </c>
      <c r="C1602">
        <v>127</v>
      </c>
      <c r="D1602">
        <v>1</v>
      </c>
      <c r="E1602" t="s">
        <v>2474</v>
      </c>
    </row>
    <row r="1603" spans="1:5" x14ac:dyDescent="0.3">
      <c r="A1603" t="s">
        <v>655</v>
      </c>
      <c r="B1603" t="s">
        <v>2469</v>
      </c>
      <c r="C1603">
        <v>191</v>
      </c>
      <c r="D1603">
        <v>2</v>
      </c>
      <c r="E1603" t="s">
        <v>2476</v>
      </c>
    </row>
    <row r="1604" spans="1:5" x14ac:dyDescent="0.3">
      <c r="A1604" t="s">
        <v>654</v>
      </c>
      <c r="B1604" t="s">
        <v>2469</v>
      </c>
      <c r="C1604">
        <v>533</v>
      </c>
      <c r="D1604">
        <v>24</v>
      </c>
      <c r="E1604" t="s">
        <v>2472</v>
      </c>
    </row>
    <row r="1605" spans="1:5" x14ac:dyDescent="0.3">
      <c r="A1605" t="s">
        <v>653</v>
      </c>
      <c r="B1605" t="s">
        <v>2469</v>
      </c>
      <c r="C1605">
        <v>227</v>
      </c>
      <c r="D1605">
        <v>3</v>
      </c>
      <c r="E1605" t="s">
        <v>2475</v>
      </c>
    </row>
    <row r="1606" spans="1:5" x14ac:dyDescent="0.3">
      <c r="A1606" t="s">
        <v>652</v>
      </c>
      <c r="B1606" t="s">
        <v>2471</v>
      </c>
      <c r="C1606">
        <v>4</v>
      </c>
      <c r="D1606">
        <v>0</v>
      </c>
      <c r="E1606" t="s">
        <v>2470</v>
      </c>
    </row>
    <row r="1607" spans="1:5" x14ac:dyDescent="0.3">
      <c r="A1607" t="s">
        <v>651</v>
      </c>
      <c r="B1607" t="s">
        <v>2469</v>
      </c>
      <c r="C1607">
        <v>347</v>
      </c>
      <c r="D1607">
        <v>6</v>
      </c>
      <c r="E1607" t="s">
        <v>2476</v>
      </c>
    </row>
    <row r="1608" spans="1:5" x14ac:dyDescent="0.3">
      <c r="A1608" t="s">
        <v>650</v>
      </c>
      <c r="B1608" t="s">
        <v>2469</v>
      </c>
      <c r="C1608">
        <v>282</v>
      </c>
      <c r="D1608">
        <v>14</v>
      </c>
      <c r="E1608" t="s">
        <v>2474</v>
      </c>
    </row>
    <row r="1609" spans="1:5" x14ac:dyDescent="0.3">
      <c r="A1609" t="s">
        <v>649</v>
      </c>
      <c r="B1609" t="s">
        <v>2469</v>
      </c>
      <c r="C1609">
        <v>113</v>
      </c>
      <c r="D1609">
        <v>1</v>
      </c>
      <c r="E1609" t="s">
        <v>2475</v>
      </c>
    </row>
    <row r="1610" spans="1:5" x14ac:dyDescent="0.3">
      <c r="A1610" t="s">
        <v>648</v>
      </c>
      <c r="B1610" t="s">
        <v>2469</v>
      </c>
      <c r="C1610">
        <v>189</v>
      </c>
      <c r="D1610">
        <v>4</v>
      </c>
      <c r="E1610" t="s">
        <v>2468</v>
      </c>
    </row>
    <row r="1611" spans="1:5" x14ac:dyDescent="0.3">
      <c r="A1611" t="s">
        <v>647</v>
      </c>
      <c r="B1611" t="s">
        <v>2471</v>
      </c>
      <c r="C1611">
        <v>13</v>
      </c>
      <c r="D1611">
        <v>0</v>
      </c>
      <c r="E1611" t="s">
        <v>2470</v>
      </c>
    </row>
    <row r="1612" spans="1:5" x14ac:dyDescent="0.3">
      <c r="A1612" t="s">
        <v>646</v>
      </c>
      <c r="B1612" t="s">
        <v>2469</v>
      </c>
      <c r="C1612">
        <v>839</v>
      </c>
      <c r="D1612">
        <v>19</v>
      </c>
      <c r="E1612" t="s">
        <v>2468</v>
      </c>
    </row>
    <row r="1613" spans="1:5" x14ac:dyDescent="0.3">
      <c r="A1613" t="s">
        <v>645</v>
      </c>
      <c r="B1613" t="s">
        <v>2469</v>
      </c>
      <c r="C1613">
        <v>218</v>
      </c>
      <c r="D1613">
        <v>6</v>
      </c>
      <c r="E1613" t="s">
        <v>2475</v>
      </c>
    </row>
    <row r="1614" spans="1:5" x14ac:dyDescent="0.3">
      <c r="A1614" t="s">
        <v>644</v>
      </c>
      <c r="B1614" t="s">
        <v>2469</v>
      </c>
      <c r="C1614">
        <v>455</v>
      </c>
      <c r="D1614">
        <v>7</v>
      </c>
      <c r="E1614" t="s">
        <v>2474</v>
      </c>
    </row>
    <row r="1615" spans="1:5" x14ac:dyDescent="0.3">
      <c r="A1615" t="s">
        <v>643</v>
      </c>
      <c r="B1615" t="s">
        <v>2471</v>
      </c>
      <c r="C1615">
        <v>16</v>
      </c>
      <c r="D1615">
        <v>0</v>
      </c>
      <c r="E1615" t="s">
        <v>2470</v>
      </c>
    </row>
    <row r="1616" spans="1:5" x14ac:dyDescent="0.3">
      <c r="A1616" t="s">
        <v>642</v>
      </c>
      <c r="B1616" t="s">
        <v>2469</v>
      </c>
      <c r="C1616">
        <v>403</v>
      </c>
      <c r="D1616">
        <v>21</v>
      </c>
      <c r="E1616" t="s">
        <v>2474</v>
      </c>
    </row>
    <row r="1617" spans="1:5" x14ac:dyDescent="0.3">
      <c r="A1617" t="s">
        <v>641</v>
      </c>
      <c r="B1617" t="s">
        <v>2469</v>
      </c>
      <c r="C1617">
        <v>65</v>
      </c>
      <c r="D1617">
        <v>1</v>
      </c>
      <c r="E1617" t="s">
        <v>2475</v>
      </c>
    </row>
    <row r="1618" spans="1:5" x14ac:dyDescent="0.3">
      <c r="A1618" t="s">
        <v>640</v>
      </c>
      <c r="B1618" t="s">
        <v>2469</v>
      </c>
      <c r="C1618">
        <v>86</v>
      </c>
      <c r="D1618">
        <v>1</v>
      </c>
      <c r="E1618" t="s">
        <v>2475</v>
      </c>
    </row>
    <row r="1619" spans="1:5" x14ac:dyDescent="0.3">
      <c r="A1619" t="s">
        <v>639</v>
      </c>
      <c r="B1619" t="s">
        <v>2471</v>
      </c>
      <c r="C1619">
        <v>6</v>
      </c>
      <c r="D1619">
        <v>0</v>
      </c>
      <c r="E1619" t="s">
        <v>2470</v>
      </c>
    </row>
    <row r="1620" spans="1:5" x14ac:dyDescent="0.3">
      <c r="A1620" t="s">
        <v>638</v>
      </c>
      <c r="B1620" t="s">
        <v>2469</v>
      </c>
      <c r="C1620">
        <v>45</v>
      </c>
      <c r="D1620">
        <v>1</v>
      </c>
      <c r="E1620" t="s">
        <v>2468</v>
      </c>
    </row>
    <row r="1621" spans="1:5" x14ac:dyDescent="0.3">
      <c r="A1621" t="s">
        <v>637</v>
      </c>
      <c r="B1621" t="s">
        <v>2473</v>
      </c>
      <c r="C1621">
        <v>11</v>
      </c>
      <c r="D1621">
        <v>1</v>
      </c>
      <c r="E1621" t="s">
        <v>2468</v>
      </c>
    </row>
    <row r="1622" spans="1:5" x14ac:dyDescent="0.3">
      <c r="A1622" t="s">
        <v>636</v>
      </c>
      <c r="B1622" t="s">
        <v>2469</v>
      </c>
      <c r="C1622">
        <v>80</v>
      </c>
      <c r="D1622">
        <v>2</v>
      </c>
      <c r="E1622" t="s">
        <v>2475</v>
      </c>
    </row>
    <row r="1623" spans="1:5" x14ac:dyDescent="0.3">
      <c r="A1623" t="s">
        <v>635</v>
      </c>
      <c r="B1623" t="s">
        <v>2471</v>
      </c>
      <c r="C1623">
        <v>16</v>
      </c>
      <c r="D1623">
        <v>0</v>
      </c>
      <c r="E1623" t="s">
        <v>2470</v>
      </c>
    </row>
    <row r="1624" spans="1:5" x14ac:dyDescent="0.3">
      <c r="A1624" t="s">
        <v>634</v>
      </c>
      <c r="B1624" t="s">
        <v>2469</v>
      </c>
      <c r="C1624">
        <v>88</v>
      </c>
      <c r="D1624">
        <v>2</v>
      </c>
      <c r="E1624" t="s">
        <v>2476</v>
      </c>
    </row>
    <row r="1625" spans="1:5" x14ac:dyDescent="0.3">
      <c r="A1625" t="s">
        <v>633</v>
      </c>
      <c r="B1625" t="s">
        <v>2471</v>
      </c>
      <c r="C1625">
        <v>6</v>
      </c>
      <c r="D1625">
        <v>0</v>
      </c>
      <c r="E1625" t="s">
        <v>2470</v>
      </c>
    </row>
    <row r="1626" spans="1:5" x14ac:dyDescent="0.3">
      <c r="A1626" t="s">
        <v>632</v>
      </c>
      <c r="B1626" t="s">
        <v>2471</v>
      </c>
      <c r="C1626">
        <v>9</v>
      </c>
      <c r="D1626">
        <v>0</v>
      </c>
      <c r="E1626" t="s">
        <v>2470</v>
      </c>
    </row>
    <row r="1627" spans="1:5" x14ac:dyDescent="0.3">
      <c r="A1627" t="s">
        <v>631</v>
      </c>
      <c r="B1627" t="s">
        <v>2471</v>
      </c>
      <c r="C1627">
        <v>3</v>
      </c>
      <c r="D1627">
        <v>0</v>
      </c>
      <c r="E1627" t="s">
        <v>2470</v>
      </c>
    </row>
    <row r="1628" spans="1:5" x14ac:dyDescent="0.3">
      <c r="A1628" t="s">
        <v>630</v>
      </c>
      <c r="B1628" t="s">
        <v>2469</v>
      </c>
      <c r="C1628">
        <v>445</v>
      </c>
      <c r="D1628">
        <v>3</v>
      </c>
      <c r="E1628" t="s">
        <v>2468</v>
      </c>
    </row>
    <row r="1629" spans="1:5" x14ac:dyDescent="0.3">
      <c r="A1629" t="s">
        <v>629</v>
      </c>
      <c r="B1629" t="s">
        <v>2469</v>
      </c>
      <c r="C1629">
        <v>106</v>
      </c>
      <c r="D1629">
        <v>4</v>
      </c>
      <c r="E1629" t="s">
        <v>2475</v>
      </c>
    </row>
    <row r="1630" spans="1:5" x14ac:dyDescent="0.3">
      <c r="A1630" t="s">
        <v>628</v>
      </c>
      <c r="B1630" t="s">
        <v>2469</v>
      </c>
      <c r="C1630">
        <v>1218</v>
      </c>
      <c r="D1630">
        <v>32</v>
      </c>
      <c r="E1630" t="s">
        <v>2474</v>
      </c>
    </row>
    <row r="1631" spans="1:5" x14ac:dyDescent="0.3">
      <c r="A1631" t="s">
        <v>627</v>
      </c>
      <c r="B1631" t="s">
        <v>2471</v>
      </c>
      <c r="C1631">
        <v>8</v>
      </c>
      <c r="D1631">
        <v>0</v>
      </c>
      <c r="E1631" t="s">
        <v>2470</v>
      </c>
    </row>
    <row r="1632" spans="1:5" x14ac:dyDescent="0.3">
      <c r="A1632" t="s">
        <v>626</v>
      </c>
      <c r="B1632" t="s">
        <v>2469</v>
      </c>
      <c r="C1632">
        <v>246</v>
      </c>
      <c r="D1632">
        <v>3</v>
      </c>
      <c r="E1632" t="s">
        <v>2472</v>
      </c>
    </row>
    <row r="1633" spans="1:5" x14ac:dyDescent="0.3">
      <c r="A1633" t="s">
        <v>625</v>
      </c>
      <c r="B1633" t="s">
        <v>2471</v>
      </c>
      <c r="C1633">
        <v>10</v>
      </c>
      <c r="D1633">
        <v>0</v>
      </c>
      <c r="E1633" t="s">
        <v>2470</v>
      </c>
    </row>
    <row r="1634" spans="1:5" x14ac:dyDescent="0.3">
      <c r="A1634" t="s">
        <v>624</v>
      </c>
      <c r="B1634" t="s">
        <v>2469</v>
      </c>
      <c r="C1634">
        <v>127</v>
      </c>
      <c r="D1634">
        <v>2</v>
      </c>
      <c r="E1634" t="s">
        <v>2472</v>
      </c>
    </row>
    <row r="1635" spans="1:5" x14ac:dyDescent="0.3">
      <c r="A1635" t="s">
        <v>623</v>
      </c>
      <c r="B1635" t="s">
        <v>2469</v>
      </c>
      <c r="C1635">
        <v>89</v>
      </c>
      <c r="D1635">
        <v>1</v>
      </c>
      <c r="E1635" t="s">
        <v>2474</v>
      </c>
    </row>
    <row r="1636" spans="1:5" x14ac:dyDescent="0.3">
      <c r="A1636" t="s">
        <v>622</v>
      </c>
      <c r="B1636" t="s">
        <v>2469</v>
      </c>
      <c r="C1636">
        <v>139</v>
      </c>
      <c r="D1636">
        <v>7</v>
      </c>
      <c r="E1636" t="s">
        <v>2475</v>
      </c>
    </row>
    <row r="1637" spans="1:5" x14ac:dyDescent="0.3">
      <c r="A1637" t="s">
        <v>621</v>
      </c>
      <c r="B1637" t="s">
        <v>2471</v>
      </c>
      <c r="C1637">
        <v>90</v>
      </c>
      <c r="D1637">
        <v>0</v>
      </c>
      <c r="E1637" t="s">
        <v>2470</v>
      </c>
    </row>
    <row r="1638" spans="1:5" x14ac:dyDescent="0.3">
      <c r="A1638" t="s">
        <v>620</v>
      </c>
      <c r="B1638" t="s">
        <v>2473</v>
      </c>
      <c r="C1638">
        <v>157</v>
      </c>
      <c r="D1638">
        <v>9</v>
      </c>
      <c r="E1638" t="s">
        <v>2475</v>
      </c>
    </row>
    <row r="1639" spans="1:5" x14ac:dyDescent="0.3">
      <c r="A1639" t="s">
        <v>619</v>
      </c>
      <c r="B1639" t="s">
        <v>2471</v>
      </c>
      <c r="C1639">
        <v>18</v>
      </c>
      <c r="D1639">
        <v>0</v>
      </c>
      <c r="E1639" t="s">
        <v>2470</v>
      </c>
    </row>
    <row r="1640" spans="1:5" x14ac:dyDescent="0.3">
      <c r="A1640" t="s">
        <v>618</v>
      </c>
      <c r="B1640" t="s">
        <v>2473</v>
      </c>
      <c r="C1640">
        <v>720</v>
      </c>
      <c r="D1640">
        <v>60</v>
      </c>
      <c r="E1640" t="s">
        <v>2476</v>
      </c>
    </row>
    <row r="1641" spans="1:5" x14ac:dyDescent="0.3">
      <c r="A1641" t="s">
        <v>617</v>
      </c>
      <c r="B1641" t="s">
        <v>2471</v>
      </c>
      <c r="C1641">
        <v>27</v>
      </c>
      <c r="D1641">
        <v>0</v>
      </c>
      <c r="E1641" t="s">
        <v>2470</v>
      </c>
    </row>
    <row r="1642" spans="1:5" x14ac:dyDescent="0.3">
      <c r="A1642" t="s">
        <v>616</v>
      </c>
      <c r="B1642" t="s">
        <v>2471</v>
      </c>
      <c r="C1642">
        <v>19</v>
      </c>
      <c r="D1642">
        <v>0</v>
      </c>
      <c r="E1642" t="s">
        <v>2470</v>
      </c>
    </row>
    <row r="1643" spans="1:5" x14ac:dyDescent="0.3">
      <c r="A1643" t="s">
        <v>615</v>
      </c>
      <c r="B1643" t="s">
        <v>2473</v>
      </c>
      <c r="C1643">
        <v>64</v>
      </c>
      <c r="D1643">
        <v>9</v>
      </c>
      <c r="E1643" t="s">
        <v>2468</v>
      </c>
    </row>
    <row r="1644" spans="1:5" x14ac:dyDescent="0.3">
      <c r="A1644" t="s">
        <v>614</v>
      </c>
      <c r="B1644" t="s">
        <v>2471</v>
      </c>
      <c r="C1644">
        <v>20</v>
      </c>
      <c r="D1644">
        <v>0</v>
      </c>
      <c r="E1644" t="s">
        <v>2470</v>
      </c>
    </row>
    <row r="1645" spans="1:5" x14ac:dyDescent="0.3">
      <c r="A1645" t="s">
        <v>613</v>
      </c>
      <c r="B1645" t="s">
        <v>2469</v>
      </c>
      <c r="C1645">
        <v>681</v>
      </c>
      <c r="D1645">
        <v>18</v>
      </c>
      <c r="E1645" t="s">
        <v>2474</v>
      </c>
    </row>
    <row r="1646" spans="1:5" x14ac:dyDescent="0.3">
      <c r="A1646" t="s">
        <v>612</v>
      </c>
      <c r="B1646" t="s">
        <v>2469</v>
      </c>
      <c r="C1646">
        <v>469</v>
      </c>
      <c r="D1646">
        <v>5</v>
      </c>
      <c r="E1646" t="s">
        <v>2468</v>
      </c>
    </row>
    <row r="1647" spans="1:5" x14ac:dyDescent="0.3">
      <c r="A1647" t="s">
        <v>611</v>
      </c>
      <c r="B1647" t="s">
        <v>2473</v>
      </c>
      <c r="C1647">
        <v>12</v>
      </c>
      <c r="D1647">
        <v>1</v>
      </c>
      <c r="E1647" t="s">
        <v>2472</v>
      </c>
    </row>
    <row r="1648" spans="1:5" x14ac:dyDescent="0.3">
      <c r="A1648" t="s">
        <v>610</v>
      </c>
      <c r="B1648" t="s">
        <v>2471</v>
      </c>
      <c r="C1648">
        <v>8</v>
      </c>
      <c r="D1648">
        <v>0</v>
      </c>
      <c r="E1648" t="s">
        <v>2470</v>
      </c>
    </row>
    <row r="1649" spans="1:5" x14ac:dyDescent="0.3">
      <c r="A1649" t="s">
        <v>609</v>
      </c>
      <c r="B1649" t="s">
        <v>2469</v>
      </c>
      <c r="C1649">
        <v>207</v>
      </c>
      <c r="D1649">
        <v>6</v>
      </c>
      <c r="E1649" t="s">
        <v>2475</v>
      </c>
    </row>
    <row r="1650" spans="1:5" x14ac:dyDescent="0.3">
      <c r="A1650" t="s">
        <v>608</v>
      </c>
      <c r="B1650" t="s">
        <v>2471</v>
      </c>
      <c r="C1650">
        <v>14</v>
      </c>
      <c r="D1650">
        <v>0</v>
      </c>
      <c r="E1650" t="s">
        <v>2470</v>
      </c>
    </row>
    <row r="1651" spans="1:5" x14ac:dyDescent="0.3">
      <c r="A1651" t="s">
        <v>607</v>
      </c>
      <c r="B1651" t="s">
        <v>2469</v>
      </c>
      <c r="C1651">
        <v>255</v>
      </c>
      <c r="D1651">
        <v>4</v>
      </c>
      <c r="E1651" t="s">
        <v>2472</v>
      </c>
    </row>
    <row r="1652" spans="1:5" x14ac:dyDescent="0.3">
      <c r="A1652" t="s">
        <v>606</v>
      </c>
      <c r="B1652" t="s">
        <v>2469</v>
      </c>
      <c r="C1652">
        <v>151</v>
      </c>
      <c r="D1652">
        <v>4</v>
      </c>
      <c r="E1652" t="s">
        <v>2475</v>
      </c>
    </row>
    <row r="1653" spans="1:5" x14ac:dyDescent="0.3">
      <c r="A1653" t="s">
        <v>605</v>
      </c>
      <c r="B1653" t="s">
        <v>2469</v>
      </c>
      <c r="C1653">
        <v>511</v>
      </c>
      <c r="D1653">
        <v>13</v>
      </c>
      <c r="E1653" t="s">
        <v>2474</v>
      </c>
    </row>
    <row r="1654" spans="1:5" x14ac:dyDescent="0.3">
      <c r="A1654" t="s">
        <v>604</v>
      </c>
      <c r="B1654" t="s">
        <v>2469</v>
      </c>
      <c r="C1654">
        <v>269</v>
      </c>
      <c r="D1654">
        <v>2</v>
      </c>
      <c r="E1654" t="s">
        <v>2474</v>
      </c>
    </row>
    <row r="1655" spans="1:5" x14ac:dyDescent="0.3">
      <c r="A1655" t="s">
        <v>603</v>
      </c>
      <c r="B1655" t="s">
        <v>2469</v>
      </c>
      <c r="C1655">
        <v>381</v>
      </c>
      <c r="D1655">
        <v>4</v>
      </c>
      <c r="E1655" t="s">
        <v>2472</v>
      </c>
    </row>
    <row r="1656" spans="1:5" x14ac:dyDescent="0.3">
      <c r="A1656" t="s">
        <v>602</v>
      </c>
      <c r="B1656" t="s">
        <v>2473</v>
      </c>
      <c r="C1656">
        <v>75</v>
      </c>
      <c r="D1656">
        <v>8</v>
      </c>
      <c r="E1656" t="s">
        <v>2476</v>
      </c>
    </row>
    <row r="1657" spans="1:5" x14ac:dyDescent="0.3">
      <c r="A1657" t="s">
        <v>601</v>
      </c>
      <c r="B1657" t="s">
        <v>2471</v>
      </c>
      <c r="C1657">
        <v>22</v>
      </c>
      <c r="D1657">
        <v>0</v>
      </c>
      <c r="E1657" t="s">
        <v>2470</v>
      </c>
    </row>
    <row r="1658" spans="1:5" x14ac:dyDescent="0.3">
      <c r="A1658" t="s">
        <v>600</v>
      </c>
      <c r="B1658" t="s">
        <v>2469</v>
      </c>
      <c r="C1658">
        <v>48</v>
      </c>
      <c r="D1658">
        <v>2</v>
      </c>
      <c r="E1658" t="s">
        <v>2468</v>
      </c>
    </row>
    <row r="1659" spans="1:5" x14ac:dyDescent="0.3">
      <c r="A1659" t="s">
        <v>599</v>
      </c>
      <c r="B1659" t="s">
        <v>2469</v>
      </c>
      <c r="C1659">
        <v>123</v>
      </c>
      <c r="D1659">
        <v>4</v>
      </c>
      <c r="E1659" t="s">
        <v>2472</v>
      </c>
    </row>
    <row r="1660" spans="1:5" x14ac:dyDescent="0.3">
      <c r="A1660" t="s">
        <v>598</v>
      </c>
      <c r="B1660" t="s">
        <v>2471</v>
      </c>
      <c r="C1660">
        <v>46</v>
      </c>
      <c r="D1660">
        <v>0</v>
      </c>
      <c r="E1660" t="s">
        <v>2470</v>
      </c>
    </row>
    <row r="1661" spans="1:5" x14ac:dyDescent="0.3">
      <c r="A1661" t="s">
        <v>597</v>
      </c>
      <c r="B1661" t="s">
        <v>2469</v>
      </c>
      <c r="C1661">
        <v>730</v>
      </c>
      <c r="D1661">
        <v>18</v>
      </c>
      <c r="E1661" t="s">
        <v>2476</v>
      </c>
    </row>
    <row r="1662" spans="1:5" x14ac:dyDescent="0.3">
      <c r="A1662" t="s">
        <v>596</v>
      </c>
      <c r="B1662" t="s">
        <v>2469</v>
      </c>
      <c r="C1662">
        <v>740</v>
      </c>
      <c r="D1662">
        <v>13</v>
      </c>
      <c r="E1662" t="s">
        <v>2472</v>
      </c>
    </row>
    <row r="1663" spans="1:5" x14ac:dyDescent="0.3">
      <c r="A1663" t="s">
        <v>595</v>
      </c>
      <c r="B1663" t="s">
        <v>2471</v>
      </c>
      <c r="C1663">
        <v>22</v>
      </c>
      <c r="D1663">
        <v>0</v>
      </c>
      <c r="E1663" t="s">
        <v>2470</v>
      </c>
    </row>
    <row r="1664" spans="1:5" x14ac:dyDescent="0.3">
      <c r="A1664" t="s">
        <v>594</v>
      </c>
      <c r="B1664" t="s">
        <v>2469</v>
      </c>
      <c r="C1664">
        <v>745</v>
      </c>
      <c r="D1664">
        <v>4</v>
      </c>
      <c r="E1664" t="s">
        <v>2472</v>
      </c>
    </row>
    <row r="1665" spans="1:5" x14ac:dyDescent="0.3">
      <c r="A1665" t="s">
        <v>593</v>
      </c>
      <c r="B1665" t="s">
        <v>2471</v>
      </c>
      <c r="C1665">
        <v>6</v>
      </c>
      <c r="D1665">
        <v>0</v>
      </c>
      <c r="E1665" t="s">
        <v>2470</v>
      </c>
    </row>
    <row r="1666" spans="1:5" x14ac:dyDescent="0.3">
      <c r="A1666" t="s">
        <v>592</v>
      </c>
      <c r="B1666" t="s">
        <v>2473</v>
      </c>
      <c r="C1666">
        <v>134</v>
      </c>
      <c r="D1666">
        <v>10</v>
      </c>
      <c r="E1666" t="s">
        <v>2474</v>
      </c>
    </row>
    <row r="1667" spans="1:5" x14ac:dyDescent="0.3">
      <c r="A1667" t="s">
        <v>591</v>
      </c>
      <c r="B1667" t="s">
        <v>2469</v>
      </c>
      <c r="C1667">
        <v>609</v>
      </c>
      <c r="D1667">
        <v>11</v>
      </c>
      <c r="E1667" t="s">
        <v>2474</v>
      </c>
    </row>
    <row r="1668" spans="1:5" x14ac:dyDescent="0.3">
      <c r="A1668" t="s">
        <v>590</v>
      </c>
      <c r="B1668" t="s">
        <v>2471</v>
      </c>
      <c r="C1668">
        <v>18</v>
      </c>
      <c r="D1668">
        <v>0</v>
      </c>
      <c r="E1668" t="s">
        <v>2470</v>
      </c>
    </row>
    <row r="1669" spans="1:5" x14ac:dyDescent="0.3">
      <c r="A1669" t="s">
        <v>589</v>
      </c>
      <c r="B1669" t="s">
        <v>2471</v>
      </c>
      <c r="C1669">
        <v>7</v>
      </c>
      <c r="D1669">
        <v>0</v>
      </c>
      <c r="E1669" t="s">
        <v>2470</v>
      </c>
    </row>
    <row r="1670" spans="1:5" x14ac:dyDescent="0.3">
      <c r="A1670" t="s">
        <v>588</v>
      </c>
      <c r="B1670" t="s">
        <v>2471</v>
      </c>
      <c r="C1670">
        <v>23</v>
      </c>
      <c r="D1670">
        <v>0</v>
      </c>
      <c r="E1670" t="s">
        <v>2470</v>
      </c>
    </row>
    <row r="1671" spans="1:5" x14ac:dyDescent="0.3">
      <c r="A1671" t="s">
        <v>587</v>
      </c>
      <c r="B1671" t="s">
        <v>2473</v>
      </c>
      <c r="C1671">
        <v>724</v>
      </c>
      <c r="D1671">
        <v>44</v>
      </c>
      <c r="E1671" t="s">
        <v>2472</v>
      </c>
    </row>
    <row r="1672" spans="1:5" x14ac:dyDescent="0.3">
      <c r="A1672" t="s">
        <v>586</v>
      </c>
      <c r="B1672" t="s">
        <v>2469</v>
      </c>
      <c r="C1672">
        <v>144</v>
      </c>
      <c r="D1672">
        <v>1</v>
      </c>
      <c r="E1672" t="s">
        <v>2476</v>
      </c>
    </row>
    <row r="1673" spans="1:5" x14ac:dyDescent="0.3">
      <c r="A1673" t="s">
        <v>585</v>
      </c>
      <c r="B1673" t="s">
        <v>2469</v>
      </c>
      <c r="C1673">
        <v>263</v>
      </c>
      <c r="D1673">
        <v>5</v>
      </c>
      <c r="E1673" t="s">
        <v>2474</v>
      </c>
    </row>
    <row r="1674" spans="1:5" x14ac:dyDescent="0.3">
      <c r="A1674" t="s">
        <v>584</v>
      </c>
      <c r="B1674" t="s">
        <v>2469</v>
      </c>
      <c r="C1674">
        <v>167</v>
      </c>
      <c r="D1674">
        <v>3</v>
      </c>
      <c r="E1674" t="s">
        <v>2474</v>
      </c>
    </row>
    <row r="1675" spans="1:5" x14ac:dyDescent="0.3">
      <c r="A1675" t="s">
        <v>583</v>
      </c>
      <c r="B1675" t="s">
        <v>2471</v>
      </c>
      <c r="C1675">
        <v>27</v>
      </c>
      <c r="D1675">
        <v>0</v>
      </c>
      <c r="E1675" t="s">
        <v>2470</v>
      </c>
    </row>
    <row r="1676" spans="1:5" x14ac:dyDescent="0.3">
      <c r="A1676" t="s">
        <v>582</v>
      </c>
      <c r="B1676" t="s">
        <v>2473</v>
      </c>
      <c r="C1676">
        <v>86</v>
      </c>
      <c r="D1676">
        <v>7</v>
      </c>
      <c r="E1676" t="s">
        <v>2476</v>
      </c>
    </row>
    <row r="1677" spans="1:5" x14ac:dyDescent="0.3">
      <c r="A1677" t="s">
        <v>581</v>
      </c>
      <c r="B1677" t="s">
        <v>2471</v>
      </c>
      <c r="C1677">
        <v>23</v>
      </c>
      <c r="D1677">
        <v>0</v>
      </c>
      <c r="E1677" t="s">
        <v>2470</v>
      </c>
    </row>
    <row r="1678" spans="1:5" x14ac:dyDescent="0.3">
      <c r="A1678" t="s">
        <v>580</v>
      </c>
      <c r="B1678" t="s">
        <v>2471</v>
      </c>
      <c r="C1678">
        <v>18</v>
      </c>
      <c r="D1678">
        <v>0</v>
      </c>
      <c r="E1678" t="s">
        <v>2470</v>
      </c>
    </row>
    <row r="1679" spans="1:5" x14ac:dyDescent="0.3">
      <c r="A1679" t="s">
        <v>579</v>
      </c>
      <c r="B1679" t="s">
        <v>2469</v>
      </c>
      <c r="C1679">
        <v>124</v>
      </c>
      <c r="D1679">
        <v>2</v>
      </c>
      <c r="E1679" t="s">
        <v>2468</v>
      </c>
    </row>
    <row r="1680" spans="1:5" x14ac:dyDescent="0.3">
      <c r="A1680" t="s">
        <v>578</v>
      </c>
      <c r="B1680" t="s">
        <v>2473</v>
      </c>
      <c r="C1680">
        <v>19</v>
      </c>
      <c r="D1680">
        <v>1</v>
      </c>
      <c r="E1680" t="s">
        <v>2472</v>
      </c>
    </row>
    <row r="1681" spans="1:5" x14ac:dyDescent="0.3">
      <c r="A1681" t="s">
        <v>577</v>
      </c>
      <c r="B1681" t="s">
        <v>2469</v>
      </c>
      <c r="C1681">
        <v>145</v>
      </c>
      <c r="D1681">
        <v>2</v>
      </c>
      <c r="E1681" t="s">
        <v>2468</v>
      </c>
    </row>
    <row r="1682" spans="1:5" x14ac:dyDescent="0.3">
      <c r="A1682" t="s">
        <v>576</v>
      </c>
      <c r="B1682" t="s">
        <v>2471</v>
      </c>
      <c r="C1682">
        <v>24</v>
      </c>
      <c r="D1682">
        <v>0</v>
      </c>
      <c r="E1682" t="s">
        <v>2470</v>
      </c>
    </row>
    <row r="1683" spans="1:5" x14ac:dyDescent="0.3">
      <c r="A1683" t="s">
        <v>575</v>
      </c>
      <c r="B1683" t="s">
        <v>2473</v>
      </c>
      <c r="C1683">
        <v>89</v>
      </c>
      <c r="D1683">
        <v>8</v>
      </c>
      <c r="E1683" t="s">
        <v>2476</v>
      </c>
    </row>
    <row r="1684" spans="1:5" x14ac:dyDescent="0.3">
      <c r="A1684" t="s">
        <v>574</v>
      </c>
      <c r="B1684" t="s">
        <v>2469</v>
      </c>
      <c r="C1684">
        <v>67</v>
      </c>
      <c r="D1684">
        <v>1</v>
      </c>
      <c r="E1684" t="s">
        <v>2475</v>
      </c>
    </row>
    <row r="1685" spans="1:5" x14ac:dyDescent="0.3">
      <c r="A1685" t="s">
        <v>573</v>
      </c>
      <c r="B1685" t="s">
        <v>2469</v>
      </c>
      <c r="C1685">
        <v>93</v>
      </c>
      <c r="D1685">
        <v>2</v>
      </c>
      <c r="E1685" t="s">
        <v>2472</v>
      </c>
    </row>
    <row r="1686" spans="1:5" x14ac:dyDescent="0.3">
      <c r="A1686" t="s">
        <v>572</v>
      </c>
      <c r="B1686" t="s">
        <v>2471</v>
      </c>
      <c r="C1686">
        <v>45</v>
      </c>
      <c r="D1686">
        <v>0</v>
      </c>
      <c r="E1686" t="s">
        <v>2470</v>
      </c>
    </row>
    <row r="1687" spans="1:5" x14ac:dyDescent="0.3">
      <c r="A1687" t="s">
        <v>571</v>
      </c>
      <c r="B1687" t="s">
        <v>2469</v>
      </c>
      <c r="C1687">
        <v>510</v>
      </c>
      <c r="D1687">
        <v>13</v>
      </c>
      <c r="E1687" t="s">
        <v>2474</v>
      </c>
    </row>
    <row r="1688" spans="1:5" x14ac:dyDescent="0.3">
      <c r="A1688" t="s">
        <v>570</v>
      </c>
      <c r="B1688" t="s">
        <v>2469</v>
      </c>
      <c r="C1688">
        <v>170</v>
      </c>
      <c r="D1688">
        <v>2</v>
      </c>
      <c r="E1688" t="s">
        <v>2475</v>
      </c>
    </row>
    <row r="1689" spans="1:5" x14ac:dyDescent="0.3">
      <c r="A1689" t="s">
        <v>569</v>
      </c>
      <c r="B1689" t="s">
        <v>2471</v>
      </c>
      <c r="C1689">
        <v>10</v>
      </c>
      <c r="D1689">
        <v>0</v>
      </c>
      <c r="E1689" t="s">
        <v>2470</v>
      </c>
    </row>
    <row r="1690" spans="1:5" x14ac:dyDescent="0.3">
      <c r="A1690" t="s">
        <v>568</v>
      </c>
      <c r="B1690" t="s">
        <v>2471</v>
      </c>
      <c r="C1690">
        <v>5</v>
      </c>
      <c r="D1690">
        <v>0</v>
      </c>
      <c r="E1690" t="s">
        <v>2470</v>
      </c>
    </row>
    <row r="1691" spans="1:5" x14ac:dyDescent="0.3">
      <c r="A1691" t="s">
        <v>567</v>
      </c>
      <c r="B1691" t="s">
        <v>2469</v>
      </c>
      <c r="C1691">
        <v>493</v>
      </c>
      <c r="D1691">
        <v>22</v>
      </c>
      <c r="E1691" t="s">
        <v>2474</v>
      </c>
    </row>
    <row r="1692" spans="1:5" x14ac:dyDescent="0.3">
      <c r="A1692" t="s">
        <v>566</v>
      </c>
      <c r="B1692" t="s">
        <v>2469</v>
      </c>
      <c r="C1692">
        <v>162</v>
      </c>
      <c r="D1692">
        <v>8</v>
      </c>
      <c r="E1692" t="s">
        <v>2476</v>
      </c>
    </row>
    <row r="1693" spans="1:5" x14ac:dyDescent="0.3">
      <c r="A1693" t="s">
        <v>565</v>
      </c>
      <c r="B1693" t="s">
        <v>2473</v>
      </c>
      <c r="C1693">
        <v>94</v>
      </c>
      <c r="D1693">
        <v>8</v>
      </c>
      <c r="E1693" t="s">
        <v>2475</v>
      </c>
    </row>
    <row r="1694" spans="1:5" x14ac:dyDescent="0.3">
      <c r="A1694" t="s">
        <v>564</v>
      </c>
      <c r="B1694" t="s">
        <v>2469</v>
      </c>
      <c r="C1694">
        <v>178</v>
      </c>
      <c r="D1694">
        <v>2</v>
      </c>
      <c r="E1694" t="s">
        <v>2475</v>
      </c>
    </row>
    <row r="1695" spans="1:5" x14ac:dyDescent="0.3">
      <c r="A1695" t="s">
        <v>563</v>
      </c>
      <c r="B1695" t="s">
        <v>2471</v>
      </c>
      <c r="C1695">
        <v>5</v>
      </c>
      <c r="D1695">
        <v>0</v>
      </c>
      <c r="E1695" t="s">
        <v>2470</v>
      </c>
    </row>
    <row r="1696" spans="1:5" x14ac:dyDescent="0.3">
      <c r="A1696" t="s">
        <v>562</v>
      </c>
      <c r="B1696" t="s">
        <v>2473</v>
      </c>
      <c r="C1696">
        <v>8</v>
      </c>
      <c r="D1696">
        <v>1</v>
      </c>
      <c r="E1696" t="s">
        <v>2476</v>
      </c>
    </row>
    <row r="1697" spans="1:5" x14ac:dyDescent="0.3">
      <c r="A1697" t="s">
        <v>561</v>
      </c>
      <c r="B1697" t="s">
        <v>2473</v>
      </c>
      <c r="C1697">
        <v>401</v>
      </c>
      <c r="D1697">
        <v>41</v>
      </c>
      <c r="E1697" t="s">
        <v>2472</v>
      </c>
    </row>
    <row r="1698" spans="1:5" x14ac:dyDescent="0.3">
      <c r="A1698" t="s">
        <v>560</v>
      </c>
      <c r="B1698" t="s">
        <v>2469</v>
      </c>
      <c r="C1698">
        <v>78</v>
      </c>
      <c r="D1698">
        <v>1</v>
      </c>
      <c r="E1698" t="s">
        <v>2472</v>
      </c>
    </row>
    <row r="1699" spans="1:5" x14ac:dyDescent="0.3">
      <c r="A1699" t="s">
        <v>559</v>
      </c>
      <c r="B1699" t="s">
        <v>2469</v>
      </c>
      <c r="C1699">
        <v>668</v>
      </c>
      <c r="D1699">
        <v>6</v>
      </c>
      <c r="E1699" t="s">
        <v>2472</v>
      </c>
    </row>
    <row r="1700" spans="1:5" x14ac:dyDescent="0.3">
      <c r="A1700" t="s">
        <v>558</v>
      </c>
      <c r="B1700" t="s">
        <v>2469</v>
      </c>
      <c r="C1700">
        <v>484</v>
      </c>
      <c r="D1700">
        <v>11</v>
      </c>
      <c r="E1700" t="s">
        <v>2472</v>
      </c>
    </row>
    <row r="1701" spans="1:5" x14ac:dyDescent="0.3">
      <c r="A1701" t="s">
        <v>557</v>
      </c>
      <c r="B1701" t="s">
        <v>2471</v>
      </c>
      <c r="C1701">
        <v>8</v>
      </c>
      <c r="D1701">
        <v>0</v>
      </c>
      <c r="E1701" t="s">
        <v>2470</v>
      </c>
    </row>
    <row r="1702" spans="1:5" x14ac:dyDescent="0.3">
      <c r="A1702" t="s">
        <v>556</v>
      </c>
      <c r="B1702" t="s">
        <v>2469</v>
      </c>
      <c r="C1702">
        <v>592</v>
      </c>
      <c r="D1702">
        <v>12</v>
      </c>
      <c r="E1702" t="s">
        <v>2474</v>
      </c>
    </row>
    <row r="1703" spans="1:5" x14ac:dyDescent="0.3">
      <c r="A1703" t="s">
        <v>555</v>
      </c>
      <c r="B1703" t="s">
        <v>2471</v>
      </c>
      <c r="C1703">
        <v>12</v>
      </c>
      <c r="D1703">
        <v>0</v>
      </c>
      <c r="E1703" t="s">
        <v>2470</v>
      </c>
    </row>
    <row r="1704" spans="1:5" x14ac:dyDescent="0.3">
      <c r="A1704" t="s">
        <v>554</v>
      </c>
      <c r="B1704" t="s">
        <v>2469</v>
      </c>
      <c r="C1704">
        <v>45</v>
      </c>
      <c r="D1704">
        <v>1</v>
      </c>
      <c r="E1704" t="s">
        <v>2472</v>
      </c>
    </row>
    <row r="1705" spans="1:5" x14ac:dyDescent="0.3">
      <c r="A1705" t="s">
        <v>553</v>
      </c>
      <c r="B1705" t="s">
        <v>2473</v>
      </c>
      <c r="C1705">
        <v>85</v>
      </c>
      <c r="D1705">
        <v>5</v>
      </c>
      <c r="E1705" t="s">
        <v>2474</v>
      </c>
    </row>
    <row r="1706" spans="1:5" x14ac:dyDescent="0.3">
      <c r="A1706" t="s">
        <v>552</v>
      </c>
      <c r="B1706" t="s">
        <v>2473</v>
      </c>
      <c r="C1706">
        <v>16</v>
      </c>
      <c r="D1706">
        <v>1</v>
      </c>
      <c r="E1706" t="s">
        <v>2472</v>
      </c>
    </row>
    <row r="1707" spans="1:5" x14ac:dyDescent="0.3">
      <c r="A1707" t="s">
        <v>551</v>
      </c>
      <c r="B1707" t="s">
        <v>2469</v>
      </c>
      <c r="C1707">
        <v>622</v>
      </c>
      <c r="D1707">
        <v>13</v>
      </c>
      <c r="E1707" t="s">
        <v>2472</v>
      </c>
    </row>
    <row r="1708" spans="1:5" x14ac:dyDescent="0.3">
      <c r="A1708" t="s">
        <v>550</v>
      </c>
      <c r="B1708" t="s">
        <v>2469</v>
      </c>
      <c r="C1708">
        <v>31</v>
      </c>
      <c r="D1708">
        <v>1</v>
      </c>
      <c r="E1708" t="s">
        <v>2474</v>
      </c>
    </row>
    <row r="1709" spans="1:5" x14ac:dyDescent="0.3">
      <c r="A1709" t="s">
        <v>549</v>
      </c>
      <c r="B1709" t="s">
        <v>2469</v>
      </c>
      <c r="C1709">
        <v>51</v>
      </c>
      <c r="D1709">
        <v>2</v>
      </c>
      <c r="E1709" t="s">
        <v>2475</v>
      </c>
    </row>
    <row r="1710" spans="1:5" x14ac:dyDescent="0.3">
      <c r="A1710" t="s">
        <v>548</v>
      </c>
      <c r="B1710" t="s">
        <v>2471</v>
      </c>
      <c r="C1710">
        <v>9</v>
      </c>
      <c r="D1710">
        <v>0</v>
      </c>
      <c r="E1710" t="s">
        <v>2470</v>
      </c>
    </row>
    <row r="1711" spans="1:5" x14ac:dyDescent="0.3">
      <c r="A1711" t="s">
        <v>547</v>
      </c>
      <c r="B1711" t="s">
        <v>2471</v>
      </c>
      <c r="C1711">
        <v>125</v>
      </c>
      <c r="D1711">
        <v>0</v>
      </c>
      <c r="E1711" t="s">
        <v>2470</v>
      </c>
    </row>
    <row r="1712" spans="1:5" x14ac:dyDescent="0.3">
      <c r="A1712" t="s">
        <v>546</v>
      </c>
      <c r="B1712" t="s">
        <v>2469</v>
      </c>
      <c r="C1712">
        <v>453</v>
      </c>
      <c r="D1712">
        <v>16</v>
      </c>
      <c r="E1712" t="s">
        <v>2474</v>
      </c>
    </row>
    <row r="1713" spans="1:5" x14ac:dyDescent="0.3">
      <c r="A1713" t="s">
        <v>545</v>
      </c>
      <c r="B1713" t="s">
        <v>2469</v>
      </c>
      <c r="C1713">
        <v>169</v>
      </c>
      <c r="D1713">
        <v>8</v>
      </c>
      <c r="E1713" t="s">
        <v>2474</v>
      </c>
    </row>
    <row r="1714" spans="1:5" x14ac:dyDescent="0.3">
      <c r="A1714" t="s">
        <v>544</v>
      </c>
      <c r="B1714" t="s">
        <v>2471</v>
      </c>
      <c r="C1714">
        <v>1</v>
      </c>
      <c r="D1714">
        <v>0</v>
      </c>
      <c r="E1714" t="s">
        <v>2470</v>
      </c>
    </row>
    <row r="1715" spans="1:5" x14ac:dyDescent="0.3">
      <c r="A1715" t="s">
        <v>543</v>
      </c>
      <c r="B1715" t="s">
        <v>2469</v>
      </c>
      <c r="C1715">
        <v>579</v>
      </c>
      <c r="D1715">
        <v>17</v>
      </c>
      <c r="E1715" t="s">
        <v>2474</v>
      </c>
    </row>
    <row r="1716" spans="1:5" x14ac:dyDescent="0.3">
      <c r="A1716" t="s">
        <v>542</v>
      </c>
      <c r="B1716" t="s">
        <v>2469</v>
      </c>
      <c r="C1716">
        <v>56</v>
      </c>
      <c r="D1716">
        <v>1</v>
      </c>
      <c r="E1716" t="s">
        <v>2476</v>
      </c>
    </row>
    <row r="1717" spans="1:5" x14ac:dyDescent="0.3">
      <c r="A1717" t="s">
        <v>541</v>
      </c>
      <c r="B1717" t="s">
        <v>2469</v>
      </c>
      <c r="C1717">
        <v>479</v>
      </c>
      <c r="D1717">
        <v>25</v>
      </c>
      <c r="E1717" t="s">
        <v>2468</v>
      </c>
    </row>
    <row r="1718" spans="1:5" x14ac:dyDescent="0.3">
      <c r="A1718" t="s">
        <v>540</v>
      </c>
      <c r="B1718" t="s">
        <v>2469</v>
      </c>
      <c r="C1718">
        <v>664</v>
      </c>
      <c r="D1718">
        <v>9</v>
      </c>
      <c r="E1718" t="s">
        <v>2475</v>
      </c>
    </row>
    <row r="1719" spans="1:5" x14ac:dyDescent="0.3">
      <c r="A1719" t="s">
        <v>539</v>
      </c>
      <c r="B1719" t="s">
        <v>2473</v>
      </c>
      <c r="C1719">
        <v>141</v>
      </c>
      <c r="D1719">
        <v>8</v>
      </c>
      <c r="E1719" t="s">
        <v>2475</v>
      </c>
    </row>
    <row r="1720" spans="1:5" x14ac:dyDescent="0.3">
      <c r="A1720" t="s">
        <v>538</v>
      </c>
      <c r="B1720" t="s">
        <v>2469</v>
      </c>
      <c r="C1720">
        <v>564</v>
      </c>
      <c r="D1720">
        <v>27</v>
      </c>
      <c r="E1720" t="s">
        <v>2468</v>
      </c>
    </row>
    <row r="1721" spans="1:5" x14ac:dyDescent="0.3">
      <c r="A1721" t="s">
        <v>537</v>
      </c>
      <c r="B1721" t="s">
        <v>2469</v>
      </c>
      <c r="C1721">
        <v>563</v>
      </c>
      <c r="D1721">
        <v>24</v>
      </c>
      <c r="E1721" t="s">
        <v>2472</v>
      </c>
    </row>
    <row r="1722" spans="1:5" x14ac:dyDescent="0.3">
      <c r="A1722" t="s">
        <v>536</v>
      </c>
      <c r="B1722" t="s">
        <v>2473</v>
      </c>
      <c r="C1722">
        <v>208</v>
      </c>
      <c r="D1722">
        <v>12</v>
      </c>
      <c r="E1722" t="s">
        <v>2474</v>
      </c>
    </row>
    <row r="1723" spans="1:5" x14ac:dyDescent="0.3">
      <c r="A1723" t="s">
        <v>535</v>
      </c>
      <c r="B1723" t="s">
        <v>2471</v>
      </c>
      <c r="C1723">
        <v>11</v>
      </c>
      <c r="D1723">
        <v>0</v>
      </c>
      <c r="E1723" t="s">
        <v>2470</v>
      </c>
    </row>
    <row r="1724" spans="1:5" x14ac:dyDescent="0.3">
      <c r="A1724" t="s">
        <v>534</v>
      </c>
      <c r="B1724" t="s">
        <v>2471</v>
      </c>
      <c r="C1724">
        <v>14</v>
      </c>
      <c r="D1724">
        <v>0</v>
      </c>
      <c r="E1724" t="s">
        <v>2470</v>
      </c>
    </row>
    <row r="1725" spans="1:5" x14ac:dyDescent="0.3">
      <c r="A1725" t="s">
        <v>533</v>
      </c>
      <c r="B1725" t="s">
        <v>2469</v>
      </c>
      <c r="C1725">
        <v>39</v>
      </c>
      <c r="D1725">
        <v>1</v>
      </c>
      <c r="E1725" t="s">
        <v>2474</v>
      </c>
    </row>
    <row r="1726" spans="1:5" x14ac:dyDescent="0.3">
      <c r="A1726" t="s">
        <v>532</v>
      </c>
      <c r="B1726" t="s">
        <v>2469</v>
      </c>
      <c r="C1726">
        <v>454</v>
      </c>
      <c r="D1726">
        <v>4</v>
      </c>
      <c r="E1726" t="s">
        <v>2474</v>
      </c>
    </row>
    <row r="1727" spans="1:5" x14ac:dyDescent="0.3">
      <c r="A1727" t="s">
        <v>531</v>
      </c>
      <c r="B1727" t="s">
        <v>2469</v>
      </c>
      <c r="C1727">
        <v>71</v>
      </c>
      <c r="D1727">
        <v>1</v>
      </c>
      <c r="E1727" t="s">
        <v>2474</v>
      </c>
    </row>
    <row r="1728" spans="1:5" x14ac:dyDescent="0.3">
      <c r="A1728" t="s">
        <v>530</v>
      </c>
      <c r="B1728" t="s">
        <v>2469</v>
      </c>
      <c r="C1728">
        <v>175</v>
      </c>
      <c r="D1728">
        <v>2</v>
      </c>
      <c r="E1728" t="s">
        <v>2475</v>
      </c>
    </row>
    <row r="1729" spans="1:5" x14ac:dyDescent="0.3">
      <c r="A1729" t="s">
        <v>529</v>
      </c>
      <c r="B1729" t="s">
        <v>2469</v>
      </c>
      <c r="C1729">
        <v>89</v>
      </c>
      <c r="D1729">
        <v>2</v>
      </c>
      <c r="E1729" t="s">
        <v>2475</v>
      </c>
    </row>
    <row r="1730" spans="1:5" x14ac:dyDescent="0.3">
      <c r="A1730" t="s">
        <v>528</v>
      </c>
      <c r="B1730" t="s">
        <v>2473</v>
      </c>
      <c r="C1730">
        <v>144</v>
      </c>
      <c r="D1730">
        <v>9</v>
      </c>
      <c r="E1730" t="s">
        <v>2475</v>
      </c>
    </row>
    <row r="1731" spans="1:5" x14ac:dyDescent="0.3">
      <c r="A1731" t="s">
        <v>527</v>
      </c>
      <c r="B1731" t="s">
        <v>2473</v>
      </c>
      <c r="C1731">
        <v>426</v>
      </c>
      <c r="D1731">
        <v>37</v>
      </c>
      <c r="E1731" t="s">
        <v>2474</v>
      </c>
    </row>
    <row r="1732" spans="1:5" x14ac:dyDescent="0.3">
      <c r="A1732" t="s">
        <v>526</v>
      </c>
      <c r="B1732" t="s">
        <v>2469</v>
      </c>
      <c r="C1732">
        <v>627</v>
      </c>
      <c r="D1732">
        <v>22</v>
      </c>
      <c r="E1732" t="s">
        <v>2468</v>
      </c>
    </row>
    <row r="1733" spans="1:5" x14ac:dyDescent="0.3">
      <c r="A1733" t="s">
        <v>525</v>
      </c>
      <c r="B1733" t="s">
        <v>2471</v>
      </c>
      <c r="C1733">
        <v>19</v>
      </c>
      <c r="D1733">
        <v>0</v>
      </c>
      <c r="E1733" t="s">
        <v>2470</v>
      </c>
    </row>
    <row r="1734" spans="1:5" x14ac:dyDescent="0.3">
      <c r="A1734" t="s">
        <v>524</v>
      </c>
      <c r="B1734" t="s">
        <v>2469</v>
      </c>
      <c r="C1734">
        <v>190</v>
      </c>
      <c r="D1734">
        <v>2</v>
      </c>
      <c r="E1734" t="s">
        <v>2474</v>
      </c>
    </row>
    <row r="1735" spans="1:5" x14ac:dyDescent="0.3">
      <c r="A1735" t="s">
        <v>523</v>
      </c>
      <c r="B1735" t="s">
        <v>2469</v>
      </c>
      <c r="C1735">
        <v>64</v>
      </c>
      <c r="D1735">
        <v>2</v>
      </c>
      <c r="E1735" t="s">
        <v>2468</v>
      </c>
    </row>
    <row r="1736" spans="1:5" x14ac:dyDescent="0.3">
      <c r="A1736" t="s">
        <v>522</v>
      </c>
      <c r="B1736" t="s">
        <v>2469</v>
      </c>
      <c r="C1736">
        <v>41</v>
      </c>
      <c r="D1736">
        <v>1</v>
      </c>
      <c r="E1736" t="s">
        <v>2472</v>
      </c>
    </row>
    <row r="1737" spans="1:5" x14ac:dyDescent="0.3">
      <c r="A1737" t="s">
        <v>521</v>
      </c>
      <c r="B1737" t="s">
        <v>2469</v>
      </c>
      <c r="C1737">
        <v>195</v>
      </c>
      <c r="D1737">
        <v>1</v>
      </c>
      <c r="E1737" t="s">
        <v>2475</v>
      </c>
    </row>
    <row r="1738" spans="1:5" x14ac:dyDescent="0.3">
      <c r="A1738" t="s">
        <v>520</v>
      </c>
      <c r="B1738" t="s">
        <v>2469</v>
      </c>
      <c r="C1738">
        <v>178</v>
      </c>
      <c r="D1738">
        <v>3</v>
      </c>
      <c r="E1738" t="s">
        <v>2476</v>
      </c>
    </row>
    <row r="1739" spans="1:5" x14ac:dyDescent="0.3">
      <c r="A1739" t="s">
        <v>519</v>
      </c>
      <c r="B1739" t="s">
        <v>2469</v>
      </c>
      <c r="C1739">
        <v>148</v>
      </c>
      <c r="D1739">
        <v>2</v>
      </c>
      <c r="E1739" t="s">
        <v>2475</v>
      </c>
    </row>
    <row r="1740" spans="1:5" x14ac:dyDescent="0.3">
      <c r="A1740" t="s">
        <v>518</v>
      </c>
      <c r="B1740" t="s">
        <v>2469</v>
      </c>
      <c r="C1740">
        <v>760</v>
      </c>
      <c r="D1740">
        <v>23</v>
      </c>
      <c r="E1740" t="s">
        <v>2475</v>
      </c>
    </row>
    <row r="1741" spans="1:5" x14ac:dyDescent="0.3">
      <c r="A1741" t="s">
        <v>517</v>
      </c>
      <c r="B1741" t="s">
        <v>2473</v>
      </c>
      <c r="C1741">
        <v>282</v>
      </c>
      <c r="D1741">
        <v>27</v>
      </c>
      <c r="E1741" t="s">
        <v>2472</v>
      </c>
    </row>
    <row r="1742" spans="1:5" x14ac:dyDescent="0.3">
      <c r="A1742" t="s">
        <v>516</v>
      </c>
      <c r="B1742" t="s">
        <v>2469</v>
      </c>
      <c r="C1742">
        <v>36</v>
      </c>
      <c r="D1742">
        <v>1</v>
      </c>
      <c r="E1742" t="s">
        <v>2468</v>
      </c>
    </row>
    <row r="1743" spans="1:5" x14ac:dyDescent="0.3">
      <c r="A1743" t="s">
        <v>515</v>
      </c>
      <c r="B1743" t="s">
        <v>2469</v>
      </c>
      <c r="C1743">
        <v>204</v>
      </c>
      <c r="D1743">
        <v>2</v>
      </c>
      <c r="E1743" t="s">
        <v>2468</v>
      </c>
    </row>
    <row r="1744" spans="1:5" x14ac:dyDescent="0.3">
      <c r="A1744" t="s">
        <v>514</v>
      </c>
      <c r="B1744" t="s">
        <v>2469</v>
      </c>
      <c r="C1744">
        <v>90</v>
      </c>
      <c r="D1744">
        <v>4</v>
      </c>
      <c r="E1744" t="s">
        <v>2474</v>
      </c>
    </row>
    <row r="1745" spans="1:5" x14ac:dyDescent="0.3">
      <c r="A1745" t="s">
        <v>513</v>
      </c>
      <c r="B1745" t="s">
        <v>2469</v>
      </c>
      <c r="C1745">
        <v>360</v>
      </c>
      <c r="D1745">
        <v>11</v>
      </c>
      <c r="E1745" t="s">
        <v>2475</v>
      </c>
    </row>
    <row r="1746" spans="1:5" x14ac:dyDescent="0.3">
      <c r="A1746" t="s">
        <v>512</v>
      </c>
      <c r="B1746" t="s">
        <v>2469</v>
      </c>
      <c r="C1746">
        <v>92</v>
      </c>
      <c r="D1746">
        <v>3</v>
      </c>
      <c r="E1746" t="s">
        <v>2474</v>
      </c>
    </row>
    <row r="1747" spans="1:5" x14ac:dyDescent="0.3">
      <c r="A1747" t="s">
        <v>511</v>
      </c>
      <c r="B1747" t="s">
        <v>2473</v>
      </c>
      <c r="C1747">
        <v>13</v>
      </c>
      <c r="D1747">
        <v>1</v>
      </c>
      <c r="E1747" t="s">
        <v>2475</v>
      </c>
    </row>
    <row r="1748" spans="1:5" x14ac:dyDescent="0.3">
      <c r="A1748" t="s">
        <v>510</v>
      </c>
      <c r="B1748" t="s">
        <v>2469</v>
      </c>
      <c r="C1748">
        <v>92</v>
      </c>
      <c r="D1748">
        <v>4</v>
      </c>
      <c r="E1748" t="s">
        <v>2472</v>
      </c>
    </row>
    <row r="1749" spans="1:5" x14ac:dyDescent="0.3">
      <c r="A1749" t="s">
        <v>509</v>
      </c>
      <c r="B1749" t="s">
        <v>2473</v>
      </c>
      <c r="C1749">
        <v>11</v>
      </c>
      <c r="D1749">
        <v>1</v>
      </c>
      <c r="E1749" t="s">
        <v>2475</v>
      </c>
    </row>
    <row r="1750" spans="1:5" x14ac:dyDescent="0.3">
      <c r="A1750" t="s">
        <v>508</v>
      </c>
      <c r="B1750" t="s">
        <v>2469</v>
      </c>
      <c r="C1750">
        <v>157</v>
      </c>
      <c r="D1750">
        <v>2</v>
      </c>
      <c r="E1750" t="s">
        <v>2468</v>
      </c>
    </row>
    <row r="1751" spans="1:5" x14ac:dyDescent="0.3">
      <c r="A1751" t="s">
        <v>507</v>
      </c>
      <c r="B1751" t="s">
        <v>2469</v>
      </c>
      <c r="C1751">
        <v>728</v>
      </c>
      <c r="D1751">
        <v>7</v>
      </c>
      <c r="E1751" t="s">
        <v>2475</v>
      </c>
    </row>
    <row r="1752" spans="1:5" x14ac:dyDescent="0.3">
      <c r="A1752" t="s">
        <v>506</v>
      </c>
      <c r="B1752" t="s">
        <v>2471</v>
      </c>
      <c r="C1752">
        <v>159</v>
      </c>
      <c r="D1752">
        <v>0</v>
      </c>
      <c r="E1752" t="s">
        <v>2470</v>
      </c>
    </row>
    <row r="1753" spans="1:5" x14ac:dyDescent="0.3">
      <c r="A1753" t="s">
        <v>505</v>
      </c>
      <c r="B1753" t="s">
        <v>2473</v>
      </c>
      <c r="C1753">
        <v>16</v>
      </c>
      <c r="D1753">
        <v>1</v>
      </c>
      <c r="E1753" t="s">
        <v>2475</v>
      </c>
    </row>
    <row r="1754" spans="1:5" x14ac:dyDescent="0.3">
      <c r="A1754" t="s">
        <v>504</v>
      </c>
      <c r="B1754" t="s">
        <v>2469</v>
      </c>
      <c r="C1754">
        <v>516</v>
      </c>
      <c r="D1754">
        <v>7</v>
      </c>
      <c r="E1754" t="s">
        <v>2474</v>
      </c>
    </row>
    <row r="1755" spans="1:5" x14ac:dyDescent="0.3">
      <c r="A1755" t="s">
        <v>503</v>
      </c>
      <c r="B1755" t="s">
        <v>2471</v>
      </c>
      <c r="C1755">
        <v>18</v>
      </c>
      <c r="D1755">
        <v>0</v>
      </c>
      <c r="E1755" t="s">
        <v>2470</v>
      </c>
    </row>
    <row r="1756" spans="1:5" x14ac:dyDescent="0.3">
      <c r="A1756" t="s">
        <v>502</v>
      </c>
      <c r="B1756" t="s">
        <v>2473</v>
      </c>
      <c r="C1756">
        <v>342</v>
      </c>
      <c r="D1756">
        <v>21</v>
      </c>
      <c r="E1756" t="s">
        <v>2474</v>
      </c>
    </row>
    <row r="1757" spans="1:5" x14ac:dyDescent="0.3">
      <c r="A1757" t="s">
        <v>501</v>
      </c>
      <c r="B1757" t="s">
        <v>2469</v>
      </c>
      <c r="C1757">
        <v>54</v>
      </c>
      <c r="D1757">
        <v>1</v>
      </c>
      <c r="E1757" t="s">
        <v>2472</v>
      </c>
    </row>
    <row r="1758" spans="1:5" x14ac:dyDescent="0.3">
      <c r="A1758" t="s">
        <v>500</v>
      </c>
      <c r="B1758" t="s">
        <v>2471</v>
      </c>
      <c r="C1758">
        <v>16</v>
      </c>
      <c r="D1758">
        <v>0</v>
      </c>
      <c r="E1758" t="s">
        <v>2470</v>
      </c>
    </row>
    <row r="1759" spans="1:5" x14ac:dyDescent="0.3">
      <c r="A1759" t="s">
        <v>499</v>
      </c>
      <c r="B1759" t="s">
        <v>2471</v>
      </c>
      <c r="C1759">
        <v>4</v>
      </c>
      <c r="D1759">
        <v>0</v>
      </c>
      <c r="E1759" t="s">
        <v>2470</v>
      </c>
    </row>
    <row r="1760" spans="1:5" x14ac:dyDescent="0.3">
      <c r="A1760" t="s">
        <v>498</v>
      </c>
      <c r="B1760" t="s">
        <v>2469</v>
      </c>
      <c r="C1760">
        <v>594</v>
      </c>
      <c r="D1760">
        <v>21</v>
      </c>
      <c r="E1760" t="s">
        <v>2474</v>
      </c>
    </row>
    <row r="1761" spans="1:5" x14ac:dyDescent="0.3">
      <c r="A1761" t="s">
        <v>497</v>
      </c>
      <c r="B1761" t="s">
        <v>2469</v>
      </c>
      <c r="C1761">
        <v>197</v>
      </c>
      <c r="D1761">
        <v>7</v>
      </c>
      <c r="E1761" t="s">
        <v>2474</v>
      </c>
    </row>
    <row r="1762" spans="1:5" x14ac:dyDescent="0.3">
      <c r="A1762" t="s">
        <v>496</v>
      </c>
      <c r="B1762" t="s">
        <v>2473</v>
      </c>
      <c r="C1762">
        <v>15</v>
      </c>
      <c r="D1762">
        <v>2</v>
      </c>
      <c r="E1762" t="s">
        <v>2476</v>
      </c>
    </row>
    <row r="1763" spans="1:5" x14ac:dyDescent="0.3">
      <c r="A1763" t="s">
        <v>495</v>
      </c>
      <c r="B1763" t="s">
        <v>2471</v>
      </c>
      <c r="C1763">
        <v>6</v>
      </c>
      <c r="D1763">
        <v>0</v>
      </c>
      <c r="E1763" t="s">
        <v>2470</v>
      </c>
    </row>
    <row r="1764" spans="1:5" x14ac:dyDescent="0.3">
      <c r="A1764" t="s">
        <v>494</v>
      </c>
      <c r="B1764" t="s">
        <v>2469</v>
      </c>
      <c r="C1764">
        <v>523</v>
      </c>
      <c r="D1764">
        <v>25</v>
      </c>
      <c r="E1764" t="s">
        <v>2468</v>
      </c>
    </row>
    <row r="1765" spans="1:5" x14ac:dyDescent="0.3">
      <c r="A1765" t="s">
        <v>493</v>
      </c>
      <c r="B1765" t="s">
        <v>2471</v>
      </c>
      <c r="C1765">
        <v>8</v>
      </c>
      <c r="D1765">
        <v>0</v>
      </c>
      <c r="E1765" t="s">
        <v>2470</v>
      </c>
    </row>
    <row r="1766" spans="1:5" x14ac:dyDescent="0.3">
      <c r="A1766" t="s">
        <v>492</v>
      </c>
      <c r="B1766" t="s">
        <v>2469</v>
      </c>
      <c r="C1766">
        <v>665</v>
      </c>
      <c r="D1766">
        <v>14</v>
      </c>
      <c r="E1766" t="s">
        <v>2475</v>
      </c>
    </row>
    <row r="1767" spans="1:5" x14ac:dyDescent="0.3">
      <c r="A1767" t="s">
        <v>491</v>
      </c>
      <c r="B1767" t="s">
        <v>2469</v>
      </c>
      <c r="C1767">
        <v>195</v>
      </c>
      <c r="D1767">
        <v>6</v>
      </c>
      <c r="E1767" t="s">
        <v>2468</v>
      </c>
    </row>
    <row r="1768" spans="1:5" x14ac:dyDescent="0.3">
      <c r="A1768" t="s">
        <v>490</v>
      </c>
      <c r="B1768" t="s">
        <v>2473</v>
      </c>
      <c r="C1768">
        <v>151</v>
      </c>
      <c r="D1768">
        <v>15</v>
      </c>
      <c r="E1768" t="s">
        <v>2476</v>
      </c>
    </row>
    <row r="1769" spans="1:5" x14ac:dyDescent="0.3">
      <c r="A1769" t="s">
        <v>489</v>
      </c>
      <c r="B1769" t="s">
        <v>2469</v>
      </c>
      <c r="C1769">
        <v>323</v>
      </c>
      <c r="D1769">
        <v>4</v>
      </c>
      <c r="E1769" t="s">
        <v>2474</v>
      </c>
    </row>
    <row r="1770" spans="1:5" x14ac:dyDescent="0.3">
      <c r="A1770" t="s">
        <v>488</v>
      </c>
      <c r="B1770" t="s">
        <v>2469</v>
      </c>
      <c r="C1770">
        <v>465</v>
      </c>
      <c r="D1770">
        <v>12</v>
      </c>
      <c r="E1770" t="s">
        <v>2474</v>
      </c>
    </row>
    <row r="1771" spans="1:5" x14ac:dyDescent="0.3">
      <c r="A1771" t="s">
        <v>487</v>
      </c>
      <c r="B1771" t="s">
        <v>2469</v>
      </c>
      <c r="C1771">
        <v>65</v>
      </c>
      <c r="D1771">
        <v>2</v>
      </c>
      <c r="E1771" t="s">
        <v>2472</v>
      </c>
    </row>
    <row r="1772" spans="1:5" x14ac:dyDescent="0.3">
      <c r="A1772" t="s">
        <v>486</v>
      </c>
      <c r="B1772" t="s">
        <v>2469</v>
      </c>
      <c r="C1772">
        <v>291</v>
      </c>
      <c r="D1772">
        <v>14</v>
      </c>
      <c r="E1772" t="s">
        <v>2468</v>
      </c>
    </row>
    <row r="1773" spans="1:5" x14ac:dyDescent="0.3">
      <c r="A1773" t="s">
        <v>485</v>
      </c>
      <c r="B1773" t="s">
        <v>2473</v>
      </c>
      <c r="C1773">
        <v>9</v>
      </c>
      <c r="D1773">
        <v>1</v>
      </c>
      <c r="E1773" t="s">
        <v>2468</v>
      </c>
    </row>
    <row r="1774" spans="1:5" x14ac:dyDescent="0.3">
      <c r="A1774" t="s">
        <v>484</v>
      </c>
      <c r="B1774" t="s">
        <v>2469</v>
      </c>
      <c r="C1774">
        <v>148</v>
      </c>
      <c r="D1774">
        <v>1</v>
      </c>
      <c r="E1774" t="s">
        <v>2468</v>
      </c>
    </row>
    <row r="1775" spans="1:5" x14ac:dyDescent="0.3">
      <c r="A1775" t="s">
        <v>483</v>
      </c>
      <c r="B1775" t="s">
        <v>2469</v>
      </c>
      <c r="C1775">
        <v>638</v>
      </c>
      <c r="D1775">
        <v>6</v>
      </c>
      <c r="E1775" t="s">
        <v>2475</v>
      </c>
    </row>
    <row r="1776" spans="1:5" x14ac:dyDescent="0.3">
      <c r="A1776" t="s">
        <v>482</v>
      </c>
      <c r="B1776" t="s">
        <v>2471</v>
      </c>
      <c r="C1776">
        <v>12</v>
      </c>
      <c r="D1776">
        <v>0</v>
      </c>
      <c r="E1776" t="s">
        <v>2470</v>
      </c>
    </row>
    <row r="1777" spans="1:5" x14ac:dyDescent="0.3">
      <c r="A1777" t="s">
        <v>481</v>
      </c>
      <c r="B1777" t="s">
        <v>2471</v>
      </c>
      <c r="C1777">
        <v>4</v>
      </c>
      <c r="D1777">
        <v>0</v>
      </c>
      <c r="E1777" t="s">
        <v>2470</v>
      </c>
    </row>
    <row r="1778" spans="1:5" x14ac:dyDescent="0.3">
      <c r="A1778" t="s">
        <v>480</v>
      </c>
      <c r="B1778" t="s">
        <v>2469</v>
      </c>
      <c r="C1778">
        <v>471</v>
      </c>
      <c r="D1778">
        <v>4</v>
      </c>
      <c r="E1778" t="s">
        <v>2475</v>
      </c>
    </row>
    <row r="1779" spans="1:5" x14ac:dyDescent="0.3">
      <c r="A1779" t="s">
        <v>479</v>
      </c>
      <c r="B1779" t="s">
        <v>2469</v>
      </c>
      <c r="C1779">
        <v>362</v>
      </c>
      <c r="D1779">
        <v>4</v>
      </c>
      <c r="E1779" t="s">
        <v>2474</v>
      </c>
    </row>
    <row r="1780" spans="1:5" x14ac:dyDescent="0.3">
      <c r="A1780" t="s">
        <v>478</v>
      </c>
      <c r="B1780" t="s">
        <v>2471</v>
      </c>
      <c r="C1780">
        <v>2</v>
      </c>
      <c r="D1780">
        <v>0</v>
      </c>
      <c r="E1780" t="s">
        <v>2470</v>
      </c>
    </row>
    <row r="1781" spans="1:5" x14ac:dyDescent="0.3">
      <c r="A1781" t="s">
        <v>477</v>
      </c>
      <c r="B1781" t="s">
        <v>2471</v>
      </c>
      <c r="C1781">
        <v>12</v>
      </c>
      <c r="D1781">
        <v>0</v>
      </c>
      <c r="E1781" t="s">
        <v>2470</v>
      </c>
    </row>
    <row r="1782" spans="1:5" x14ac:dyDescent="0.3">
      <c r="A1782" t="s">
        <v>476</v>
      </c>
      <c r="B1782" t="s">
        <v>2469</v>
      </c>
      <c r="C1782">
        <v>410</v>
      </c>
      <c r="D1782">
        <v>4</v>
      </c>
      <c r="E1782" t="s">
        <v>2474</v>
      </c>
    </row>
    <row r="1783" spans="1:5" x14ac:dyDescent="0.3">
      <c r="A1783" t="s">
        <v>475</v>
      </c>
      <c r="B1783" t="s">
        <v>2469</v>
      </c>
      <c r="C1783">
        <v>757</v>
      </c>
      <c r="D1783">
        <v>35</v>
      </c>
      <c r="E1783" t="s">
        <v>2474</v>
      </c>
    </row>
    <row r="1784" spans="1:5" x14ac:dyDescent="0.3">
      <c r="A1784" t="s">
        <v>474</v>
      </c>
      <c r="B1784" t="s">
        <v>2469</v>
      </c>
      <c r="C1784">
        <v>177</v>
      </c>
      <c r="D1784">
        <v>4</v>
      </c>
      <c r="E1784" t="s">
        <v>2474</v>
      </c>
    </row>
    <row r="1785" spans="1:5" x14ac:dyDescent="0.3">
      <c r="A1785" t="s">
        <v>473</v>
      </c>
      <c r="B1785" t="s">
        <v>2473</v>
      </c>
      <c r="C1785">
        <v>131</v>
      </c>
      <c r="D1785">
        <v>10</v>
      </c>
      <c r="E1785" t="s">
        <v>2472</v>
      </c>
    </row>
    <row r="1786" spans="1:5" x14ac:dyDescent="0.3">
      <c r="A1786" t="s">
        <v>472</v>
      </c>
      <c r="B1786" t="s">
        <v>2469</v>
      </c>
      <c r="C1786">
        <v>755</v>
      </c>
      <c r="D1786">
        <v>9</v>
      </c>
      <c r="E1786" t="s">
        <v>2474</v>
      </c>
    </row>
    <row r="1787" spans="1:5" x14ac:dyDescent="0.3">
      <c r="A1787" t="s">
        <v>471</v>
      </c>
      <c r="B1787" t="s">
        <v>2471</v>
      </c>
      <c r="C1787">
        <v>22</v>
      </c>
      <c r="D1787">
        <v>0</v>
      </c>
      <c r="E1787" t="s">
        <v>2470</v>
      </c>
    </row>
    <row r="1788" spans="1:5" x14ac:dyDescent="0.3">
      <c r="A1788" t="s">
        <v>470</v>
      </c>
      <c r="B1788" t="s">
        <v>2471</v>
      </c>
      <c r="C1788">
        <v>67</v>
      </c>
      <c r="D1788">
        <v>0</v>
      </c>
      <c r="E1788" t="s">
        <v>2470</v>
      </c>
    </row>
    <row r="1789" spans="1:5" x14ac:dyDescent="0.3">
      <c r="A1789" t="s">
        <v>469</v>
      </c>
      <c r="B1789" t="s">
        <v>2469</v>
      </c>
      <c r="C1789">
        <v>521</v>
      </c>
      <c r="D1789">
        <v>3</v>
      </c>
      <c r="E1789" t="s">
        <v>2472</v>
      </c>
    </row>
    <row r="1790" spans="1:5" x14ac:dyDescent="0.3">
      <c r="A1790" t="s">
        <v>468</v>
      </c>
      <c r="B1790" t="s">
        <v>2469</v>
      </c>
      <c r="C1790">
        <v>606</v>
      </c>
      <c r="D1790">
        <v>8</v>
      </c>
      <c r="E1790" t="s">
        <v>2475</v>
      </c>
    </row>
    <row r="1791" spans="1:5" x14ac:dyDescent="0.3">
      <c r="A1791" t="s">
        <v>467</v>
      </c>
      <c r="B1791" t="s">
        <v>2469</v>
      </c>
      <c r="C1791">
        <v>80</v>
      </c>
      <c r="D1791">
        <v>1</v>
      </c>
      <c r="E1791" t="s">
        <v>2468</v>
      </c>
    </row>
    <row r="1792" spans="1:5" x14ac:dyDescent="0.3">
      <c r="A1792" t="s">
        <v>466</v>
      </c>
      <c r="B1792" t="s">
        <v>2471</v>
      </c>
      <c r="C1792">
        <v>107</v>
      </c>
      <c r="D1792">
        <v>0</v>
      </c>
      <c r="E1792" t="s">
        <v>2470</v>
      </c>
    </row>
    <row r="1793" spans="1:5" x14ac:dyDescent="0.3">
      <c r="A1793" t="s">
        <v>465</v>
      </c>
      <c r="B1793" t="s">
        <v>2469</v>
      </c>
      <c r="C1793">
        <v>555</v>
      </c>
      <c r="D1793">
        <v>5</v>
      </c>
      <c r="E1793" t="s">
        <v>2472</v>
      </c>
    </row>
    <row r="1794" spans="1:5" x14ac:dyDescent="0.3">
      <c r="A1794" t="s">
        <v>464</v>
      </c>
      <c r="B1794" t="s">
        <v>2469</v>
      </c>
      <c r="C1794">
        <v>32</v>
      </c>
      <c r="D1794">
        <v>1</v>
      </c>
      <c r="E1794" t="s">
        <v>2474</v>
      </c>
    </row>
    <row r="1795" spans="1:5" x14ac:dyDescent="0.3">
      <c r="A1795" t="s">
        <v>463</v>
      </c>
      <c r="B1795" t="s">
        <v>2471</v>
      </c>
      <c r="C1795">
        <v>5</v>
      </c>
      <c r="D1795">
        <v>0</v>
      </c>
      <c r="E1795" t="s">
        <v>2470</v>
      </c>
    </row>
    <row r="1796" spans="1:5" x14ac:dyDescent="0.3">
      <c r="A1796" t="s">
        <v>462</v>
      </c>
      <c r="B1796" t="s">
        <v>2469</v>
      </c>
      <c r="C1796">
        <v>29</v>
      </c>
      <c r="D1796">
        <v>1</v>
      </c>
      <c r="E1796" t="s">
        <v>2468</v>
      </c>
    </row>
    <row r="1797" spans="1:5" x14ac:dyDescent="0.3">
      <c r="A1797" t="s">
        <v>461</v>
      </c>
      <c r="B1797" t="s">
        <v>2469</v>
      </c>
      <c r="C1797">
        <v>745</v>
      </c>
      <c r="D1797">
        <v>12</v>
      </c>
      <c r="E1797" t="s">
        <v>2475</v>
      </c>
    </row>
    <row r="1798" spans="1:5" x14ac:dyDescent="0.3">
      <c r="A1798" t="s">
        <v>460</v>
      </c>
      <c r="B1798" t="s">
        <v>2473</v>
      </c>
      <c r="C1798">
        <v>19</v>
      </c>
      <c r="D1798">
        <v>1</v>
      </c>
      <c r="E1798" t="s">
        <v>2468</v>
      </c>
    </row>
    <row r="1799" spans="1:5" x14ac:dyDescent="0.3">
      <c r="A1799" t="s">
        <v>459</v>
      </c>
      <c r="B1799" t="s">
        <v>2469</v>
      </c>
      <c r="C1799">
        <v>136</v>
      </c>
      <c r="D1799">
        <v>5</v>
      </c>
      <c r="E1799" t="s">
        <v>2474</v>
      </c>
    </row>
    <row r="1800" spans="1:5" x14ac:dyDescent="0.3">
      <c r="A1800" t="s">
        <v>458</v>
      </c>
      <c r="B1800" t="s">
        <v>2471</v>
      </c>
      <c r="C1800">
        <v>10</v>
      </c>
      <c r="D1800">
        <v>0</v>
      </c>
      <c r="E1800" t="s">
        <v>2470</v>
      </c>
    </row>
    <row r="1801" spans="1:5" x14ac:dyDescent="0.3">
      <c r="A1801" t="s">
        <v>457</v>
      </c>
      <c r="B1801" t="s">
        <v>2469</v>
      </c>
      <c r="C1801">
        <v>618</v>
      </c>
      <c r="D1801">
        <v>14</v>
      </c>
      <c r="E1801" t="s">
        <v>2474</v>
      </c>
    </row>
    <row r="1802" spans="1:5" x14ac:dyDescent="0.3">
      <c r="A1802" t="s">
        <v>456</v>
      </c>
      <c r="B1802" t="s">
        <v>2471</v>
      </c>
      <c r="C1802">
        <v>7</v>
      </c>
      <c r="D1802">
        <v>0</v>
      </c>
      <c r="E1802" t="s">
        <v>2470</v>
      </c>
    </row>
    <row r="1803" spans="1:5" x14ac:dyDescent="0.3">
      <c r="A1803" t="s">
        <v>455</v>
      </c>
      <c r="B1803" t="s">
        <v>2469</v>
      </c>
      <c r="C1803">
        <v>687</v>
      </c>
      <c r="D1803">
        <v>32</v>
      </c>
      <c r="E1803" t="s">
        <v>2468</v>
      </c>
    </row>
    <row r="1804" spans="1:5" x14ac:dyDescent="0.3">
      <c r="A1804" t="s">
        <v>454</v>
      </c>
      <c r="B1804" t="s">
        <v>2469</v>
      </c>
      <c r="C1804">
        <v>587</v>
      </c>
      <c r="D1804">
        <v>3</v>
      </c>
      <c r="E1804" t="s">
        <v>2475</v>
      </c>
    </row>
    <row r="1805" spans="1:5" x14ac:dyDescent="0.3">
      <c r="A1805" t="s">
        <v>453</v>
      </c>
      <c r="B1805" t="s">
        <v>2469</v>
      </c>
      <c r="C1805">
        <v>165</v>
      </c>
      <c r="D1805">
        <v>2</v>
      </c>
      <c r="E1805" t="s">
        <v>2472</v>
      </c>
    </row>
    <row r="1806" spans="1:5" x14ac:dyDescent="0.3">
      <c r="A1806" t="s">
        <v>452</v>
      </c>
      <c r="B1806" t="s">
        <v>2471</v>
      </c>
      <c r="C1806">
        <v>39</v>
      </c>
      <c r="D1806">
        <v>0</v>
      </c>
      <c r="E1806" t="s">
        <v>2470</v>
      </c>
    </row>
    <row r="1807" spans="1:5" x14ac:dyDescent="0.3">
      <c r="A1807" t="s">
        <v>451</v>
      </c>
      <c r="B1807" t="s">
        <v>2471</v>
      </c>
      <c r="C1807">
        <v>23</v>
      </c>
      <c r="D1807">
        <v>0</v>
      </c>
      <c r="E1807" t="s">
        <v>2470</v>
      </c>
    </row>
    <row r="1808" spans="1:5" x14ac:dyDescent="0.3">
      <c r="A1808" t="s">
        <v>450</v>
      </c>
      <c r="B1808" t="s">
        <v>2469</v>
      </c>
      <c r="C1808">
        <v>734</v>
      </c>
      <c r="D1808">
        <v>16</v>
      </c>
      <c r="E1808" t="s">
        <v>2468</v>
      </c>
    </row>
    <row r="1809" spans="1:5" x14ac:dyDescent="0.3">
      <c r="A1809" t="s">
        <v>449</v>
      </c>
      <c r="B1809" t="s">
        <v>2471</v>
      </c>
      <c r="C1809">
        <v>8</v>
      </c>
      <c r="D1809">
        <v>0</v>
      </c>
      <c r="E1809" t="s">
        <v>2470</v>
      </c>
    </row>
    <row r="1810" spans="1:5" x14ac:dyDescent="0.3">
      <c r="A1810" t="s">
        <v>448</v>
      </c>
      <c r="B1810" t="s">
        <v>2471</v>
      </c>
      <c r="C1810">
        <v>3</v>
      </c>
      <c r="D1810">
        <v>0</v>
      </c>
      <c r="E1810" t="s">
        <v>2470</v>
      </c>
    </row>
    <row r="1811" spans="1:5" x14ac:dyDescent="0.3">
      <c r="A1811" t="s">
        <v>447</v>
      </c>
      <c r="B1811" t="s">
        <v>2471</v>
      </c>
      <c r="C1811">
        <v>23</v>
      </c>
      <c r="D1811">
        <v>0</v>
      </c>
      <c r="E1811" t="s">
        <v>2470</v>
      </c>
    </row>
    <row r="1812" spans="1:5" x14ac:dyDescent="0.3">
      <c r="A1812" t="s">
        <v>446</v>
      </c>
      <c r="B1812" t="s">
        <v>2471</v>
      </c>
      <c r="C1812">
        <v>23</v>
      </c>
      <c r="D1812">
        <v>0</v>
      </c>
      <c r="E1812" t="s">
        <v>2470</v>
      </c>
    </row>
    <row r="1813" spans="1:5" x14ac:dyDescent="0.3">
      <c r="A1813" t="s">
        <v>445</v>
      </c>
      <c r="B1813" t="s">
        <v>2473</v>
      </c>
      <c r="C1813">
        <v>117</v>
      </c>
      <c r="D1813">
        <v>11</v>
      </c>
      <c r="E1813" t="s">
        <v>2475</v>
      </c>
    </row>
    <row r="1814" spans="1:5" x14ac:dyDescent="0.3">
      <c r="A1814" t="s">
        <v>444</v>
      </c>
      <c r="B1814" t="s">
        <v>2469</v>
      </c>
      <c r="C1814">
        <v>457</v>
      </c>
      <c r="D1814">
        <v>16</v>
      </c>
      <c r="E1814" t="s">
        <v>2474</v>
      </c>
    </row>
    <row r="1815" spans="1:5" x14ac:dyDescent="0.3">
      <c r="A1815" t="s">
        <v>443</v>
      </c>
      <c r="B1815" t="s">
        <v>2473</v>
      </c>
      <c r="C1815">
        <v>549</v>
      </c>
      <c r="D1815">
        <v>43</v>
      </c>
      <c r="E1815" t="s">
        <v>2472</v>
      </c>
    </row>
    <row r="1816" spans="1:5" x14ac:dyDescent="0.3">
      <c r="A1816" t="s">
        <v>442</v>
      </c>
      <c r="B1816" t="s">
        <v>2469</v>
      </c>
      <c r="C1816">
        <v>532</v>
      </c>
      <c r="D1816">
        <v>6</v>
      </c>
      <c r="E1816" t="s">
        <v>2475</v>
      </c>
    </row>
    <row r="1817" spans="1:5" x14ac:dyDescent="0.3">
      <c r="A1817" t="s">
        <v>441</v>
      </c>
      <c r="B1817" t="s">
        <v>2469</v>
      </c>
      <c r="C1817">
        <v>280</v>
      </c>
      <c r="D1817">
        <v>10</v>
      </c>
      <c r="E1817" t="s">
        <v>2475</v>
      </c>
    </row>
    <row r="1818" spans="1:5" x14ac:dyDescent="0.3">
      <c r="A1818" t="s">
        <v>440</v>
      </c>
      <c r="B1818" t="s">
        <v>2469</v>
      </c>
      <c r="C1818">
        <v>617</v>
      </c>
      <c r="D1818">
        <v>4</v>
      </c>
      <c r="E1818" t="s">
        <v>2476</v>
      </c>
    </row>
    <row r="1819" spans="1:5" x14ac:dyDescent="0.3">
      <c r="A1819" t="s">
        <v>439</v>
      </c>
      <c r="B1819" t="s">
        <v>2469</v>
      </c>
      <c r="C1819">
        <v>156</v>
      </c>
      <c r="D1819">
        <v>3</v>
      </c>
      <c r="E1819" t="s">
        <v>2475</v>
      </c>
    </row>
    <row r="1820" spans="1:5" x14ac:dyDescent="0.3">
      <c r="A1820" t="s">
        <v>438</v>
      </c>
      <c r="B1820" t="s">
        <v>2473</v>
      </c>
      <c r="C1820">
        <v>627</v>
      </c>
      <c r="D1820">
        <v>51</v>
      </c>
      <c r="E1820" t="s">
        <v>2475</v>
      </c>
    </row>
    <row r="1821" spans="1:5" x14ac:dyDescent="0.3">
      <c r="A1821" t="s">
        <v>437</v>
      </c>
      <c r="B1821" t="s">
        <v>2469</v>
      </c>
      <c r="C1821">
        <v>746</v>
      </c>
      <c r="D1821">
        <v>10</v>
      </c>
      <c r="E1821" t="s">
        <v>2468</v>
      </c>
    </row>
    <row r="1822" spans="1:5" x14ac:dyDescent="0.3">
      <c r="A1822" t="s">
        <v>436</v>
      </c>
      <c r="B1822" t="s">
        <v>2471</v>
      </c>
      <c r="C1822">
        <v>11</v>
      </c>
      <c r="D1822">
        <v>0</v>
      </c>
      <c r="E1822" t="s">
        <v>2470</v>
      </c>
    </row>
    <row r="1823" spans="1:5" x14ac:dyDescent="0.3">
      <c r="A1823" t="s">
        <v>435</v>
      </c>
      <c r="B1823" t="s">
        <v>2471</v>
      </c>
      <c r="C1823">
        <v>21</v>
      </c>
      <c r="D1823">
        <v>0</v>
      </c>
      <c r="E1823" t="s">
        <v>2470</v>
      </c>
    </row>
    <row r="1824" spans="1:5" x14ac:dyDescent="0.3">
      <c r="A1824" t="s">
        <v>434</v>
      </c>
      <c r="B1824" t="s">
        <v>2469</v>
      </c>
      <c r="C1824">
        <v>387</v>
      </c>
      <c r="D1824">
        <v>7</v>
      </c>
      <c r="E1824" t="s">
        <v>2472</v>
      </c>
    </row>
    <row r="1825" spans="1:5" x14ac:dyDescent="0.3">
      <c r="A1825" t="s">
        <v>433</v>
      </c>
      <c r="B1825" t="s">
        <v>2471</v>
      </c>
      <c r="C1825">
        <v>14</v>
      </c>
      <c r="D1825">
        <v>0</v>
      </c>
      <c r="E1825" t="s">
        <v>2470</v>
      </c>
    </row>
    <row r="1826" spans="1:5" x14ac:dyDescent="0.3">
      <c r="A1826" t="s">
        <v>432</v>
      </c>
      <c r="B1826" t="s">
        <v>2469</v>
      </c>
      <c r="C1826">
        <v>462</v>
      </c>
      <c r="D1826">
        <v>10</v>
      </c>
      <c r="E1826" t="s">
        <v>2472</v>
      </c>
    </row>
    <row r="1827" spans="1:5" x14ac:dyDescent="0.3">
      <c r="A1827" t="s">
        <v>431</v>
      </c>
      <c r="B1827" t="s">
        <v>2473</v>
      </c>
      <c r="C1827">
        <v>256</v>
      </c>
      <c r="D1827">
        <v>17</v>
      </c>
      <c r="E1827" t="s">
        <v>2472</v>
      </c>
    </row>
    <row r="1828" spans="1:5" x14ac:dyDescent="0.3">
      <c r="A1828" t="s">
        <v>430</v>
      </c>
      <c r="B1828" t="s">
        <v>2471</v>
      </c>
      <c r="C1828">
        <v>81</v>
      </c>
      <c r="D1828">
        <v>0</v>
      </c>
      <c r="E1828" t="s">
        <v>2470</v>
      </c>
    </row>
    <row r="1829" spans="1:5" x14ac:dyDescent="0.3">
      <c r="A1829" t="s">
        <v>429</v>
      </c>
      <c r="B1829" t="s">
        <v>2469</v>
      </c>
      <c r="C1829">
        <v>134</v>
      </c>
      <c r="D1829">
        <v>4</v>
      </c>
      <c r="E1829" t="s">
        <v>2475</v>
      </c>
    </row>
    <row r="1830" spans="1:5" x14ac:dyDescent="0.3">
      <c r="A1830" t="s">
        <v>428</v>
      </c>
      <c r="B1830" t="s">
        <v>2469</v>
      </c>
      <c r="C1830">
        <v>749</v>
      </c>
      <c r="D1830">
        <v>13</v>
      </c>
      <c r="E1830" t="s">
        <v>2468</v>
      </c>
    </row>
    <row r="1831" spans="1:5" x14ac:dyDescent="0.3">
      <c r="A1831" t="s">
        <v>427</v>
      </c>
      <c r="B1831" t="s">
        <v>2469</v>
      </c>
      <c r="C1831">
        <v>384</v>
      </c>
      <c r="D1831">
        <v>4</v>
      </c>
      <c r="E1831" t="s">
        <v>2475</v>
      </c>
    </row>
    <row r="1832" spans="1:5" x14ac:dyDescent="0.3">
      <c r="A1832" t="s">
        <v>426</v>
      </c>
      <c r="B1832" t="s">
        <v>2469</v>
      </c>
      <c r="C1832">
        <v>662</v>
      </c>
      <c r="D1832">
        <v>17</v>
      </c>
      <c r="E1832" t="s">
        <v>2468</v>
      </c>
    </row>
    <row r="1833" spans="1:5" x14ac:dyDescent="0.3">
      <c r="A1833" t="s">
        <v>425</v>
      </c>
      <c r="B1833" t="s">
        <v>2471</v>
      </c>
      <c r="C1833">
        <v>5</v>
      </c>
      <c r="D1833">
        <v>0</v>
      </c>
      <c r="E1833" t="s">
        <v>2470</v>
      </c>
    </row>
    <row r="1834" spans="1:5" x14ac:dyDescent="0.3">
      <c r="A1834" t="s">
        <v>424</v>
      </c>
      <c r="B1834" t="s">
        <v>2469</v>
      </c>
      <c r="C1834">
        <v>1627</v>
      </c>
      <c r="D1834">
        <v>40</v>
      </c>
      <c r="E1834" t="s">
        <v>2474</v>
      </c>
    </row>
    <row r="1835" spans="1:5" x14ac:dyDescent="0.3">
      <c r="A1835" t="s">
        <v>423</v>
      </c>
      <c r="B1835" t="s">
        <v>2469</v>
      </c>
      <c r="C1835">
        <v>39</v>
      </c>
      <c r="D1835">
        <v>1</v>
      </c>
      <c r="E1835" t="s">
        <v>2476</v>
      </c>
    </row>
    <row r="1836" spans="1:5" x14ac:dyDescent="0.3">
      <c r="A1836" t="s">
        <v>422</v>
      </c>
      <c r="B1836" t="s">
        <v>2471</v>
      </c>
      <c r="C1836">
        <v>26</v>
      </c>
      <c r="D1836">
        <v>0</v>
      </c>
      <c r="E1836" t="s">
        <v>2470</v>
      </c>
    </row>
    <row r="1837" spans="1:5" x14ac:dyDescent="0.3">
      <c r="A1837" t="s">
        <v>421</v>
      </c>
      <c r="B1837" t="s">
        <v>2471</v>
      </c>
      <c r="C1837">
        <v>23</v>
      </c>
      <c r="D1837">
        <v>0</v>
      </c>
      <c r="E1837" t="s">
        <v>2470</v>
      </c>
    </row>
    <row r="1838" spans="1:5" x14ac:dyDescent="0.3">
      <c r="A1838" t="s">
        <v>420</v>
      </c>
      <c r="B1838" t="s">
        <v>2469</v>
      </c>
      <c r="C1838">
        <v>120</v>
      </c>
      <c r="D1838">
        <v>1</v>
      </c>
      <c r="E1838" t="s">
        <v>2472</v>
      </c>
    </row>
    <row r="1839" spans="1:5" x14ac:dyDescent="0.3">
      <c r="A1839" t="s">
        <v>419</v>
      </c>
      <c r="B1839" t="s">
        <v>2471</v>
      </c>
      <c r="C1839">
        <v>4</v>
      </c>
      <c r="D1839">
        <v>0</v>
      </c>
      <c r="E1839" t="s">
        <v>2470</v>
      </c>
    </row>
    <row r="1840" spans="1:5" x14ac:dyDescent="0.3">
      <c r="A1840" t="s">
        <v>418</v>
      </c>
      <c r="B1840" t="s">
        <v>2471</v>
      </c>
      <c r="C1840">
        <v>25</v>
      </c>
      <c r="D1840">
        <v>0</v>
      </c>
      <c r="E1840" t="s">
        <v>2470</v>
      </c>
    </row>
    <row r="1841" spans="1:5" x14ac:dyDescent="0.3">
      <c r="A1841" t="s">
        <v>417</v>
      </c>
      <c r="B1841" t="s">
        <v>2469</v>
      </c>
      <c r="C1841">
        <v>137</v>
      </c>
      <c r="D1841">
        <v>6</v>
      </c>
      <c r="E1841" t="s">
        <v>2476</v>
      </c>
    </row>
    <row r="1842" spans="1:5" x14ac:dyDescent="0.3">
      <c r="A1842" t="s">
        <v>416</v>
      </c>
      <c r="B1842" t="s">
        <v>2469</v>
      </c>
      <c r="C1842">
        <v>591</v>
      </c>
      <c r="D1842">
        <v>5</v>
      </c>
      <c r="E1842" t="s">
        <v>2472</v>
      </c>
    </row>
    <row r="1843" spans="1:5" x14ac:dyDescent="0.3">
      <c r="A1843" t="s">
        <v>415</v>
      </c>
      <c r="B1843" t="s">
        <v>2471</v>
      </c>
      <c r="C1843">
        <v>44</v>
      </c>
      <c r="D1843">
        <v>0</v>
      </c>
      <c r="E1843" t="s">
        <v>2470</v>
      </c>
    </row>
    <row r="1844" spans="1:5" x14ac:dyDescent="0.3">
      <c r="A1844" t="s">
        <v>414</v>
      </c>
      <c r="B1844" t="s">
        <v>2473</v>
      </c>
      <c r="C1844">
        <v>130</v>
      </c>
      <c r="D1844">
        <v>10</v>
      </c>
      <c r="E1844" t="s">
        <v>2468</v>
      </c>
    </row>
    <row r="1845" spans="1:5" x14ac:dyDescent="0.3">
      <c r="A1845" t="s">
        <v>413</v>
      </c>
      <c r="B1845" t="s">
        <v>2469</v>
      </c>
      <c r="C1845">
        <v>293</v>
      </c>
      <c r="D1845">
        <v>3</v>
      </c>
      <c r="E1845" t="s">
        <v>2472</v>
      </c>
    </row>
    <row r="1846" spans="1:5" x14ac:dyDescent="0.3">
      <c r="A1846" t="s">
        <v>412</v>
      </c>
      <c r="B1846" t="s">
        <v>2473</v>
      </c>
      <c r="C1846">
        <v>7</v>
      </c>
      <c r="D1846">
        <v>1</v>
      </c>
      <c r="E1846" t="s">
        <v>2468</v>
      </c>
    </row>
    <row r="1847" spans="1:5" x14ac:dyDescent="0.3">
      <c r="A1847" t="s">
        <v>411</v>
      </c>
      <c r="B1847" t="s">
        <v>2469</v>
      </c>
      <c r="C1847">
        <v>354</v>
      </c>
      <c r="D1847">
        <v>11</v>
      </c>
      <c r="E1847" t="s">
        <v>2476</v>
      </c>
    </row>
    <row r="1848" spans="1:5" x14ac:dyDescent="0.3">
      <c r="A1848" t="s">
        <v>410</v>
      </c>
      <c r="B1848" t="s">
        <v>2469</v>
      </c>
      <c r="C1848">
        <v>178</v>
      </c>
      <c r="D1848">
        <v>2</v>
      </c>
      <c r="E1848" t="s">
        <v>2468</v>
      </c>
    </row>
    <row r="1849" spans="1:5" x14ac:dyDescent="0.3">
      <c r="A1849" t="s">
        <v>409</v>
      </c>
      <c r="B1849" t="s">
        <v>2471</v>
      </c>
      <c r="C1849">
        <v>22</v>
      </c>
      <c r="D1849">
        <v>0</v>
      </c>
      <c r="E1849" t="s">
        <v>2470</v>
      </c>
    </row>
    <row r="1850" spans="1:5" x14ac:dyDescent="0.3">
      <c r="A1850" t="s">
        <v>408</v>
      </c>
      <c r="B1850" t="s">
        <v>2473</v>
      </c>
      <c r="C1850">
        <v>562</v>
      </c>
      <c r="D1850">
        <v>39</v>
      </c>
      <c r="E1850" t="s">
        <v>2472</v>
      </c>
    </row>
    <row r="1851" spans="1:5" x14ac:dyDescent="0.3">
      <c r="A1851" t="s">
        <v>407</v>
      </c>
      <c r="B1851" t="s">
        <v>2469</v>
      </c>
      <c r="C1851">
        <v>719</v>
      </c>
      <c r="D1851">
        <v>19</v>
      </c>
      <c r="E1851" t="s">
        <v>2475</v>
      </c>
    </row>
    <row r="1852" spans="1:5" x14ac:dyDescent="0.3">
      <c r="A1852" t="s">
        <v>406</v>
      </c>
      <c r="B1852" t="s">
        <v>2469</v>
      </c>
      <c r="C1852">
        <v>659</v>
      </c>
      <c r="D1852">
        <v>5</v>
      </c>
      <c r="E1852" t="s">
        <v>2474</v>
      </c>
    </row>
    <row r="1853" spans="1:5" x14ac:dyDescent="0.3">
      <c r="A1853" t="s">
        <v>405</v>
      </c>
      <c r="B1853" t="s">
        <v>2469</v>
      </c>
      <c r="C1853">
        <v>47</v>
      </c>
      <c r="D1853">
        <v>1</v>
      </c>
      <c r="E1853" t="s">
        <v>2475</v>
      </c>
    </row>
    <row r="1854" spans="1:5" x14ac:dyDescent="0.3">
      <c r="A1854" t="s">
        <v>404</v>
      </c>
      <c r="B1854" t="s">
        <v>2471</v>
      </c>
      <c r="C1854">
        <v>13</v>
      </c>
      <c r="D1854">
        <v>0</v>
      </c>
      <c r="E1854" t="s">
        <v>2470</v>
      </c>
    </row>
    <row r="1855" spans="1:5" x14ac:dyDescent="0.3">
      <c r="A1855" t="s">
        <v>403</v>
      </c>
      <c r="B1855" t="s">
        <v>2469</v>
      </c>
      <c r="C1855">
        <v>695</v>
      </c>
      <c r="D1855">
        <v>6</v>
      </c>
      <c r="E1855" t="s">
        <v>2475</v>
      </c>
    </row>
    <row r="1856" spans="1:5" x14ac:dyDescent="0.3">
      <c r="A1856" t="s">
        <v>402</v>
      </c>
      <c r="B1856" t="s">
        <v>2473</v>
      </c>
      <c r="C1856">
        <v>38</v>
      </c>
      <c r="D1856">
        <v>3</v>
      </c>
      <c r="E1856" t="s">
        <v>2474</v>
      </c>
    </row>
    <row r="1857" spans="1:5" x14ac:dyDescent="0.3">
      <c r="A1857" t="s">
        <v>401</v>
      </c>
      <c r="B1857" t="s">
        <v>2471</v>
      </c>
      <c r="C1857">
        <v>22</v>
      </c>
      <c r="D1857">
        <v>0</v>
      </c>
      <c r="E1857" t="s">
        <v>2470</v>
      </c>
    </row>
    <row r="1858" spans="1:5" x14ac:dyDescent="0.3">
      <c r="A1858" t="s">
        <v>400</v>
      </c>
      <c r="B1858" t="s">
        <v>2469</v>
      </c>
      <c r="C1858">
        <v>671</v>
      </c>
      <c r="D1858">
        <v>19</v>
      </c>
      <c r="E1858" t="s">
        <v>2468</v>
      </c>
    </row>
    <row r="1859" spans="1:5" x14ac:dyDescent="0.3">
      <c r="A1859" t="s">
        <v>399</v>
      </c>
      <c r="B1859" t="s">
        <v>2469</v>
      </c>
      <c r="C1859">
        <v>1025</v>
      </c>
      <c r="D1859">
        <v>17</v>
      </c>
      <c r="E1859" t="s">
        <v>2474</v>
      </c>
    </row>
    <row r="1860" spans="1:5" x14ac:dyDescent="0.3">
      <c r="A1860" t="s">
        <v>398</v>
      </c>
      <c r="B1860" t="s">
        <v>2469</v>
      </c>
      <c r="C1860">
        <v>580</v>
      </c>
      <c r="D1860">
        <v>8</v>
      </c>
      <c r="E1860" t="s">
        <v>2474</v>
      </c>
    </row>
    <row r="1861" spans="1:5" x14ac:dyDescent="0.3">
      <c r="A1861" t="s">
        <v>397</v>
      </c>
      <c r="B1861" t="s">
        <v>2469</v>
      </c>
      <c r="C1861">
        <v>442</v>
      </c>
      <c r="D1861">
        <v>9</v>
      </c>
      <c r="E1861" t="s">
        <v>2476</v>
      </c>
    </row>
    <row r="1862" spans="1:5" x14ac:dyDescent="0.3">
      <c r="A1862" t="s">
        <v>396</v>
      </c>
      <c r="B1862" t="s">
        <v>2471</v>
      </c>
      <c r="C1862">
        <v>25</v>
      </c>
      <c r="D1862">
        <v>0</v>
      </c>
      <c r="E1862" t="s">
        <v>2470</v>
      </c>
    </row>
    <row r="1863" spans="1:5" x14ac:dyDescent="0.3">
      <c r="A1863" t="s">
        <v>395</v>
      </c>
      <c r="B1863" t="s">
        <v>2471</v>
      </c>
      <c r="C1863">
        <v>13</v>
      </c>
      <c r="D1863">
        <v>0</v>
      </c>
      <c r="E1863" t="s">
        <v>2470</v>
      </c>
    </row>
    <row r="1864" spans="1:5" x14ac:dyDescent="0.3">
      <c r="A1864" t="s">
        <v>394</v>
      </c>
      <c r="B1864" t="s">
        <v>2471</v>
      </c>
      <c r="C1864">
        <v>20</v>
      </c>
      <c r="D1864">
        <v>0</v>
      </c>
      <c r="E1864" t="s">
        <v>2470</v>
      </c>
    </row>
    <row r="1865" spans="1:5" x14ac:dyDescent="0.3">
      <c r="A1865" t="s">
        <v>393</v>
      </c>
      <c r="B1865" t="s">
        <v>2469</v>
      </c>
      <c r="C1865">
        <v>75</v>
      </c>
      <c r="D1865">
        <v>2</v>
      </c>
      <c r="E1865" t="s">
        <v>2472</v>
      </c>
    </row>
    <row r="1866" spans="1:5" x14ac:dyDescent="0.3">
      <c r="A1866" t="s">
        <v>392</v>
      </c>
      <c r="B1866" t="s">
        <v>2469</v>
      </c>
      <c r="C1866">
        <v>20</v>
      </c>
      <c r="D1866">
        <v>1</v>
      </c>
      <c r="E1866" t="s">
        <v>2468</v>
      </c>
    </row>
    <row r="1867" spans="1:5" x14ac:dyDescent="0.3">
      <c r="A1867" t="s">
        <v>391</v>
      </c>
      <c r="B1867" t="s">
        <v>2471</v>
      </c>
      <c r="C1867">
        <v>4</v>
      </c>
      <c r="D1867">
        <v>0</v>
      </c>
      <c r="E1867" t="s">
        <v>2470</v>
      </c>
    </row>
    <row r="1868" spans="1:5" x14ac:dyDescent="0.3">
      <c r="A1868" t="s">
        <v>390</v>
      </c>
      <c r="B1868" t="s">
        <v>2469</v>
      </c>
      <c r="C1868">
        <v>91</v>
      </c>
      <c r="D1868">
        <v>2</v>
      </c>
      <c r="E1868" t="s">
        <v>2476</v>
      </c>
    </row>
    <row r="1869" spans="1:5" x14ac:dyDescent="0.3">
      <c r="A1869" t="s">
        <v>389</v>
      </c>
      <c r="B1869" t="s">
        <v>2469</v>
      </c>
      <c r="C1869">
        <v>119</v>
      </c>
      <c r="D1869">
        <v>2</v>
      </c>
      <c r="E1869" t="s">
        <v>2476</v>
      </c>
    </row>
    <row r="1870" spans="1:5" x14ac:dyDescent="0.3">
      <c r="A1870" t="s">
        <v>388</v>
      </c>
      <c r="B1870" t="s">
        <v>2471</v>
      </c>
      <c r="C1870">
        <v>14</v>
      </c>
      <c r="D1870">
        <v>0</v>
      </c>
      <c r="E1870" t="s">
        <v>2470</v>
      </c>
    </row>
    <row r="1871" spans="1:5" x14ac:dyDescent="0.3">
      <c r="A1871" t="s">
        <v>387</v>
      </c>
      <c r="B1871" t="s">
        <v>2469</v>
      </c>
      <c r="C1871">
        <v>110</v>
      </c>
      <c r="D1871">
        <v>1</v>
      </c>
      <c r="E1871" t="s">
        <v>2468</v>
      </c>
    </row>
    <row r="1872" spans="1:5" x14ac:dyDescent="0.3">
      <c r="A1872" t="s">
        <v>386</v>
      </c>
      <c r="B1872" t="s">
        <v>2469</v>
      </c>
      <c r="C1872">
        <v>91</v>
      </c>
      <c r="D1872">
        <v>1</v>
      </c>
      <c r="E1872" t="s">
        <v>2468</v>
      </c>
    </row>
    <row r="1873" spans="1:5" x14ac:dyDescent="0.3">
      <c r="A1873" t="s">
        <v>385</v>
      </c>
      <c r="B1873" t="s">
        <v>2469</v>
      </c>
      <c r="C1873">
        <v>406</v>
      </c>
      <c r="D1873">
        <v>8</v>
      </c>
      <c r="E1873" t="s">
        <v>2474</v>
      </c>
    </row>
    <row r="1874" spans="1:5" x14ac:dyDescent="0.3">
      <c r="A1874" t="s">
        <v>384</v>
      </c>
      <c r="B1874" t="s">
        <v>2469</v>
      </c>
      <c r="C1874">
        <v>537</v>
      </c>
      <c r="D1874">
        <v>9</v>
      </c>
      <c r="E1874" t="s">
        <v>2474</v>
      </c>
    </row>
    <row r="1875" spans="1:5" x14ac:dyDescent="0.3">
      <c r="A1875" t="s">
        <v>383</v>
      </c>
      <c r="B1875" t="s">
        <v>2473</v>
      </c>
      <c r="C1875">
        <v>339</v>
      </c>
      <c r="D1875">
        <v>22</v>
      </c>
      <c r="E1875" t="s">
        <v>2475</v>
      </c>
    </row>
    <row r="1876" spans="1:5" x14ac:dyDescent="0.3">
      <c r="A1876" t="s">
        <v>382</v>
      </c>
      <c r="B1876" t="s">
        <v>2469</v>
      </c>
      <c r="C1876">
        <v>529</v>
      </c>
      <c r="D1876">
        <v>9</v>
      </c>
      <c r="E1876" t="s">
        <v>2474</v>
      </c>
    </row>
    <row r="1877" spans="1:5" x14ac:dyDescent="0.3">
      <c r="A1877" t="s">
        <v>381</v>
      </c>
      <c r="B1877" t="s">
        <v>2469</v>
      </c>
      <c r="C1877">
        <v>419</v>
      </c>
      <c r="D1877">
        <v>14</v>
      </c>
      <c r="E1877" t="s">
        <v>2472</v>
      </c>
    </row>
    <row r="1878" spans="1:5" x14ac:dyDescent="0.3">
      <c r="A1878" t="s">
        <v>380</v>
      </c>
      <c r="B1878" t="s">
        <v>2469</v>
      </c>
      <c r="C1878">
        <v>94</v>
      </c>
      <c r="D1878">
        <v>4</v>
      </c>
      <c r="E1878" t="s">
        <v>2475</v>
      </c>
    </row>
    <row r="1879" spans="1:5" x14ac:dyDescent="0.3">
      <c r="A1879" t="s">
        <v>379</v>
      </c>
      <c r="B1879" t="s">
        <v>2469</v>
      </c>
      <c r="C1879">
        <v>55</v>
      </c>
      <c r="D1879">
        <v>1</v>
      </c>
      <c r="E1879" t="s">
        <v>2475</v>
      </c>
    </row>
    <row r="1880" spans="1:5" x14ac:dyDescent="0.3">
      <c r="A1880" t="s">
        <v>378</v>
      </c>
      <c r="B1880" t="s">
        <v>2471</v>
      </c>
      <c r="C1880">
        <v>14</v>
      </c>
      <c r="D1880">
        <v>0</v>
      </c>
      <c r="E1880" t="s">
        <v>2470</v>
      </c>
    </row>
    <row r="1881" spans="1:5" x14ac:dyDescent="0.3">
      <c r="A1881" t="s">
        <v>377</v>
      </c>
      <c r="B1881" t="s">
        <v>2471</v>
      </c>
      <c r="C1881">
        <v>23</v>
      </c>
      <c r="D1881">
        <v>0</v>
      </c>
      <c r="E1881" t="s">
        <v>2470</v>
      </c>
    </row>
    <row r="1882" spans="1:5" x14ac:dyDescent="0.3">
      <c r="A1882" t="s">
        <v>376</v>
      </c>
      <c r="B1882" t="s">
        <v>2469</v>
      </c>
      <c r="C1882">
        <v>106</v>
      </c>
      <c r="D1882">
        <v>2</v>
      </c>
      <c r="E1882" t="s">
        <v>2475</v>
      </c>
    </row>
    <row r="1883" spans="1:5" x14ac:dyDescent="0.3">
      <c r="A1883" t="s">
        <v>375</v>
      </c>
      <c r="B1883" t="s">
        <v>2469</v>
      </c>
      <c r="C1883">
        <v>88</v>
      </c>
      <c r="D1883">
        <v>1</v>
      </c>
      <c r="E1883" t="s">
        <v>2476</v>
      </c>
    </row>
    <row r="1884" spans="1:5" x14ac:dyDescent="0.3">
      <c r="A1884" t="s">
        <v>374</v>
      </c>
      <c r="B1884" t="s">
        <v>2471</v>
      </c>
      <c r="C1884">
        <v>67</v>
      </c>
      <c r="D1884">
        <v>0</v>
      </c>
      <c r="E1884" t="s">
        <v>2470</v>
      </c>
    </row>
    <row r="1885" spans="1:5" x14ac:dyDescent="0.3">
      <c r="A1885" t="s">
        <v>373</v>
      </c>
      <c r="B1885" t="s">
        <v>2469</v>
      </c>
      <c r="C1885">
        <v>105</v>
      </c>
      <c r="D1885">
        <v>1</v>
      </c>
      <c r="E1885" t="s">
        <v>2475</v>
      </c>
    </row>
    <row r="1886" spans="1:5" x14ac:dyDescent="0.3">
      <c r="A1886" t="s">
        <v>372</v>
      </c>
      <c r="B1886" t="s">
        <v>2473</v>
      </c>
      <c r="C1886">
        <v>107</v>
      </c>
      <c r="D1886">
        <v>9</v>
      </c>
      <c r="E1886" t="s">
        <v>2475</v>
      </c>
    </row>
    <row r="1887" spans="1:5" x14ac:dyDescent="0.3">
      <c r="A1887" t="s">
        <v>371</v>
      </c>
      <c r="B1887" t="s">
        <v>2473</v>
      </c>
      <c r="C1887">
        <v>746</v>
      </c>
      <c r="D1887">
        <v>45</v>
      </c>
      <c r="E1887" t="s">
        <v>2468</v>
      </c>
    </row>
    <row r="1888" spans="1:5" x14ac:dyDescent="0.3">
      <c r="A1888" t="s">
        <v>370</v>
      </c>
      <c r="B1888" t="s">
        <v>2471</v>
      </c>
      <c r="C1888">
        <v>6</v>
      </c>
      <c r="D1888">
        <v>0</v>
      </c>
      <c r="E1888" t="s">
        <v>2470</v>
      </c>
    </row>
    <row r="1889" spans="1:5" x14ac:dyDescent="0.3">
      <c r="A1889" t="s">
        <v>369</v>
      </c>
      <c r="B1889" t="s">
        <v>2471</v>
      </c>
      <c r="C1889">
        <v>23</v>
      </c>
      <c r="D1889">
        <v>0</v>
      </c>
      <c r="E1889" t="s">
        <v>2470</v>
      </c>
    </row>
    <row r="1890" spans="1:5" x14ac:dyDescent="0.3">
      <c r="A1890" t="s">
        <v>368</v>
      </c>
      <c r="B1890" t="s">
        <v>2469</v>
      </c>
      <c r="C1890">
        <v>196</v>
      </c>
      <c r="D1890">
        <v>4</v>
      </c>
      <c r="E1890" t="s">
        <v>2472</v>
      </c>
    </row>
    <row r="1891" spans="1:5" x14ac:dyDescent="0.3">
      <c r="A1891" t="s">
        <v>367</v>
      </c>
      <c r="B1891" t="s">
        <v>2469</v>
      </c>
      <c r="C1891">
        <v>586</v>
      </c>
      <c r="D1891">
        <v>27</v>
      </c>
      <c r="E1891" t="s">
        <v>2468</v>
      </c>
    </row>
    <row r="1892" spans="1:5" x14ac:dyDescent="0.3">
      <c r="A1892" t="s">
        <v>366</v>
      </c>
      <c r="B1892" t="s">
        <v>2471</v>
      </c>
      <c r="C1892">
        <v>2</v>
      </c>
      <c r="D1892">
        <v>0</v>
      </c>
      <c r="E1892" t="s">
        <v>2470</v>
      </c>
    </row>
    <row r="1893" spans="1:5" x14ac:dyDescent="0.3">
      <c r="A1893" t="s">
        <v>365</v>
      </c>
      <c r="B1893" t="s">
        <v>2471</v>
      </c>
      <c r="C1893">
        <v>4</v>
      </c>
      <c r="D1893">
        <v>0</v>
      </c>
      <c r="E1893" t="s">
        <v>2470</v>
      </c>
    </row>
    <row r="1894" spans="1:5" x14ac:dyDescent="0.3">
      <c r="A1894" t="s">
        <v>364</v>
      </c>
      <c r="B1894" t="s">
        <v>2469</v>
      </c>
      <c r="C1894">
        <v>242</v>
      </c>
      <c r="D1894">
        <v>4</v>
      </c>
      <c r="E1894" t="s">
        <v>2476</v>
      </c>
    </row>
    <row r="1895" spans="1:5" x14ac:dyDescent="0.3">
      <c r="A1895" t="s">
        <v>363</v>
      </c>
      <c r="B1895" t="s">
        <v>2469</v>
      </c>
      <c r="C1895">
        <v>77</v>
      </c>
      <c r="D1895">
        <v>2</v>
      </c>
      <c r="E1895" t="s">
        <v>2468</v>
      </c>
    </row>
    <row r="1896" spans="1:5" x14ac:dyDescent="0.3">
      <c r="A1896" t="s">
        <v>362</v>
      </c>
      <c r="B1896" t="s">
        <v>2469</v>
      </c>
      <c r="C1896">
        <v>644</v>
      </c>
      <c r="D1896">
        <v>5</v>
      </c>
      <c r="E1896" t="s">
        <v>2472</v>
      </c>
    </row>
    <row r="1897" spans="1:5" x14ac:dyDescent="0.3">
      <c r="A1897" t="s">
        <v>361</v>
      </c>
      <c r="B1897" t="s">
        <v>2469</v>
      </c>
      <c r="C1897">
        <v>437</v>
      </c>
      <c r="D1897">
        <v>9</v>
      </c>
      <c r="E1897" t="s">
        <v>2474</v>
      </c>
    </row>
    <row r="1898" spans="1:5" x14ac:dyDescent="0.3">
      <c r="A1898" t="s">
        <v>360</v>
      </c>
      <c r="B1898" t="s">
        <v>2471</v>
      </c>
      <c r="C1898">
        <v>16</v>
      </c>
      <c r="D1898">
        <v>0</v>
      </c>
      <c r="E1898" t="s">
        <v>2470</v>
      </c>
    </row>
    <row r="1899" spans="1:5" x14ac:dyDescent="0.3">
      <c r="A1899" t="s">
        <v>359</v>
      </c>
      <c r="B1899" t="s">
        <v>2469</v>
      </c>
      <c r="C1899">
        <v>616</v>
      </c>
      <c r="D1899">
        <v>25</v>
      </c>
      <c r="E1899" t="s">
        <v>2474</v>
      </c>
    </row>
    <row r="1900" spans="1:5" x14ac:dyDescent="0.3">
      <c r="A1900" t="s">
        <v>358</v>
      </c>
      <c r="B1900" t="s">
        <v>2469</v>
      </c>
      <c r="C1900">
        <v>576</v>
      </c>
      <c r="D1900">
        <v>8</v>
      </c>
      <c r="E1900" t="s">
        <v>2474</v>
      </c>
    </row>
    <row r="1901" spans="1:5" x14ac:dyDescent="0.3">
      <c r="A1901" t="s">
        <v>357</v>
      </c>
      <c r="B1901" t="s">
        <v>2469</v>
      </c>
      <c r="C1901">
        <v>271</v>
      </c>
      <c r="D1901">
        <v>4</v>
      </c>
      <c r="E1901" t="s">
        <v>2468</v>
      </c>
    </row>
    <row r="1902" spans="1:5" x14ac:dyDescent="0.3">
      <c r="A1902" t="s">
        <v>356</v>
      </c>
      <c r="B1902" t="s">
        <v>2469</v>
      </c>
      <c r="C1902">
        <v>50</v>
      </c>
      <c r="D1902">
        <v>1</v>
      </c>
      <c r="E1902" t="s">
        <v>2474</v>
      </c>
    </row>
    <row r="1903" spans="1:5" x14ac:dyDescent="0.3">
      <c r="A1903" t="s">
        <v>355</v>
      </c>
      <c r="B1903" t="s">
        <v>2469</v>
      </c>
      <c r="C1903">
        <v>159</v>
      </c>
      <c r="D1903">
        <v>3</v>
      </c>
      <c r="E1903" t="s">
        <v>2476</v>
      </c>
    </row>
    <row r="1904" spans="1:5" x14ac:dyDescent="0.3">
      <c r="A1904" t="s">
        <v>354</v>
      </c>
      <c r="B1904" t="s">
        <v>2473</v>
      </c>
      <c r="C1904">
        <v>15</v>
      </c>
      <c r="D1904">
        <v>2</v>
      </c>
      <c r="E1904" t="s">
        <v>2475</v>
      </c>
    </row>
    <row r="1905" spans="1:5" x14ac:dyDescent="0.3">
      <c r="A1905" t="s">
        <v>353</v>
      </c>
      <c r="B1905" t="s">
        <v>2469</v>
      </c>
      <c r="C1905">
        <v>68</v>
      </c>
      <c r="D1905">
        <v>1</v>
      </c>
      <c r="E1905" t="s">
        <v>2475</v>
      </c>
    </row>
    <row r="1906" spans="1:5" x14ac:dyDescent="0.3">
      <c r="A1906" t="s">
        <v>352</v>
      </c>
      <c r="B1906" t="s">
        <v>2469</v>
      </c>
      <c r="C1906">
        <v>140</v>
      </c>
      <c r="D1906">
        <v>1</v>
      </c>
      <c r="E1906" t="s">
        <v>2475</v>
      </c>
    </row>
    <row r="1907" spans="1:5" x14ac:dyDescent="0.3">
      <c r="A1907" t="s">
        <v>351</v>
      </c>
      <c r="B1907" t="s">
        <v>2471</v>
      </c>
      <c r="C1907">
        <v>14</v>
      </c>
      <c r="D1907">
        <v>0</v>
      </c>
      <c r="E1907" t="s">
        <v>2470</v>
      </c>
    </row>
    <row r="1908" spans="1:5" x14ac:dyDescent="0.3">
      <c r="A1908" t="s">
        <v>350</v>
      </c>
      <c r="B1908" t="s">
        <v>2469</v>
      </c>
      <c r="C1908">
        <v>192</v>
      </c>
      <c r="D1908">
        <v>2</v>
      </c>
      <c r="E1908" t="s">
        <v>2472</v>
      </c>
    </row>
    <row r="1909" spans="1:5" x14ac:dyDescent="0.3">
      <c r="A1909" t="s">
        <v>349</v>
      </c>
      <c r="B1909" t="s">
        <v>2469</v>
      </c>
      <c r="C1909">
        <v>136</v>
      </c>
      <c r="D1909">
        <v>5</v>
      </c>
      <c r="E1909" t="s">
        <v>2468</v>
      </c>
    </row>
    <row r="1910" spans="1:5" x14ac:dyDescent="0.3">
      <c r="A1910" t="s">
        <v>348</v>
      </c>
      <c r="B1910" t="s">
        <v>2471</v>
      </c>
      <c r="C1910">
        <v>8</v>
      </c>
      <c r="D1910">
        <v>0</v>
      </c>
      <c r="E1910" t="s">
        <v>2470</v>
      </c>
    </row>
    <row r="1911" spans="1:5" x14ac:dyDescent="0.3">
      <c r="A1911" t="s">
        <v>347</v>
      </c>
      <c r="B1911" t="s">
        <v>2471</v>
      </c>
      <c r="C1911">
        <v>7</v>
      </c>
      <c r="D1911">
        <v>0</v>
      </c>
      <c r="E1911" t="s">
        <v>2470</v>
      </c>
    </row>
    <row r="1912" spans="1:5" x14ac:dyDescent="0.3">
      <c r="A1912" t="s">
        <v>346</v>
      </c>
      <c r="B1912" t="s">
        <v>2473</v>
      </c>
      <c r="C1912">
        <v>4</v>
      </c>
      <c r="D1912">
        <v>1</v>
      </c>
      <c r="E1912" t="s">
        <v>2476</v>
      </c>
    </row>
    <row r="1913" spans="1:5" x14ac:dyDescent="0.3">
      <c r="A1913" t="s">
        <v>345</v>
      </c>
      <c r="B1913" t="s">
        <v>2469</v>
      </c>
      <c r="C1913">
        <v>35</v>
      </c>
      <c r="D1913">
        <v>1</v>
      </c>
      <c r="E1913" t="s">
        <v>2476</v>
      </c>
    </row>
    <row r="1914" spans="1:5" x14ac:dyDescent="0.3">
      <c r="A1914" t="s">
        <v>344</v>
      </c>
      <c r="B1914" t="s">
        <v>2471</v>
      </c>
      <c r="C1914">
        <v>20</v>
      </c>
      <c r="D1914">
        <v>0</v>
      </c>
      <c r="E1914" t="s">
        <v>2470</v>
      </c>
    </row>
    <row r="1915" spans="1:5" x14ac:dyDescent="0.3">
      <c r="A1915" t="s">
        <v>343</v>
      </c>
      <c r="B1915" t="s">
        <v>2469</v>
      </c>
      <c r="C1915">
        <v>156</v>
      </c>
      <c r="D1915">
        <v>4</v>
      </c>
      <c r="E1915" t="s">
        <v>2475</v>
      </c>
    </row>
    <row r="1916" spans="1:5" x14ac:dyDescent="0.3">
      <c r="A1916" t="s">
        <v>342</v>
      </c>
      <c r="B1916" t="s">
        <v>2471</v>
      </c>
      <c r="C1916">
        <v>3</v>
      </c>
      <c r="D1916">
        <v>0</v>
      </c>
      <c r="E1916" t="s">
        <v>2470</v>
      </c>
    </row>
    <row r="1917" spans="1:5" x14ac:dyDescent="0.3">
      <c r="A1917" t="s">
        <v>341</v>
      </c>
      <c r="B1917" t="s">
        <v>2469</v>
      </c>
      <c r="C1917">
        <v>118</v>
      </c>
      <c r="D1917">
        <v>1</v>
      </c>
      <c r="E1917" t="s">
        <v>2475</v>
      </c>
    </row>
    <row r="1918" spans="1:5" x14ac:dyDescent="0.3">
      <c r="A1918" t="s">
        <v>340</v>
      </c>
      <c r="B1918" t="s">
        <v>2473</v>
      </c>
      <c r="C1918">
        <v>140</v>
      </c>
      <c r="D1918">
        <v>9</v>
      </c>
      <c r="E1918" t="s">
        <v>2468</v>
      </c>
    </row>
    <row r="1919" spans="1:5" x14ac:dyDescent="0.3">
      <c r="A1919" t="s">
        <v>339</v>
      </c>
      <c r="B1919" t="s">
        <v>2469</v>
      </c>
      <c r="C1919">
        <v>198</v>
      </c>
      <c r="D1919">
        <v>1</v>
      </c>
      <c r="E1919" t="s">
        <v>2476</v>
      </c>
    </row>
    <row r="1920" spans="1:5" x14ac:dyDescent="0.3">
      <c r="A1920" t="s">
        <v>338</v>
      </c>
      <c r="B1920" t="s">
        <v>2471</v>
      </c>
      <c r="C1920">
        <v>8</v>
      </c>
      <c r="D1920">
        <v>0</v>
      </c>
      <c r="E1920" t="s">
        <v>2470</v>
      </c>
    </row>
    <row r="1921" spans="1:5" x14ac:dyDescent="0.3">
      <c r="A1921" t="s">
        <v>337</v>
      </c>
      <c r="B1921" t="s">
        <v>2471</v>
      </c>
      <c r="C1921">
        <v>6</v>
      </c>
      <c r="D1921">
        <v>0</v>
      </c>
      <c r="E1921" t="s">
        <v>2470</v>
      </c>
    </row>
    <row r="1922" spans="1:5" x14ac:dyDescent="0.3">
      <c r="A1922" t="s">
        <v>336</v>
      </c>
      <c r="B1922" t="s">
        <v>2469</v>
      </c>
      <c r="C1922">
        <v>224</v>
      </c>
      <c r="D1922">
        <v>1</v>
      </c>
      <c r="E1922" t="s">
        <v>2472</v>
      </c>
    </row>
    <row r="1923" spans="1:5" x14ac:dyDescent="0.3">
      <c r="A1923" t="s">
        <v>335</v>
      </c>
      <c r="B1923" t="s">
        <v>2469</v>
      </c>
      <c r="C1923">
        <v>181</v>
      </c>
      <c r="D1923">
        <v>2</v>
      </c>
      <c r="E1923" t="s">
        <v>2468</v>
      </c>
    </row>
    <row r="1924" spans="1:5" x14ac:dyDescent="0.3">
      <c r="A1924" t="s">
        <v>334</v>
      </c>
      <c r="B1924" t="s">
        <v>2471</v>
      </c>
      <c r="C1924">
        <v>23</v>
      </c>
      <c r="D1924">
        <v>0</v>
      </c>
      <c r="E1924" t="s">
        <v>2470</v>
      </c>
    </row>
    <row r="1925" spans="1:5" x14ac:dyDescent="0.3">
      <c r="A1925" t="s">
        <v>333</v>
      </c>
      <c r="B1925" t="s">
        <v>2469</v>
      </c>
      <c r="C1925">
        <v>122</v>
      </c>
      <c r="D1925">
        <v>2</v>
      </c>
      <c r="E1925" t="s">
        <v>2472</v>
      </c>
    </row>
    <row r="1926" spans="1:5" x14ac:dyDescent="0.3">
      <c r="A1926" t="s">
        <v>332</v>
      </c>
      <c r="B1926" t="s">
        <v>2469</v>
      </c>
      <c r="C1926">
        <v>87</v>
      </c>
      <c r="D1926">
        <v>3</v>
      </c>
      <c r="E1926" t="s">
        <v>2468</v>
      </c>
    </row>
    <row r="1927" spans="1:5" x14ac:dyDescent="0.3">
      <c r="A1927" t="s">
        <v>331</v>
      </c>
      <c r="B1927" t="s">
        <v>2469</v>
      </c>
      <c r="C1927">
        <v>205</v>
      </c>
      <c r="D1927">
        <v>7</v>
      </c>
      <c r="E1927" t="s">
        <v>2474</v>
      </c>
    </row>
    <row r="1928" spans="1:5" x14ac:dyDescent="0.3">
      <c r="A1928" t="s">
        <v>330</v>
      </c>
      <c r="B1928" t="s">
        <v>2471</v>
      </c>
      <c r="C1928">
        <v>7</v>
      </c>
      <c r="D1928">
        <v>0</v>
      </c>
      <c r="E1928" t="s">
        <v>2470</v>
      </c>
    </row>
    <row r="1929" spans="1:5" x14ac:dyDescent="0.3">
      <c r="A1929" t="s">
        <v>329</v>
      </c>
      <c r="B1929" t="s">
        <v>2469</v>
      </c>
      <c r="C1929">
        <v>379</v>
      </c>
      <c r="D1929">
        <v>16</v>
      </c>
      <c r="E1929" t="s">
        <v>2468</v>
      </c>
    </row>
    <row r="1930" spans="1:5" x14ac:dyDescent="0.3">
      <c r="A1930" t="s">
        <v>328</v>
      </c>
      <c r="B1930" t="s">
        <v>2469</v>
      </c>
      <c r="C1930">
        <v>674</v>
      </c>
      <c r="D1930">
        <v>17</v>
      </c>
      <c r="E1930" t="s">
        <v>2474</v>
      </c>
    </row>
    <row r="1931" spans="1:5" x14ac:dyDescent="0.3">
      <c r="A1931" t="s">
        <v>327</v>
      </c>
      <c r="B1931" t="s">
        <v>2469</v>
      </c>
      <c r="C1931">
        <v>53</v>
      </c>
      <c r="D1931">
        <v>2</v>
      </c>
      <c r="E1931" t="s">
        <v>2468</v>
      </c>
    </row>
    <row r="1932" spans="1:5" x14ac:dyDescent="0.3">
      <c r="A1932" t="s">
        <v>326</v>
      </c>
      <c r="B1932" t="s">
        <v>2469</v>
      </c>
      <c r="C1932">
        <v>239</v>
      </c>
      <c r="D1932">
        <v>2</v>
      </c>
      <c r="E1932" t="s">
        <v>2475</v>
      </c>
    </row>
    <row r="1933" spans="1:5" x14ac:dyDescent="0.3">
      <c r="A1933" t="s">
        <v>325</v>
      </c>
      <c r="B1933" t="s">
        <v>2469</v>
      </c>
      <c r="C1933">
        <v>723</v>
      </c>
      <c r="D1933">
        <v>6</v>
      </c>
      <c r="E1933" t="s">
        <v>2472</v>
      </c>
    </row>
    <row r="1934" spans="1:5" x14ac:dyDescent="0.3">
      <c r="A1934" t="s">
        <v>324</v>
      </c>
      <c r="B1934" t="s">
        <v>2469</v>
      </c>
      <c r="C1934">
        <v>612</v>
      </c>
      <c r="D1934">
        <v>26</v>
      </c>
      <c r="E1934" t="s">
        <v>2474</v>
      </c>
    </row>
    <row r="1935" spans="1:5" x14ac:dyDescent="0.3">
      <c r="A1935" t="s">
        <v>323</v>
      </c>
      <c r="B1935" t="s">
        <v>2469</v>
      </c>
      <c r="C1935">
        <v>610</v>
      </c>
      <c r="D1935">
        <v>30</v>
      </c>
      <c r="E1935" t="s">
        <v>2475</v>
      </c>
    </row>
    <row r="1936" spans="1:5" x14ac:dyDescent="0.3">
      <c r="A1936" t="s">
        <v>322</v>
      </c>
      <c r="B1936" t="s">
        <v>2469</v>
      </c>
      <c r="C1936">
        <v>142</v>
      </c>
      <c r="D1936">
        <v>2</v>
      </c>
      <c r="E1936" t="s">
        <v>2468</v>
      </c>
    </row>
    <row r="1937" spans="1:5" x14ac:dyDescent="0.3">
      <c r="A1937" t="s">
        <v>321</v>
      </c>
      <c r="B1937" t="s">
        <v>2469</v>
      </c>
      <c r="C1937">
        <v>160</v>
      </c>
      <c r="D1937">
        <v>1</v>
      </c>
      <c r="E1937" t="s">
        <v>2474</v>
      </c>
    </row>
    <row r="1938" spans="1:5" x14ac:dyDescent="0.3">
      <c r="A1938" t="s">
        <v>320</v>
      </c>
      <c r="B1938" t="s">
        <v>2469</v>
      </c>
      <c r="C1938">
        <v>123</v>
      </c>
      <c r="D1938">
        <v>3</v>
      </c>
      <c r="E1938" t="s">
        <v>2476</v>
      </c>
    </row>
    <row r="1939" spans="1:5" x14ac:dyDescent="0.3">
      <c r="A1939" t="s">
        <v>319</v>
      </c>
      <c r="B1939" t="s">
        <v>2469</v>
      </c>
      <c r="C1939">
        <v>24</v>
      </c>
      <c r="D1939">
        <v>1</v>
      </c>
      <c r="E1939" t="s">
        <v>2474</v>
      </c>
    </row>
    <row r="1940" spans="1:5" x14ac:dyDescent="0.3">
      <c r="A1940" t="s">
        <v>318</v>
      </c>
      <c r="B1940" t="s">
        <v>2469</v>
      </c>
      <c r="C1940">
        <v>107</v>
      </c>
      <c r="D1940">
        <v>3</v>
      </c>
      <c r="E1940" t="s">
        <v>2474</v>
      </c>
    </row>
    <row r="1941" spans="1:5" x14ac:dyDescent="0.3">
      <c r="A1941" t="s">
        <v>317</v>
      </c>
      <c r="B1941" t="s">
        <v>2471</v>
      </c>
      <c r="C1941">
        <v>44</v>
      </c>
      <c r="D1941">
        <v>0</v>
      </c>
      <c r="E1941" t="s">
        <v>2470</v>
      </c>
    </row>
    <row r="1942" spans="1:5" x14ac:dyDescent="0.3">
      <c r="A1942" t="s">
        <v>316</v>
      </c>
      <c r="B1942" t="s">
        <v>2469</v>
      </c>
      <c r="C1942">
        <v>154</v>
      </c>
      <c r="D1942">
        <v>2</v>
      </c>
      <c r="E1942" t="s">
        <v>2476</v>
      </c>
    </row>
    <row r="1943" spans="1:5" x14ac:dyDescent="0.3">
      <c r="A1943" t="s">
        <v>315</v>
      </c>
      <c r="B1943" t="s">
        <v>2473</v>
      </c>
      <c r="C1943">
        <v>358</v>
      </c>
      <c r="D1943">
        <v>27</v>
      </c>
      <c r="E1943" t="s">
        <v>2472</v>
      </c>
    </row>
    <row r="1944" spans="1:5" x14ac:dyDescent="0.3">
      <c r="A1944" t="s">
        <v>314</v>
      </c>
      <c r="B1944" t="s">
        <v>2473</v>
      </c>
      <c r="C1944">
        <v>149</v>
      </c>
      <c r="D1944">
        <v>8</v>
      </c>
      <c r="E1944" t="s">
        <v>2474</v>
      </c>
    </row>
    <row r="1945" spans="1:5" x14ac:dyDescent="0.3">
      <c r="A1945" t="s">
        <v>313</v>
      </c>
      <c r="B1945" t="s">
        <v>2469</v>
      </c>
      <c r="C1945">
        <v>164</v>
      </c>
      <c r="D1945">
        <v>1</v>
      </c>
      <c r="E1945" t="s">
        <v>2476</v>
      </c>
    </row>
    <row r="1946" spans="1:5" x14ac:dyDescent="0.3">
      <c r="A1946" t="s">
        <v>312</v>
      </c>
      <c r="B1946" t="s">
        <v>2471</v>
      </c>
      <c r="C1946">
        <v>2</v>
      </c>
      <c r="D1946">
        <v>0</v>
      </c>
      <c r="E1946" t="s">
        <v>2470</v>
      </c>
    </row>
    <row r="1947" spans="1:5" x14ac:dyDescent="0.3">
      <c r="A1947" t="s">
        <v>311</v>
      </c>
      <c r="B1947" t="s">
        <v>2469</v>
      </c>
      <c r="C1947">
        <v>670</v>
      </c>
      <c r="D1947">
        <v>4</v>
      </c>
      <c r="E1947" t="s">
        <v>2475</v>
      </c>
    </row>
    <row r="1948" spans="1:5" x14ac:dyDescent="0.3">
      <c r="A1948" t="s">
        <v>310</v>
      </c>
      <c r="B1948" t="s">
        <v>2473</v>
      </c>
      <c r="C1948">
        <v>80</v>
      </c>
      <c r="D1948">
        <v>8</v>
      </c>
      <c r="E1948" t="s">
        <v>2475</v>
      </c>
    </row>
    <row r="1949" spans="1:5" x14ac:dyDescent="0.3">
      <c r="A1949" t="s">
        <v>309</v>
      </c>
      <c r="B1949" t="s">
        <v>2471</v>
      </c>
      <c r="C1949">
        <v>35</v>
      </c>
      <c r="D1949">
        <v>0</v>
      </c>
      <c r="E1949" t="s">
        <v>2470</v>
      </c>
    </row>
    <row r="1950" spans="1:5" x14ac:dyDescent="0.3">
      <c r="A1950" t="s">
        <v>308</v>
      </c>
      <c r="B1950" t="s">
        <v>2471</v>
      </c>
      <c r="C1950">
        <v>4</v>
      </c>
      <c r="D1950">
        <v>0</v>
      </c>
      <c r="E1950" t="s">
        <v>2470</v>
      </c>
    </row>
    <row r="1951" spans="1:5" x14ac:dyDescent="0.3">
      <c r="A1951" t="s">
        <v>307</v>
      </c>
      <c r="B1951" t="s">
        <v>2471</v>
      </c>
      <c r="C1951">
        <v>11</v>
      </c>
      <c r="D1951">
        <v>0</v>
      </c>
      <c r="E1951" t="s">
        <v>2470</v>
      </c>
    </row>
    <row r="1952" spans="1:5" x14ac:dyDescent="0.3">
      <c r="A1952" t="s">
        <v>306</v>
      </c>
      <c r="B1952" t="s">
        <v>2469</v>
      </c>
      <c r="C1952">
        <v>102</v>
      </c>
      <c r="D1952">
        <v>1</v>
      </c>
      <c r="E1952" t="s">
        <v>2468</v>
      </c>
    </row>
    <row r="1953" spans="1:5" x14ac:dyDescent="0.3">
      <c r="A1953" t="s">
        <v>305</v>
      </c>
      <c r="B1953" t="s">
        <v>2469</v>
      </c>
      <c r="C1953">
        <v>478</v>
      </c>
      <c r="D1953">
        <v>8</v>
      </c>
      <c r="E1953" t="s">
        <v>2475</v>
      </c>
    </row>
    <row r="1954" spans="1:5" x14ac:dyDescent="0.3">
      <c r="A1954" t="s">
        <v>304</v>
      </c>
      <c r="B1954" t="s">
        <v>2469</v>
      </c>
      <c r="C1954">
        <v>157</v>
      </c>
      <c r="D1954">
        <v>2</v>
      </c>
      <c r="E1954" t="s">
        <v>2475</v>
      </c>
    </row>
    <row r="1955" spans="1:5" x14ac:dyDescent="0.3">
      <c r="A1955" t="s">
        <v>303</v>
      </c>
      <c r="B1955" t="s">
        <v>2469</v>
      </c>
      <c r="C1955">
        <v>143</v>
      </c>
      <c r="D1955">
        <v>2</v>
      </c>
      <c r="E1955" t="s">
        <v>2475</v>
      </c>
    </row>
    <row r="1956" spans="1:5" x14ac:dyDescent="0.3">
      <c r="A1956" t="s">
        <v>302</v>
      </c>
      <c r="B1956" t="s">
        <v>2469</v>
      </c>
      <c r="C1956">
        <v>42</v>
      </c>
      <c r="D1956">
        <v>1</v>
      </c>
      <c r="E1956" t="s">
        <v>2475</v>
      </c>
    </row>
    <row r="1957" spans="1:5" x14ac:dyDescent="0.3">
      <c r="A1957" t="s">
        <v>301</v>
      </c>
      <c r="B1957" t="s">
        <v>2473</v>
      </c>
      <c r="C1957">
        <v>17</v>
      </c>
      <c r="D1957">
        <v>2</v>
      </c>
      <c r="E1957" t="s">
        <v>2475</v>
      </c>
    </row>
    <row r="1958" spans="1:5" x14ac:dyDescent="0.3">
      <c r="A1958" t="s">
        <v>300</v>
      </c>
      <c r="B1958" t="s">
        <v>2469</v>
      </c>
      <c r="C1958">
        <v>487</v>
      </c>
      <c r="D1958">
        <v>1</v>
      </c>
      <c r="E1958" t="s">
        <v>2472</v>
      </c>
    </row>
    <row r="1959" spans="1:5" x14ac:dyDescent="0.3">
      <c r="A1959" t="s">
        <v>299</v>
      </c>
      <c r="B1959" t="s">
        <v>2469</v>
      </c>
      <c r="C1959">
        <v>80</v>
      </c>
      <c r="D1959">
        <v>1</v>
      </c>
      <c r="E1959" t="s">
        <v>2468</v>
      </c>
    </row>
    <row r="1960" spans="1:5" x14ac:dyDescent="0.3">
      <c r="A1960" t="s">
        <v>298</v>
      </c>
      <c r="B1960" t="s">
        <v>2473</v>
      </c>
      <c r="C1960">
        <v>298</v>
      </c>
      <c r="D1960">
        <v>38</v>
      </c>
      <c r="E1960" t="s">
        <v>2472</v>
      </c>
    </row>
    <row r="1961" spans="1:5" x14ac:dyDescent="0.3">
      <c r="A1961" t="s">
        <v>297</v>
      </c>
      <c r="B1961" t="s">
        <v>2469</v>
      </c>
      <c r="C1961">
        <v>764</v>
      </c>
      <c r="D1961">
        <v>15</v>
      </c>
      <c r="E1961" t="s">
        <v>2468</v>
      </c>
    </row>
    <row r="1962" spans="1:5" x14ac:dyDescent="0.3">
      <c r="A1962" t="s">
        <v>296</v>
      </c>
      <c r="B1962" t="s">
        <v>2471</v>
      </c>
      <c r="C1962">
        <v>31</v>
      </c>
      <c r="D1962">
        <v>0</v>
      </c>
      <c r="E1962" t="s">
        <v>2470</v>
      </c>
    </row>
    <row r="1963" spans="1:5" x14ac:dyDescent="0.3">
      <c r="A1963" t="s">
        <v>295</v>
      </c>
      <c r="B1963" t="s">
        <v>2473</v>
      </c>
      <c r="C1963">
        <v>85</v>
      </c>
      <c r="D1963">
        <v>5</v>
      </c>
      <c r="E1963" t="s">
        <v>2472</v>
      </c>
    </row>
    <row r="1964" spans="1:5" x14ac:dyDescent="0.3">
      <c r="A1964" t="s">
        <v>294</v>
      </c>
      <c r="B1964" t="s">
        <v>2471</v>
      </c>
      <c r="C1964">
        <v>9</v>
      </c>
      <c r="D1964">
        <v>0</v>
      </c>
      <c r="E1964" t="s">
        <v>2470</v>
      </c>
    </row>
    <row r="1965" spans="1:5" x14ac:dyDescent="0.3">
      <c r="A1965" t="s">
        <v>293</v>
      </c>
      <c r="B1965" t="s">
        <v>2469</v>
      </c>
      <c r="C1965">
        <v>259</v>
      </c>
      <c r="D1965">
        <v>4</v>
      </c>
      <c r="E1965" t="s">
        <v>2474</v>
      </c>
    </row>
    <row r="1966" spans="1:5" x14ac:dyDescent="0.3">
      <c r="A1966" t="s">
        <v>292</v>
      </c>
      <c r="B1966" t="s">
        <v>2469</v>
      </c>
      <c r="C1966">
        <v>149</v>
      </c>
      <c r="D1966">
        <v>3</v>
      </c>
      <c r="E1966" t="s">
        <v>2476</v>
      </c>
    </row>
    <row r="1967" spans="1:5" x14ac:dyDescent="0.3">
      <c r="A1967" t="s">
        <v>291</v>
      </c>
      <c r="B1967" t="s">
        <v>2473</v>
      </c>
      <c r="C1967">
        <v>399</v>
      </c>
      <c r="D1967">
        <v>43</v>
      </c>
      <c r="E1967" t="s">
        <v>2475</v>
      </c>
    </row>
    <row r="1968" spans="1:5" x14ac:dyDescent="0.3">
      <c r="A1968" t="s">
        <v>290</v>
      </c>
      <c r="B1968" t="s">
        <v>2469</v>
      </c>
      <c r="C1968">
        <v>83</v>
      </c>
      <c r="D1968">
        <v>1</v>
      </c>
      <c r="E1968" t="s">
        <v>2468</v>
      </c>
    </row>
    <row r="1969" spans="1:5" x14ac:dyDescent="0.3">
      <c r="A1969" t="s">
        <v>289</v>
      </c>
      <c r="B1969" t="s">
        <v>2469</v>
      </c>
      <c r="C1969">
        <v>1543</v>
      </c>
      <c r="D1969">
        <v>69</v>
      </c>
      <c r="E1969" t="s">
        <v>2474</v>
      </c>
    </row>
    <row r="1970" spans="1:5" x14ac:dyDescent="0.3">
      <c r="A1970" t="s">
        <v>288</v>
      </c>
      <c r="B1970" t="s">
        <v>2471</v>
      </c>
      <c r="C1970">
        <v>54</v>
      </c>
      <c r="D1970">
        <v>0</v>
      </c>
      <c r="E1970" t="s">
        <v>2470</v>
      </c>
    </row>
    <row r="1971" spans="1:5" x14ac:dyDescent="0.3">
      <c r="A1971" t="s">
        <v>287</v>
      </c>
      <c r="B1971" t="s">
        <v>2471</v>
      </c>
      <c r="C1971">
        <v>44</v>
      </c>
      <c r="D1971">
        <v>0</v>
      </c>
      <c r="E1971" t="s">
        <v>2470</v>
      </c>
    </row>
    <row r="1972" spans="1:5" x14ac:dyDescent="0.3">
      <c r="A1972" t="s">
        <v>286</v>
      </c>
      <c r="B1972" t="s">
        <v>2469</v>
      </c>
      <c r="C1972">
        <v>115</v>
      </c>
      <c r="D1972">
        <v>1</v>
      </c>
      <c r="E1972" t="s">
        <v>2472</v>
      </c>
    </row>
    <row r="1973" spans="1:5" x14ac:dyDescent="0.3">
      <c r="A1973" t="s">
        <v>285</v>
      </c>
      <c r="B1973" t="s">
        <v>2471</v>
      </c>
      <c r="C1973">
        <v>130</v>
      </c>
      <c r="D1973">
        <v>0</v>
      </c>
      <c r="E1973" t="s">
        <v>2470</v>
      </c>
    </row>
    <row r="1974" spans="1:5" x14ac:dyDescent="0.3">
      <c r="A1974" t="s">
        <v>284</v>
      </c>
      <c r="B1974" t="s">
        <v>2473</v>
      </c>
      <c r="C1974">
        <v>124</v>
      </c>
      <c r="D1974">
        <v>8</v>
      </c>
      <c r="E1974" t="s">
        <v>2468</v>
      </c>
    </row>
    <row r="1975" spans="1:5" x14ac:dyDescent="0.3">
      <c r="A1975" t="s">
        <v>283</v>
      </c>
      <c r="B1975" t="s">
        <v>2469</v>
      </c>
      <c r="C1975">
        <v>106</v>
      </c>
      <c r="D1975">
        <v>1</v>
      </c>
      <c r="E1975" t="s">
        <v>2468</v>
      </c>
    </row>
    <row r="1976" spans="1:5" x14ac:dyDescent="0.3">
      <c r="A1976" t="s">
        <v>282</v>
      </c>
      <c r="B1976" t="s">
        <v>2471</v>
      </c>
      <c r="C1976">
        <v>8</v>
      </c>
      <c r="D1976">
        <v>0</v>
      </c>
      <c r="E1976" t="s">
        <v>2470</v>
      </c>
    </row>
    <row r="1977" spans="1:5" x14ac:dyDescent="0.3">
      <c r="A1977" t="s">
        <v>281</v>
      </c>
      <c r="B1977" t="s">
        <v>2469</v>
      </c>
      <c r="C1977">
        <v>731</v>
      </c>
      <c r="D1977">
        <v>19</v>
      </c>
      <c r="E1977" t="s">
        <v>2475</v>
      </c>
    </row>
    <row r="1978" spans="1:5" x14ac:dyDescent="0.3">
      <c r="A1978" t="s">
        <v>280</v>
      </c>
      <c r="B1978" t="s">
        <v>2469</v>
      </c>
      <c r="C1978">
        <v>771</v>
      </c>
      <c r="D1978">
        <v>13</v>
      </c>
      <c r="E1978" t="s">
        <v>2474</v>
      </c>
    </row>
    <row r="1979" spans="1:5" x14ac:dyDescent="0.3">
      <c r="A1979" t="s">
        <v>279</v>
      </c>
      <c r="B1979" t="s">
        <v>2471</v>
      </c>
      <c r="C1979">
        <v>3</v>
      </c>
      <c r="D1979">
        <v>0</v>
      </c>
      <c r="E1979" t="s">
        <v>2470</v>
      </c>
    </row>
    <row r="1980" spans="1:5" x14ac:dyDescent="0.3">
      <c r="A1980" t="s">
        <v>278</v>
      </c>
      <c r="B1980" t="s">
        <v>2471</v>
      </c>
      <c r="C1980">
        <v>2</v>
      </c>
      <c r="D1980">
        <v>0</v>
      </c>
      <c r="E1980" t="s">
        <v>2470</v>
      </c>
    </row>
    <row r="1981" spans="1:5" x14ac:dyDescent="0.3">
      <c r="A1981" t="s">
        <v>277</v>
      </c>
      <c r="B1981" t="s">
        <v>2469</v>
      </c>
      <c r="C1981">
        <v>69</v>
      </c>
      <c r="D1981">
        <v>1</v>
      </c>
      <c r="E1981" t="s">
        <v>2468</v>
      </c>
    </row>
    <row r="1982" spans="1:5" x14ac:dyDescent="0.3">
      <c r="A1982" t="s">
        <v>276</v>
      </c>
      <c r="B1982" t="s">
        <v>2471</v>
      </c>
      <c r="C1982">
        <v>9</v>
      </c>
      <c r="D1982">
        <v>0</v>
      </c>
      <c r="E1982" t="s">
        <v>2470</v>
      </c>
    </row>
    <row r="1983" spans="1:5" x14ac:dyDescent="0.3">
      <c r="A1983" t="s">
        <v>275</v>
      </c>
      <c r="B1983" t="s">
        <v>2471</v>
      </c>
      <c r="C1983">
        <v>8</v>
      </c>
      <c r="D1983">
        <v>0</v>
      </c>
      <c r="E1983" t="s">
        <v>2470</v>
      </c>
    </row>
    <row r="1984" spans="1:5" x14ac:dyDescent="0.3">
      <c r="A1984" t="s">
        <v>274</v>
      </c>
      <c r="B1984" t="s">
        <v>2469</v>
      </c>
      <c r="C1984">
        <v>315</v>
      </c>
      <c r="D1984">
        <v>2</v>
      </c>
      <c r="E1984" t="s">
        <v>2472</v>
      </c>
    </row>
    <row r="1985" spans="1:5" x14ac:dyDescent="0.3">
      <c r="A1985" t="s">
        <v>273</v>
      </c>
      <c r="B1985" t="s">
        <v>2469</v>
      </c>
      <c r="C1985">
        <v>1881</v>
      </c>
      <c r="D1985">
        <v>48</v>
      </c>
      <c r="E1985" t="s">
        <v>2468</v>
      </c>
    </row>
    <row r="1986" spans="1:5" x14ac:dyDescent="0.3">
      <c r="A1986" t="s">
        <v>272</v>
      </c>
      <c r="B1986" t="s">
        <v>2471</v>
      </c>
      <c r="C1986">
        <v>9</v>
      </c>
      <c r="D1986">
        <v>0</v>
      </c>
      <c r="E1986" t="s">
        <v>2470</v>
      </c>
    </row>
    <row r="1987" spans="1:5" x14ac:dyDescent="0.3">
      <c r="A1987" t="s">
        <v>271</v>
      </c>
      <c r="B1987" t="s">
        <v>2469</v>
      </c>
      <c r="C1987">
        <v>380</v>
      </c>
      <c r="D1987">
        <v>4</v>
      </c>
      <c r="E1987" t="s">
        <v>2468</v>
      </c>
    </row>
    <row r="1988" spans="1:5" x14ac:dyDescent="0.3">
      <c r="A1988" t="s">
        <v>270</v>
      </c>
      <c r="B1988" t="s">
        <v>2469</v>
      </c>
      <c r="C1988">
        <v>42</v>
      </c>
      <c r="D1988">
        <v>2</v>
      </c>
      <c r="E1988" t="s">
        <v>2468</v>
      </c>
    </row>
    <row r="1989" spans="1:5" x14ac:dyDescent="0.3">
      <c r="A1989" t="s">
        <v>269</v>
      </c>
      <c r="B1989" t="s">
        <v>2469</v>
      </c>
      <c r="C1989">
        <v>94</v>
      </c>
      <c r="D1989">
        <v>1</v>
      </c>
      <c r="E1989" t="s">
        <v>2475</v>
      </c>
    </row>
    <row r="1990" spans="1:5" x14ac:dyDescent="0.3">
      <c r="A1990" t="s">
        <v>268</v>
      </c>
      <c r="B1990" t="s">
        <v>2469</v>
      </c>
      <c r="C1990">
        <v>121</v>
      </c>
      <c r="D1990">
        <v>1</v>
      </c>
      <c r="E1990" t="s">
        <v>2476</v>
      </c>
    </row>
    <row r="1991" spans="1:5" x14ac:dyDescent="0.3">
      <c r="A1991" t="s">
        <v>267</v>
      </c>
      <c r="B1991" t="s">
        <v>2473</v>
      </c>
      <c r="C1991">
        <v>164</v>
      </c>
      <c r="D1991">
        <v>9</v>
      </c>
      <c r="E1991" t="s">
        <v>2474</v>
      </c>
    </row>
    <row r="1992" spans="1:5" x14ac:dyDescent="0.3">
      <c r="A1992" t="s">
        <v>266</v>
      </c>
      <c r="B1992" t="s">
        <v>2473</v>
      </c>
      <c r="C1992">
        <v>310</v>
      </c>
      <c r="D1992">
        <v>24</v>
      </c>
      <c r="E1992" t="s">
        <v>2475</v>
      </c>
    </row>
    <row r="1993" spans="1:5" x14ac:dyDescent="0.3">
      <c r="A1993" t="s">
        <v>265</v>
      </c>
      <c r="B1993" t="s">
        <v>2469</v>
      </c>
      <c r="C1993">
        <v>152</v>
      </c>
      <c r="D1993">
        <v>4</v>
      </c>
      <c r="E1993" t="s">
        <v>2474</v>
      </c>
    </row>
    <row r="1994" spans="1:5" x14ac:dyDescent="0.3">
      <c r="A1994" t="s">
        <v>264</v>
      </c>
      <c r="B1994" t="s">
        <v>2471</v>
      </c>
      <c r="C1994">
        <v>2</v>
      </c>
      <c r="D1994">
        <v>0</v>
      </c>
      <c r="E1994" t="s">
        <v>2470</v>
      </c>
    </row>
    <row r="1995" spans="1:5" x14ac:dyDescent="0.3">
      <c r="A1995" t="s">
        <v>263</v>
      </c>
      <c r="B1995" t="s">
        <v>2471</v>
      </c>
      <c r="C1995">
        <v>23</v>
      </c>
      <c r="D1995">
        <v>0</v>
      </c>
      <c r="E1995" t="s">
        <v>2470</v>
      </c>
    </row>
    <row r="1996" spans="1:5" x14ac:dyDescent="0.3">
      <c r="A1996" t="s">
        <v>262</v>
      </c>
      <c r="B1996" t="s">
        <v>2473</v>
      </c>
      <c r="C1996">
        <v>234</v>
      </c>
      <c r="D1996">
        <v>13</v>
      </c>
      <c r="E1996" t="s">
        <v>2472</v>
      </c>
    </row>
    <row r="1997" spans="1:5" x14ac:dyDescent="0.3">
      <c r="A1997" t="s">
        <v>261</v>
      </c>
      <c r="B1997" t="s">
        <v>2469</v>
      </c>
      <c r="C1997">
        <v>183</v>
      </c>
      <c r="D1997">
        <v>2</v>
      </c>
      <c r="E1997" t="s">
        <v>2468</v>
      </c>
    </row>
    <row r="1998" spans="1:5" x14ac:dyDescent="0.3">
      <c r="A1998" t="s">
        <v>260</v>
      </c>
      <c r="B1998" t="s">
        <v>2469</v>
      </c>
      <c r="C1998">
        <v>779</v>
      </c>
      <c r="D1998">
        <v>20</v>
      </c>
      <c r="E1998" t="s">
        <v>2468</v>
      </c>
    </row>
    <row r="1999" spans="1:5" x14ac:dyDescent="0.3">
      <c r="A1999" t="s">
        <v>259</v>
      </c>
      <c r="B1999" t="s">
        <v>2471</v>
      </c>
      <c r="C1999">
        <v>7</v>
      </c>
      <c r="D1999">
        <v>0</v>
      </c>
      <c r="E1999" t="s">
        <v>2470</v>
      </c>
    </row>
    <row r="2000" spans="1:5" x14ac:dyDescent="0.3">
      <c r="A2000" t="s">
        <v>258</v>
      </c>
      <c r="B2000" t="s">
        <v>2471</v>
      </c>
      <c r="C2000">
        <v>2</v>
      </c>
      <c r="D2000">
        <v>0</v>
      </c>
      <c r="E2000" t="s">
        <v>2470</v>
      </c>
    </row>
    <row r="2001" spans="1:5" x14ac:dyDescent="0.3">
      <c r="A2001" t="s">
        <v>257</v>
      </c>
      <c r="B2001" t="s">
        <v>2469</v>
      </c>
      <c r="C2001">
        <v>762</v>
      </c>
      <c r="D2001">
        <v>26</v>
      </c>
      <c r="E2001" t="s">
        <v>2468</v>
      </c>
    </row>
    <row r="2002" spans="1:5" ht="13.8" customHeight="1" x14ac:dyDescent="0.3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KPI Framework</vt:lpstr>
      <vt:lpstr>Scoring Configuration</vt:lpstr>
      <vt:lpstr>Supplier Scorecard</vt:lpstr>
      <vt:lpstr>Product_Master</vt:lpstr>
      <vt:lpstr>Purchase_Orders</vt:lpstr>
      <vt:lpstr>Supplier_Master</vt:lpstr>
      <vt:lpstr>Supplier_Performance_Targets</vt:lpstr>
      <vt:lpstr>Quality_Inspection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Shahid Gani</dc:creator>
  <cp:lastModifiedBy>Shahid Gani</cp:lastModifiedBy>
  <dcterms:created xsi:type="dcterms:W3CDTF">2026-06-28T11:14:09Z</dcterms:created>
  <dcterms:modified xsi:type="dcterms:W3CDTF">2026-07-01T08:40:04Z</dcterms:modified>
</cp:coreProperties>
</file>